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esktop\Data Analysis  porfolio\Excel Project-Manufacturing Downtime\"/>
    </mc:Choice>
  </mc:AlternateContent>
  <xr:revisionPtr revIDLastSave="0" documentId="8_{4C030843-7E38-43E9-A408-1B8490476CA5}" xr6:coauthVersionLast="47" xr6:coauthVersionMax="47" xr10:uidLastSave="{00000000-0000-0000-0000-000000000000}"/>
  <bookViews>
    <workbookView xWindow="31350" yWindow="2415" windowWidth="21600" windowHeight="11235" activeTab="2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factors'!$A$1:$D$13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10" i="3"/>
  <c r="D4" i="3"/>
  <c r="D8" i="3"/>
  <c r="D2" i="3"/>
  <c r="D3" i="3"/>
  <c r="D6" i="3"/>
  <c r="D12" i="3"/>
  <c r="D9" i="3"/>
  <c r="D11" i="3"/>
  <c r="D7" i="3"/>
  <c r="D1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<sst xmlns="http://schemas.openxmlformats.org/spreadsheetml/2006/main" count="135" uniqueCount="46">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</sst>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workbookViewId="0">
      <selection activeCell="L7" sqref="L7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12.5703125" customWidth="1"/>
    <col min="8" max="11" width="8.85546875" customWidth="1"/>
    <col min="13" max="13" width="8.855468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</row>
    <row r="2" spans="1:7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>
        <f>(F2-E2)*24*60</f>
        <v>135</v>
      </c>
    </row>
    <row r="3" spans="1:7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>
        <f t="shared" ref="G3:G39" si="0">(F3-E3)*24*60</f>
        <v>99.999999999999972</v>
      </c>
    </row>
    <row r="4" spans="1:7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>
        <f t="shared" si="0"/>
        <v>109.99999999999993</v>
      </c>
    </row>
    <row r="5" spans="1:7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>
        <f t="shared" si="0"/>
        <v>99.999999999999972</v>
      </c>
    </row>
    <row r="6" spans="1:7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>
        <f t="shared" si="0"/>
        <v>84.000000000000028</v>
      </c>
    </row>
    <row r="7" spans="1:7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>
        <f t="shared" si="0"/>
        <v>59.999999999999943</v>
      </c>
    </row>
    <row r="8" spans="1:7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>
        <f t="shared" si="0"/>
        <v>75.000000000000057</v>
      </c>
    </row>
    <row r="9" spans="1:7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>
        <f t="shared" si="0"/>
        <v>119.99999999999997</v>
      </c>
    </row>
    <row r="10" spans="1:7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>
        <f t="shared" si="0"/>
        <v>85.000000000000014</v>
      </c>
    </row>
    <row r="11" spans="1:7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>
        <f t="shared" si="0"/>
        <v>112</v>
      </c>
    </row>
    <row r="12" spans="1:7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>
        <f t="shared" si="0"/>
        <v>74.999999999999972</v>
      </c>
    </row>
    <row r="13" spans="1:7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>
        <f t="shared" si="0"/>
        <v>85.000000000000014</v>
      </c>
    </row>
    <row r="14" spans="1:7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>
        <f t="shared" si="0"/>
        <v>133</v>
      </c>
    </row>
    <row r="15" spans="1:7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>
        <f t="shared" si="0"/>
        <v>99.999999999999972</v>
      </c>
    </row>
    <row r="16" spans="1:7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>
        <f t="shared" si="0"/>
        <v>80.000000000000028</v>
      </c>
    </row>
    <row r="17" spans="1:7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>
        <f t="shared" si="0"/>
        <v>103.99999999999994</v>
      </c>
    </row>
    <row r="18" spans="1:7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>
        <f t="shared" si="0"/>
        <v>83.000000000000028</v>
      </c>
    </row>
    <row r="19" spans="1:7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>
        <f t="shared" si="0"/>
        <v>112.00000000000009</v>
      </c>
    </row>
    <row r="20" spans="1:7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>
        <f t="shared" si="0"/>
        <v>74.999999999999886</v>
      </c>
    </row>
    <row r="21" spans="1:7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>
        <f t="shared" si="0"/>
        <v>79.999999999999957</v>
      </c>
    </row>
    <row r="22" spans="1:7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>
        <f t="shared" si="0"/>
        <v>90</v>
      </c>
    </row>
    <row r="23" spans="1:7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>
        <f t="shared" si="0"/>
        <v>60.000000000000028</v>
      </c>
    </row>
    <row r="24" spans="1:7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>
        <f t="shared" si="0"/>
        <v>79.999999999999957</v>
      </c>
    </row>
    <row r="25" spans="1:7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>
        <f t="shared" si="0"/>
        <v>110.00000000000009</v>
      </c>
    </row>
    <row r="26" spans="1:7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>
        <f t="shared" si="0"/>
        <v>104.99999999999994</v>
      </c>
    </row>
    <row r="27" spans="1:7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>
        <f t="shared" si="0"/>
        <v>59.999999999999943</v>
      </c>
    </row>
    <row r="28" spans="1:7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>
        <f t="shared" si="0"/>
        <v>104.99999999999999</v>
      </c>
    </row>
    <row r="29" spans="1:7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>
        <f t="shared" si="0"/>
        <v>80.000000000000014</v>
      </c>
    </row>
    <row r="30" spans="1:7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>
        <f t="shared" si="0"/>
        <v>94.999999999999986</v>
      </c>
    </row>
    <row r="31" spans="1:7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>
        <f t="shared" si="0"/>
        <v>123.00000000000004</v>
      </c>
    </row>
    <row r="32" spans="1:7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>
        <f t="shared" si="0"/>
        <v>67</v>
      </c>
    </row>
    <row r="33" spans="1:7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>
        <f t="shared" si="0"/>
        <v>90</v>
      </c>
    </row>
    <row r="34" spans="1:7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>
        <f t="shared" si="0"/>
        <v>117.9999999999999</v>
      </c>
    </row>
    <row r="35" spans="1:7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>
        <f t="shared" si="0"/>
        <v>152.00000000000011</v>
      </c>
    </row>
    <row r="36" spans="1:7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>
        <f t="shared" si="0"/>
        <v>120.00000000000006</v>
      </c>
    </row>
    <row r="37" spans="1:7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>
        <f t="shared" si="0"/>
        <v>159.99999999999991</v>
      </c>
    </row>
    <row r="38" spans="1:7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>
        <f t="shared" si="0"/>
        <v>205.00000000000006</v>
      </c>
    </row>
    <row r="39" spans="1:7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>
        <f t="shared" si="0"/>
        <v>129.99999999999986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D13"/>
  <sheetViews>
    <sheetView tabSelected="1" workbookViewId="0">
      <selection activeCell="I11" sqref="I11"/>
    </sheetView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  <col min="4" max="4" width="12.85546875" customWidth="1"/>
  </cols>
  <sheetData>
    <row r="1" spans="1:4" x14ac:dyDescent="0.25">
      <c r="A1" s="2" t="s">
        <v>6</v>
      </c>
      <c r="B1" s="2" t="s">
        <v>22</v>
      </c>
      <c r="C1" s="2" t="s">
        <v>7</v>
      </c>
      <c r="D1" s="2" t="s">
        <v>45</v>
      </c>
    </row>
    <row r="2" spans="1:4" x14ac:dyDescent="0.25">
      <c r="A2">
        <v>6</v>
      </c>
      <c r="B2" t="s">
        <v>9</v>
      </c>
      <c r="C2" t="s">
        <v>21</v>
      </c>
      <c r="D2">
        <f>SUM(INDEX('Line downtime'!$B$3:$M$40,,MATCH(A2,'Line downtime'!$B$2:$M$2,0)))</f>
        <v>332</v>
      </c>
    </row>
    <row r="3" spans="1:4" x14ac:dyDescent="0.25">
      <c r="A3">
        <v>7</v>
      </c>
      <c r="B3" t="s">
        <v>12</v>
      </c>
      <c r="C3" t="s">
        <v>20</v>
      </c>
      <c r="D3">
        <f>SUM(INDEX('Line downtime'!$B$3:$M$40,,MATCH(A3,'Line downtime'!$B$2:$M$2,0)))</f>
        <v>254</v>
      </c>
    </row>
    <row r="4" spans="1:4" x14ac:dyDescent="0.25">
      <c r="A4">
        <v>4</v>
      </c>
      <c r="B4" t="s">
        <v>14</v>
      </c>
      <c r="C4" t="s">
        <v>20</v>
      </c>
      <c r="D4">
        <f>SUM(INDEX('Line downtime'!$B$3:$M$40,,MATCH(A4,'Line downtime'!$B$2:$M$2,0)))</f>
        <v>225</v>
      </c>
    </row>
    <row r="5" spans="1:4" x14ac:dyDescent="0.25">
      <c r="A5">
        <v>2</v>
      </c>
      <c r="B5" t="s">
        <v>8</v>
      </c>
      <c r="C5" t="s">
        <v>21</v>
      </c>
      <c r="D5">
        <f>SUM(INDEX('Line downtime'!$B$3:$M$40,,MATCH(A5,'Line downtime'!$B$2:$M$2,0)))</f>
        <v>160</v>
      </c>
    </row>
    <row r="6" spans="1:4" x14ac:dyDescent="0.25">
      <c r="A6">
        <v>8</v>
      </c>
      <c r="B6" t="s">
        <v>13</v>
      </c>
      <c r="C6" t="s">
        <v>21</v>
      </c>
      <c r="D6">
        <f>SUM(INDEX('Line downtime'!$B$3:$M$40,,MATCH(A6,'Line downtime'!$B$2:$M$2,0)))</f>
        <v>145</v>
      </c>
    </row>
    <row r="7" spans="1:4" x14ac:dyDescent="0.25">
      <c r="A7">
        <v>12</v>
      </c>
      <c r="B7" t="s">
        <v>16</v>
      </c>
      <c r="C7" t="s">
        <v>20</v>
      </c>
      <c r="D7">
        <f>SUM(INDEX('Line downtime'!$B$3:$M$40,,MATCH(A7,'Line downtime'!$B$2:$M$2,0)))</f>
        <v>74</v>
      </c>
    </row>
    <row r="8" spans="1:4" x14ac:dyDescent="0.25">
      <c r="A8">
        <v>5</v>
      </c>
      <c r="B8" t="s">
        <v>10</v>
      </c>
      <c r="C8" t="s">
        <v>21</v>
      </c>
      <c r="D8">
        <f>SUM(INDEX('Line downtime'!$B$3:$M$40,,MATCH(A8,'Line downtime'!$B$2:$M$2,0)))</f>
        <v>57</v>
      </c>
    </row>
    <row r="9" spans="1:4" x14ac:dyDescent="0.25">
      <c r="A9">
        <v>10</v>
      </c>
      <c r="B9" t="s">
        <v>18</v>
      </c>
      <c r="C9" t="s">
        <v>21</v>
      </c>
      <c r="D9">
        <f>SUM(INDEX('Line downtime'!$B$3:$M$40,,MATCH(A9,'Line downtime'!$B$2:$M$2,0)))</f>
        <v>49</v>
      </c>
    </row>
    <row r="10" spans="1:4" x14ac:dyDescent="0.25">
      <c r="A10">
        <v>3</v>
      </c>
      <c r="B10" t="s">
        <v>19</v>
      </c>
      <c r="C10" t="s">
        <v>20</v>
      </c>
      <c r="D10">
        <f>SUM(INDEX('Line downtime'!$B$3:$M$40,,MATCH(A10,'Line downtime'!$B$2:$M$2,0)))</f>
        <v>42</v>
      </c>
    </row>
    <row r="11" spans="1:4" x14ac:dyDescent="0.25">
      <c r="A11">
        <v>11</v>
      </c>
      <c r="B11" t="s">
        <v>11</v>
      </c>
      <c r="C11" t="s">
        <v>21</v>
      </c>
      <c r="D11">
        <f>SUM(INDEX('Line downtime'!$B$3:$M$40,,MATCH(A11,'Line downtime'!$B$2:$M$2,0)))</f>
        <v>33</v>
      </c>
    </row>
    <row r="12" spans="1:4" x14ac:dyDescent="0.25">
      <c r="A12">
        <v>9</v>
      </c>
      <c r="B12" t="s">
        <v>15</v>
      </c>
      <c r="C12" t="s">
        <v>20</v>
      </c>
      <c r="D12">
        <f>SUM(INDEX('Line downtime'!$B$3:$M$40,,MATCH(A12,'Line downtime'!$B$2:$M$2,0)))</f>
        <v>17</v>
      </c>
    </row>
    <row r="13" spans="1:4" x14ac:dyDescent="0.25">
      <c r="A13">
        <v>1</v>
      </c>
      <c r="B13" t="s">
        <v>17</v>
      </c>
      <c r="C13" t="s">
        <v>20</v>
      </c>
      <c r="D13">
        <f>SUM(INDEX('Line downtime'!$B$3:$M$40,,MATCH(A13,'Line downtime'!$B$2:$M$2,0)))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RowHeight="15" x14ac:dyDescent="0.25"/>
  <cols>
    <col min="1" max="1" width="8.85546875" customWidth="1"/>
    <col min="2" max="13" width="5.5703125" customWidth="1"/>
  </cols>
  <sheetData>
    <row r="1" spans="1:13" x14ac:dyDescent="0.25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5">
      <c r="A3">
        <v>422111</v>
      </c>
      <c r="C3">
        <v>60</v>
      </c>
      <c r="H3">
        <v>15</v>
      </c>
    </row>
    <row r="4" spans="1:13" x14ac:dyDescent="0.25">
      <c r="A4">
        <v>422112</v>
      </c>
      <c r="C4">
        <v>20</v>
      </c>
      <c r="I4">
        <v>20</v>
      </c>
    </row>
    <row r="5" spans="1:13" x14ac:dyDescent="0.25">
      <c r="A5">
        <v>422113</v>
      </c>
      <c r="C5">
        <v>50</v>
      </c>
    </row>
    <row r="6" spans="1:13" x14ac:dyDescent="0.25">
      <c r="A6">
        <v>422114</v>
      </c>
      <c r="E6">
        <v>25</v>
      </c>
      <c r="G6">
        <v>15</v>
      </c>
    </row>
    <row r="7" spans="1:13" x14ac:dyDescent="0.25">
      <c r="A7">
        <v>422115</v>
      </c>
      <c r="K7">
        <v>24</v>
      </c>
    </row>
    <row r="8" spans="1:13" x14ac:dyDescent="0.25">
      <c r="A8">
        <v>422116</v>
      </c>
    </row>
    <row r="9" spans="1:13" x14ac:dyDescent="0.25">
      <c r="A9">
        <v>422117</v>
      </c>
      <c r="C9">
        <v>10</v>
      </c>
      <c r="G9">
        <v>5</v>
      </c>
    </row>
    <row r="10" spans="1:13" x14ac:dyDescent="0.2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25">
      <c r="A11">
        <v>422119</v>
      </c>
      <c r="E11">
        <v>25</v>
      </c>
    </row>
    <row r="12" spans="1:13" x14ac:dyDescent="0.25">
      <c r="A12">
        <v>422120</v>
      </c>
      <c r="E12">
        <v>20</v>
      </c>
      <c r="F12">
        <v>15</v>
      </c>
      <c r="J12">
        <v>17</v>
      </c>
    </row>
    <row r="13" spans="1:13" x14ac:dyDescent="0.25">
      <c r="A13">
        <v>422121</v>
      </c>
      <c r="H13">
        <v>15</v>
      </c>
    </row>
    <row r="14" spans="1:13" x14ac:dyDescent="0.25">
      <c r="A14">
        <v>422122</v>
      </c>
      <c r="H14">
        <v>25</v>
      </c>
    </row>
    <row r="15" spans="1:13" x14ac:dyDescent="0.25">
      <c r="A15">
        <v>422123</v>
      </c>
      <c r="E15">
        <v>43</v>
      </c>
      <c r="H15">
        <v>30</v>
      </c>
    </row>
    <row r="16" spans="1:13" x14ac:dyDescent="0.25">
      <c r="A16">
        <v>422124</v>
      </c>
      <c r="F16">
        <v>20</v>
      </c>
      <c r="G16">
        <v>20</v>
      </c>
    </row>
    <row r="17" spans="1:13" x14ac:dyDescent="0.25">
      <c r="A17">
        <v>422125</v>
      </c>
      <c r="L17">
        <v>10</v>
      </c>
      <c r="M17">
        <v>10</v>
      </c>
    </row>
    <row r="18" spans="1:13" x14ac:dyDescent="0.25">
      <c r="A18">
        <v>422126</v>
      </c>
      <c r="I18">
        <v>44</v>
      </c>
    </row>
    <row r="19" spans="1:13" x14ac:dyDescent="0.25">
      <c r="A19">
        <v>422127</v>
      </c>
      <c r="G19">
        <v>23</v>
      </c>
    </row>
    <row r="20" spans="1:13" x14ac:dyDescent="0.25">
      <c r="A20">
        <v>422128</v>
      </c>
      <c r="F20">
        <v>22</v>
      </c>
      <c r="H20">
        <v>30</v>
      </c>
    </row>
    <row r="21" spans="1:13" x14ac:dyDescent="0.25">
      <c r="A21">
        <v>422129</v>
      </c>
      <c r="M21">
        <v>15</v>
      </c>
    </row>
    <row r="22" spans="1:13" x14ac:dyDescent="0.25">
      <c r="A22">
        <v>422130</v>
      </c>
      <c r="C22">
        <v>20</v>
      </c>
    </row>
    <row r="23" spans="1:13" x14ac:dyDescent="0.25">
      <c r="A23">
        <v>422131</v>
      </c>
      <c r="E23">
        <v>20</v>
      </c>
      <c r="K23">
        <v>10</v>
      </c>
    </row>
    <row r="24" spans="1:13" x14ac:dyDescent="0.25">
      <c r="A24">
        <v>422132</v>
      </c>
    </row>
    <row r="25" spans="1:13" x14ac:dyDescent="0.25">
      <c r="A25">
        <v>422133</v>
      </c>
      <c r="H25">
        <v>20</v>
      </c>
    </row>
    <row r="26" spans="1:13" x14ac:dyDescent="0.25">
      <c r="A26">
        <v>422134</v>
      </c>
      <c r="H26">
        <v>30</v>
      </c>
      <c r="I26">
        <v>20</v>
      </c>
    </row>
    <row r="27" spans="1:13" x14ac:dyDescent="0.25">
      <c r="A27">
        <v>422135</v>
      </c>
      <c r="E27">
        <v>30</v>
      </c>
      <c r="M27">
        <v>15</v>
      </c>
    </row>
    <row r="28" spans="1:13" x14ac:dyDescent="0.25">
      <c r="A28">
        <v>422136</v>
      </c>
    </row>
    <row r="29" spans="1:13" x14ac:dyDescent="0.25">
      <c r="A29">
        <v>422137</v>
      </c>
      <c r="I29">
        <v>30</v>
      </c>
      <c r="K29">
        <v>15</v>
      </c>
    </row>
    <row r="30" spans="1:13" x14ac:dyDescent="0.25">
      <c r="A30">
        <v>422138</v>
      </c>
      <c r="D30">
        <v>20</v>
      </c>
    </row>
    <row r="31" spans="1:13" x14ac:dyDescent="0.25">
      <c r="A31">
        <v>422139</v>
      </c>
      <c r="E31">
        <v>20</v>
      </c>
      <c r="G31">
        <v>15</v>
      </c>
    </row>
    <row r="32" spans="1:13" x14ac:dyDescent="0.25">
      <c r="A32">
        <v>422140</v>
      </c>
      <c r="G32">
        <v>50</v>
      </c>
      <c r="L32">
        <v>13</v>
      </c>
    </row>
    <row r="33" spans="1:13" x14ac:dyDescent="0.25">
      <c r="A33">
        <v>422141</v>
      </c>
      <c r="M33">
        <v>7</v>
      </c>
    </row>
    <row r="34" spans="1:13" x14ac:dyDescent="0.25">
      <c r="A34">
        <v>422142</v>
      </c>
      <c r="G34">
        <v>30</v>
      </c>
    </row>
    <row r="35" spans="1:13" x14ac:dyDescent="0.25">
      <c r="A35">
        <v>422143</v>
      </c>
      <c r="G35">
        <v>40</v>
      </c>
      <c r="H35">
        <v>18</v>
      </c>
    </row>
    <row r="36" spans="1:13" x14ac:dyDescent="0.25">
      <c r="A36">
        <v>422144</v>
      </c>
      <c r="G36">
        <v>30</v>
      </c>
      <c r="I36">
        <v>24</v>
      </c>
    </row>
    <row r="37" spans="1:13" x14ac:dyDescent="0.25">
      <c r="A37">
        <v>422145</v>
      </c>
      <c r="D37">
        <v>22</v>
      </c>
    </row>
    <row r="38" spans="1:13" x14ac:dyDescent="0.25">
      <c r="A38">
        <v>422146</v>
      </c>
      <c r="G38">
        <v>30</v>
      </c>
      <c r="H38">
        <v>25</v>
      </c>
      <c r="M38">
        <v>7</v>
      </c>
    </row>
    <row r="39" spans="1:13" x14ac:dyDescent="0.25">
      <c r="A39">
        <v>422147</v>
      </c>
      <c r="E39">
        <v>17</v>
      </c>
      <c r="G39">
        <v>60</v>
      </c>
      <c r="H39">
        <v>30</v>
      </c>
    </row>
    <row r="40" spans="1:13" x14ac:dyDescent="0.2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Moe Adityanugroho</cp:lastModifiedBy>
  <dcterms:created xsi:type="dcterms:W3CDTF">2024-08-19T19:52:48Z</dcterms:created>
  <dcterms:modified xsi:type="dcterms:W3CDTF">2026-08-04T11:30:36Z</dcterms:modified>
</cp:coreProperties>
</file>