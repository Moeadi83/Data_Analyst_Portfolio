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uham\OneDrive\Desktop\Data Analysis  porfolio\Excel Project_MoMA+Art+Collection\"/>
    </mc:Choice>
  </mc:AlternateContent>
  <xr:revisionPtr revIDLastSave="0" documentId="8_{BA3207D2-A4C3-4C83-913C-552C63C392CC}" xr6:coauthVersionLast="47" xr6:coauthVersionMax="47" xr10:uidLastSave="{00000000-0000-0000-0000-000000000000}"/>
  <bookViews>
    <workbookView xWindow="-120" yWindow="-120" windowWidth="29040" windowHeight="15720" activeTab="1" xr2:uid="{295D88F5-725C-4810-800D-872EDC4527FD}"/>
  </bookViews>
  <sheets>
    <sheet name="Artists" sheetId="2" r:id="rId1"/>
    <sheet name="Artworks" sheetId="1" r:id="rId2"/>
  </sheets>
  <definedNames>
    <definedName name="_xlnm._FilterDatabase" localSheetId="0" hidden="1">Artists!$A$1:$G$662</definedName>
    <definedName name="_xlnm._FilterDatabase" localSheetId="1" hidden="1">Artworks!$N$1:$N$1143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a="1"/>
  <c r="F7" i="1" s="1"/>
  <c r="F3" i="1" a="1"/>
  <c r="F3" i="1" s="1"/>
  <c r="F4" i="1" a="1"/>
  <c r="F4" i="1" s="1"/>
  <c r="F5" i="1" a="1"/>
  <c r="F5" i="1" s="1"/>
  <c r="F6" i="1" a="1"/>
  <c r="F6"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c r="F273" i="1" a="1"/>
  <c r="F273" i="1" s="1"/>
  <c r="F274" i="1" a="1"/>
  <c r="F274" i="1" s="1"/>
  <c r="F275" i="1" a="1"/>
  <c r="F275" i="1" s="1"/>
  <c r="F276" i="1" a="1"/>
  <c r="F276" i="1"/>
  <c r="F277" i="1" a="1"/>
  <c r="F277" i="1" s="1"/>
  <c r="F278" i="1" a="1"/>
  <c r="F278" i="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c r="F310" i="1" a="1"/>
  <c r="F310" i="1" s="1"/>
  <c r="F311" i="1" a="1"/>
  <c r="F311" i="1" s="1"/>
  <c r="F312" i="1" a="1"/>
  <c r="F312" i="1" s="1"/>
  <c r="F313" i="1" a="1"/>
  <c r="F313" i="1" s="1"/>
  <c r="F314" i="1" a="1"/>
  <c r="F314" i="1" s="1"/>
  <c r="F315" i="1" a="1"/>
  <c r="F315" i="1" s="1"/>
  <c r="F316" i="1" a="1"/>
  <c r="F316" i="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s="1"/>
  <c r="F590" i="1" a="1"/>
  <c r="F590" i="1" s="1"/>
  <c r="F591" i="1" a="1"/>
  <c r="F591" i="1" s="1"/>
  <c r="F592" i="1" a="1"/>
  <c r="F592" i="1" s="1"/>
  <c r="F593" i="1" a="1"/>
  <c r="F593" i="1" s="1"/>
  <c r="F594" i="1" a="1"/>
  <c r="F594" i="1" s="1"/>
  <c r="F595" i="1" a="1"/>
  <c r="F595" i="1" s="1"/>
  <c r="F596" i="1" a="1"/>
  <c r="F596" i="1" s="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c r="F692" i="1" a="1"/>
  <c r="F692" i="1" s="1"/>
  <c r="F693" i="1" a="1"/>
  <c r="F693" i="1" s="1"/>
  <c r="F694" i="1" a="1"/>
  <c r="F694" i="1" s="1"/>
  <c r="F695" i="1" a="1"/>
  <c r="F695" i="1" s="1"/>
  <c r="F696" i="1" a="1"/>
  <c r="F696" i="1" s="1"/>
  <c r="F697" i="1" a="1"/>
  <c r="F697" i="1" s="1"/>
  <c r="F698" i="1" a="1"/>
  <c r="F698" i="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c r="F756" i="1" a="1"/>
  <c r="F756" i="1" s="1"/>
  <c r="F757" i="1" a="1"/>
  <c r="F757" i="1" s="1"/>
  <c r="F758" i="1" a="1"/>
  <c r="F758" i="1" s="1"/>
  <c r="F759" i="1" a="1"/>
  <c r="F759" i="1" s="1"/>
  <c r="F760" i="1" a="1"/>
  <c r="F760" i="1" s="1"/>
  <c r="F761" i="1" a="1"/>
  <c r="F761" i="1" s="1"/>
  <c r="F762" i="1" a="1"/>
  <c r="F762" i="1"/>
  <c r="F763" i="1" a="1"/>
  <c r="F763" i="1" s="1"/>
  <c r="F764" i="1" a="1"/>
  <c r="F764" i="1" s="1"/>
  <c r="F765" i="1" a="1"/>
  <c r="F765" i="1" s="1"/>
  <c r="F766" i="1" a="1"/>
  <c r="F766" i="1" s="1"/>
  <c r="F767" i="1" a="1"/>
  <c r="F767" i="1" s="1"/>
  <c r="F768" i="1" a="1"/>
  <c r="F768" i="1" s="1"/>
  <c r="F769" i="1" a="1"/>
  <c r="F769" i="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s="1"/>
  <c r="F875" i="1" a="1"/>
  <c r="F875" i="1" s="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s="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c r="F979" i="1" a="1"/>
  <c r="F979" i="1" s="1"/>
  <c r="F980" i="1" a="1"/>
  <c r="F980" i="1" s="1"/>
  <c r="F981" i="1" a="1"/>
  <c r="F981" i="1" s="1"/>
  <c r="F982" i="1" a="1"/>
  <c r="F982" i="1" s="1"/>
  <c r="F983" i="1" a="1"/>
  <c r="F983" i="1" s="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F995" i="1" a="1"/>
  <c r="F995" i="1" s="1"/>
  <c r="F996" i="1" a="1"/>
  <c r="F996" i="1" s="1"/>
  <c r="F997" i="1" a="1"/>
  <c r="F997" i="1" s="1"/>
  <c r="F998" i="1" a="1"/>
  <c r="F998" i="1" s="1"/>
  <c r="F999" i="1" a="1"/>
  <c r="F999" i="1" s="1"/>
  <c r="F1000" i="1" a="1"/>
  <c r="F1000" i="1" s="1"/>
  <c r="F1001" i="1" a="1"/>
  <c r="F1001" i="1" s="1"/>
  <c r="F1002" i="1" a="1"/>
  <c r="F1002" i="1" s="1"/>
  <c r="F1003" i="1" a="1"/>
  <c r="F1003" i="1" s="1"/>
  <c r="F1004" i="1" a="1"/>
  <c r="F1004" i="1" s="1"/>
  <c r="F1005" i="1" a="1"/>
  <c r="F1005" i="1" s="1"/>
  <c r="F1006" i="1" a="1"/>
  <c r="F1006" i="1" s="1"/>
  <c r="F1007" i="1" a="1"/>
  <c r="F1007" i="1" s="1"/>
  <c r="F1008" i="1" a="1"/>
  <c r="F1008" i="1" s="1"/>
  <c r="F1009" i="1" a="1"/>
  <c r="F1009" i="1" s="1"/>
  <c r="F1010" i="1" a="1"/>
  <c r="F1010" i="1" s="1"/>
  <c r="F1011" i="1" a="1"/>
  <c r="F1011" i="1" s="1"/>
  <c r="F1012" i="1" a="1"/>
  <c r="F1012" i="1" s="1"/>
  <c r="F1013" i="1" a="1"/>
  <c r="F1013" i="1" s="1"/>
  <c r="F1014" i="1" a="1"/>
  <c r="F1014" i="1" s="1"/>
  <c r="F1015" i="1" a="1"/>
  <c r="F1015" i="1" s="1"/>
  <c r="F1016" i="1" a="1"/>
  <c r="F1016" i="1"/>
  <c r="F1017" i="1" a="1"/>
  <c r="F1017" i="1" s="1"/>
  <c r="F1018" i="1" a="1"/>
  <c r="F1018" i="1" s="1"/>
  <c r="F1019" i="1" a="1"/>
  <c r="F1019" i="1" s="1"/>
  <c r="F1020" i="1" a="1"/>
  <c r="F1020" i="1" s="1"/>
  <c r="F1021" i="1" a="1"/>
  <c r="F1021" i="1" s="1"/>
  <c r="F1022" i="1" a="1"/>
  <c r="F1022" i="1" s="1"/>
  <c r="F1023" i="1" a="1"/>
  <c r="F1023" i="1" s="1"/>
  <c r="F1024" i="1" a="1"/>
  <c r="F1024" i="1"/>
  <c r="F1025" i="1" a="1"/>
  <c r="F1025" i="1" s="1"/>
  <c r="F1026" i="1" a="1"/>
  <c r="F1026" i="1" s="1"/>
  <c r="F1027" i="1" a="1"/>
  <c r="F1027" i="1" s="1"/>
  <c r="F1028" i="1" a="1"/>
  <c r="F1028" i="1" s="1"/>
  <c r="F1029" i="1" a="1"/>
  <c r="F1029" i="1" s="1"/>
  <c r="F1030" i="1" a="1"/>
  <c r="F1030" i="1" s="1"/>
  <c r="F1031" i="1" a="1"/>
  <c r="F1031" i="1" s="1"/>
  <c r="F1032" i="1" a="1"/>
  <c r="F1032" i="1" s="1"/>
  <c r="F1033" i="1" a="1"/>
  <c r="F1033" i="1" s="1"/>
  <c r="F1034" i="1" a="1"/>
  <c r="F1034" i="1" s="1"/>
  <c r="F1035" i="1" a="1"/>
  <c r="F1035" i="1" s="1"/>
  <c r="F1036" i="1" a="1"/>
  <c r="F1036" i="1" s="1"/>
  <c r="F1037" i="1" a="1"/>
  <c r="F1037" i="1" s="1"/>
  <c r="F1038" i="1" a="1"/>
  <c r="F1038" i="1"/>
  <c r="F1039" i="1" a="1"/>
  <c r="F1039" i="1" s="1"/>
  <c r="F1040" i="1" a="1"/>
  <c r="F1040" i="1" s="1"/>
  <c r="F1041" i="1" a="1"/>
  <c r="F1041" i="1" s="1"/>
  <c r="F1042" i="1" a="1"/>
  <c r="F1042" i="1" s="1"/>
  <c r="F1043" i="1" a="1"/>
  <c r="F1043" i="1" s="1"/>
  <c r="F1044" i="1" a="1"/>
  <c r="F1044" i="1" s="1"/>
  <c r="F1045" i="1" a="1"/>
  <c r="F1045" i="1" s="1"/>
  <c r="F1046" i="1" a="1"/>
  <c r="F1046" i="1" s="1"/>
  <c r="F1047" i="1" a="1"/>
  <c r="F1047" i="1" s="1"/>
  <c r="F1048" i="1" a="1"/>
  <c r="F1048" i="1" s="1"/>
  <c r="F1049" i="1" a="1"/>
  <c r="F1049" i="1" s="1"/>
  <c r="F1050" i="1" a="1"/>
  <c r="F1050" i="1" s="1"/>
  <c r="F1051" i="1" a="1"/>
  <c r="F1051" i="1" s="1"/>
  <c r="F1052" i="1" a="1"/>
  <c r="F1052" i="1" s="1"/>
  <c r="F1053" i="1" a="1"/>
  <c r="F1053" i="1" s="1"/>
  <c r="F1054" i="1" a="1"/>
  <c r="F1054" i="1" s="1"/>
  <c r="F1055" i="1" a="1"/>
  <c r="F1055" i="1" s="1"/>
  <c r="F1056" i="1" a="1"/>
  <c r="F1056" i="1" s="1"/>
  <c r="F1057" i="1" a="1"/>
  <c r="F1057" i="1" s="1"/>
  <c r="F1058" i="1" a="1"/>
  <c r="F1058" i="1" s="1"/>
  <c r="F1059" i="1" a="1"/>
  <c r="F1059" i="1" s="1"/>
  <c r="F1060" i="1" a="1"/>
  <c r="F1060" i="1" s="1"/>
  <c r="F1061" i="1" a="1"/>
  <c r="F1061" i="1" s="1"/>
  <c r="F1062" i="1" a="1"/>
  <c r="F1062" i="1" s="1"/>
  <c r="F1063" i="1" a="1"/>
  <c r="F1063" i="1" s="1"/>
  <c r="F1064" i="1" a="1"/>
  <c r="F1064" i="1" s="1"/>
  <c r="F1065" i="1" a="1"/>
  <c r="F1065" i="1" s="1"/>
  <c r="F1066" i="1" a="1"/>
  <c r="F1066" i="1" s="1"/>
  <c r="F1067" i="1" a="1"/>
  <c r="F1067" i="1" s="1"/>
  <c r="F1068" i="1" a="1"/>
  <c r="F1068" i="1" s="1"/>
  <c r="F1069" i="1" a="1"/>
  <c r="F1069" i="1" s="1"/>
  <c r="F1070" i="1" a="1"/>
  <c r="F1070" i="1" s="1"/>
  <c r="F1071" i="1" a="1"/>
  <c r="F1071" i="1" s="1"/>
  <c r="F1072" i="1" a="1"/>
  <c r="F1072" i="1" s="1"/>
  <c r="F1073" i="1" a="1"/>
  <c r="F1073" i="1" s="1"/>
  <c r="F1074" i="1" a="1"/>
  <c r="F1074" i="1" s="1"/>
  <c r="F1075" i="1" a="1"/>
  <c r="F1075" i="1" s="1"/>
  <c r="F1076" i="1" a="1"/>
  <c r="F1076" i="1" s="1"/>
  <c r="F1077" i="1" a="1"/>
  <c r="F1077" i="1" s="1"/>
  <c r="F1078" i="1" a="1"/>
  <c r="F1078" i="1" s="1"/>
  <c r="F1079" i="1" a="1"/>
  <c r="F1079" i="1" s="1"/>
  <c r="F1080" i="1" a="1"/>
  <c r="F1080" i="1" s="1"/>
  <c r="F1081" i="1" a="1"/>
  <c r="F1081" i="1" s="1"/>
  <c r="F1082" i="1" a="1"/>
  <c r="F1082" i="1" s="1"/>
  <c r="F1083" i="1" a="1"/>
  <c r="F1083" i="1" s="1"/>
  <c r="F1084" i="1" a="1"/>
  <c r="F1084" i="1" s="1"/>
  <c r="F1085" i="1" a="1"/>
  <c r="F1085" i="1" s="1"/>
  <c r="F1086" i="1" a="1"/>
  <c r="F1086" i="1" s="1"/>
  <c r="F1087" i="1" a="1"/>
  <c r="F1087" i="1" s="1"/>
  <c r="F1088" i="1" a="1"/>
  <c r="F1088" i="1" s="1"/>
  <c r="F1089" i="1" a="1"/>
  <c r="F1089" i="1" s="1"/>
  <c r="F1090" i="1" a="1"/>
  <c r="F1090" i="1" s="1"/>
  <c r="F1091" i="1" a="1"/>
  <c r="F1091" i="1" s="1"/>
  <c r="F1092" i="1" a="1"/>
  <c r="F1092" i="1" s="1"/>
  <c r="F1093" i="1" a="1"/>
  <c r="F1093" i="1" s="1"/>
  <c r="F1094" i="1" a="1"/>
  <c r="F1094" i="1" s="1"/>
  <c r="F1095" i="1" a="1"/>
  <c r="F1095" i="1" s="1"/>
  <c r="F1096" i="1" a="1"/>
  <c r="F1096" i="1" s="1"/>
  <c r="F1097" i="1" a="1"/>
  <c r="F1097" i="1" s="1"/>
  <c r="F1098" i="1" a="1"/>
  <c r="F1098" i="1" s="1"/>
  <c r="F1099" i="1" a="1"/>
  <c r="F1099" i="1" s="1"/>
  <c r="F1100" i="1" a="1"/>
  <c r="F1100" i="1" s="1"/>
  <c r="F1101" i="1" a="1"/>
  <c r="F1101" i="1" s="1"/>
  <c r="F1102" i="1" a="1"/>
  <c r="F1102" i="1" s="1"/>
  <c r="F1103" i="1" a="1"/>
  <c r="F1103" i="1" s="1"/>
  <c r="F1104" i="1" a="1"/>
  <c r="F1104" i="1" s="1"/>
  <c r="F1105" i="1" a="1"/>
  <c r="F1105" i="1" s="1"/>
  <c r="F1106" i="1" a="1"/>
  <c r="F1106" i="1" s="1"/>
  <c r="F1107" i="1" a="1"/>
  <c r="F1107" i="1" s="1"/>
  <c r="F1108" i="1" a="1"/>
  <c r="F1108" i="1" s="1"/>
  <c r="F1109" i="1" a="1"/>
  <c r="F1109" i="1" s="1"/>
  <c r="F1110" i="1" a="1"/>
  <c r="F1110" i="1" s="1"/>
  <c r="F1111" i="1" a="1"/>
  <c r="F1111" i="1" s="1"/>
  <c r="F1112" i="1" a="1"/>
  <c r="F1112" i="1" s="1"/>
  <c r="F1113" i="1" a="1"/>
  <c r="F1113" i="1" s="1"/>
  <c r="F1114" i="1" a="1"/>
  <c r="F1114" i="1" s="1"/>
  <c r="F1115" i="1" a="1"/>
  <c r="F1115" i="1" s="1"/>
  <c r="F1116" i="1" a="1"/>
  <c r="F1116" i="1" s="1"/>
  <c r="F1117" i="1" a="1"/>
  <c r="F1117" i="1" s="1"/>
  <c r="F1118" i="1" a="1"/>
  <c r="F1118" i="1" s="1"/>
  <c r="F1119" i="1" a="1"/>
  <c r="F1119" i="1" s="1"/>
  <c r="F1120" i="1" a="1"/>
  <c r="F1120" i="1" s="1"/>
  <c r="F1121" i="1" a="1"/>
  <c r="F1121" i="1" s="1"/>
  <c r="F1122" i="1" a="1"/>
  <c r="F1122" i="1" s="1"/>
  <c r="F1123" i="1" a="1"/>
  <c r="F1123" i="1" s="1"/>
  <c r="F1124" i="1" a="1"/>
  <c r="F1124" i="1" s="1"/>
  <c r="F1125" i="1" a="1"/>
  <c r="F1125" i="1" s="1"/>
  <c r="F1126" i="1" a="1"/>
  <c r="F1126" i="1" s="1"/>
  <c r="F1127" i="1" a="1"/>
  <c r="F1127" i="1" s="1"/>
  <c r="F1128" i="1" a="1"/>
  <c r="F1128" i="1" s="1"/>
  <c r="F1129" i="1" a="1"/>
  <c r="F1129" i="1" s="1"/>
  <c r="F1130" i="1" a="1"/>
  <c r="F1130" i="1" s="1"/>
  <c r="F1131" i="1" a="1"/>
  <c r="F1131" i="1" s="1"/>
  <c r="F1132" i="1" a="1"/>
  <c r="F1132" i="1" s="1"/>
  <c r="F1133" i="1" a="1"/>
  <c r="F1133" i="1" s="1"/>
  <c r="F1134" i="1" a="1"/>
  <c r="F1134" i="1" s="1"/>
  <c r="F1135" i="1" a="1"/>
  <c r="F1135" i="1" s="1"/>
  <c r="F1136" i="1" a="1"/>
  <c r="F1136" i="1" s="1"/>
  <c r="F1137" i="1" a="1"/>
  <c r="F1137" i="1" s="1"/>
  <c r="F1138" i="1" a="1"/>
  <c r="F1138" i="1" s="1"/>
  <c r="F1139" i="1" a="1"/>
  <c r="F1139" i="1" s="1"/>
  <c r="F1140" i="1" a="1"/>
  <c r="F1140" i="1" s="1"/>
  <c r="F1141" i="1" a="1"/>
  <c r="F1141" i="1" s="1"/>
  <c r="F1142" i="1" a="1"/>
  <c r="F1142" i="1" s="1"/>
  <c r="F1143" i="1" a="1"/>
  <c r="F1143" i="1" s="1"/>
  <c r="F2" i="1" a="1"/>
  <c r="F2"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s="1"/>
  <c r="D1042" i="1" a="1"/>
  <c r="D1042" i="1" s="1"/>
  <c r="D1043" i="1" a="1"/>
  <c r="D1043" i="1" s="1"/>
  <c r="D1044" i="1" a="1"/>
  <c r="D1044" i="1" s="1"/>
  <c r="D1045" i="1" a="1"/>
  <c r="D1045" i="1" s="1"/>
  <c r="D1046" i="1" a="1"/>
  <c r="D1046" i="1" s="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s="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s="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c r="D1137" i="1" a="1"/>
  <c r="D1137" i="1" s="1"/>
  <c r="D1138" i="1" a="1"/>
  <c r="D1138" i="1" s="1"/>
  <c r="D1139" i="1" a="1"/>
  <c r="D1139" i="1" s="1"/>
  <c r="D1140" i="1" a="1"/>
  <c r="D1140" i="1" s="1"/>
  <c r="D1141" i="1" a="1"/>
  <c r="D1141" i="1" s="1"/>
  <c r="D1142" i="1" a="1"/>
  <c r="D1142" i="1" s="1"/>
  <c r="D1143" i="1" a="1"/>
  <c r="D1143" i="1" s="1"/>
  <c r="D2" i="1" a="1"/>
  <c r="D2" i="1" s="1"/>
  <c r="D3" i="1" a="1"/>
  <c r="D3" i="1" s="1"/>
  <c r="D4" i="1" a="1"/>
  <c r="D4" i="1" s="1"/>
  <c r="D5" i="1" a="1"/>
  <c r="D5" i="1" s="1"/>
  <c r="D6" i="1" a="1"/>
  <c r="D6" i="1" s="1"/>
  <c r="D7" i="1" a="1"/>
  <c r="D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<sst xmlns="http://schemas.openxmlformats.org/spreadsheetml/2006/main" count="12167" uniqueCount="6433">
  <si>
    <t>Title</t>
  </si>
  <si>
    <t>ConstituentID</t>
  </si>
  <si>
    <t>ArtistBio</t>
  </si>
  <si>
    <t>Nationality</t>
  </si>
  <si>
    <t>BeginDate</t>
  </si>
  <si>
    <t>EndDate</t>
  </si>
  <si>
    <t>Gender</t>
  </si>
  <si>
    <t>Date</t>
  </si>
  <si>
    <t>Medium</t>
  </si>
  <si>
    <t>Dimensions</t>
  </si>
  <si>
    <t>Classification</t>
  </si>
  <si>
    <t>Department</t>
  </si>
  <si>
    <t>DateAcquired</t>
  </si>
  <si>
    <t>ObjectID</t>
  </si>
  <si>
    <t>URL</t>
  </si>
  <si>
    <t>ImageURL</t>
  </si>
  <si>
    <t>OnView</t>
  </si>
  <si>
    <t>Otto Wagner</t>
  </si>
  <si>
    <t>Architecture</t>
  </si>
  <si>
    <t>Architecture &amp; Design</t>
  </si>
  <si>
    <t>20 x 20" (50.8 x 50.8 cm)</t>
  </si>
  <si>
    <t>Ludwig Mies van der Rohe</t>
  </si>
  <si>
    <t>Mies van der Rohe Archive</t>
  </si>
  <si>
    <t>Ink on paper</t>
  </si>
  <si>
    <t>Gouache on board</t>
  </si>
  <si>
    <t>Graphite on paper</t>
  </si>
  <si>
    <t>Silkscreen</t>
  </si>
  <si>
    <t>Graphite and colored pencil on paper</t>
  </si>
  <si>
    <t>c. 1935</t>
  </si>
  <si>
    <t>Print</t>
  </si>
  <si>
    <t>Ink and gouache on paper</t>
  </si>
  <si>
    <t>Frank Lloyd Wright</t>
  </si>
  <si>
    <t>Lithograph</t>
  </si>
  <si>
    <t>Simulated Dwelling for a Family of Five Project</t>
  </si>
  <si>
    <t>David Jacob</t>
  </si>
  <si>
    <t>Fiberglass, polyester resin, metal, paper, plastic and synthetic polymer paint</t>
  </si>
  <si>
    <t>28 x 34 3/8 x 34 3/8" (71.1 x 87.3 x 87.3 cm)</t>
  </si>
  <si>
    <t>https://www.moma.org/collection/works/257</t>
  </si>
  <si>
    <t>https://www.moma.org/media/W1siZiIsIjIyODY1OCJdLFsicCIsImNvbnZlcnQiLCItcmVzaXplIDEwMjR4MTAyNFx1MDAzZSJdXQ.jpg?sha=0f4261daac246e9b</t>
  </si>
  <si>
    <t>40 x 30" (101.6 x 76.2 cm)</t>
  </si>
  <si>
    <t>Watercolor and ink on paper</t>
  </si>
  <si>
    <t>Etching</t>
  </si>
  <si>
    <t>c. 1929-30</t>
  </si>
  <si>
    <t>Frederick Kiesler</t>
  </si>
  <si>
    <t>Charcoal on paper</t>
  </si>
  <si>
    <t>12 1/8 x 14 3/4" (30.8 x 37.5 cm)</t>
  </si>
  <si>
    <t>1952-53</t>
  </si>
  <si>
    <t>12 x 18" (30.5 x 45.7 cm)</t>
  </si>
  <si>
    <t>Letterpress</t>
  </si>
  <si>
    <t>Watercolor on paper</t>
  </si>
  <si>
    <t>12 x 17" (30.5 x 43.2 cm)</t>
  </si>
  <si>
    <t>Untitled</t>
  </si>
  <si>
    <t>Le Corbusier (Charles-Édouard Jeanneret)</t>
  </si>
  <si>
    <t>30 x 40" (76.2 x 101.6 cm)</t>
  </si>
  <si>
    <t>12 x 16" (30.5 x 40.6 cm)</t>
  </si>
  <si>
    <t>11 x 14" (27.9 x 35.6 cm)</t>
  </si>
  <si>
    <t>43 1/2 x 43 1/2" (110.5 x 110.5 cm)</t>
  </si>
  <si>
    <t>Paper</t>
  </si>
  <si>
    <t>Ink on colored paper</t>
  </si>
  <si>
    <t>c. 1938</t>
  </si>
  <si>
    <t>1934–1935</t>
  </si>
  <si>
    <t>Pencil on paper</t>
  </si>
  <si>
    <t>Concrete Office Building Project, Berlin, Germany (Exterior perspective)</t>
  </si>
  <si>
    <t>Charcoal and crayon on paper</t>
  </si>
  <si>
    <t>54 1/2 x 113 3/4" (138.4 x 288.9 cm)</t>
  </si>
  <si>
    <t>https://www.moma.org/collection/works/775</t>
  </si>
  <si>
    <t>https://www.moma.org/media/W1siZiIsIjQwMDE2MSJdLFsicCIsImNvbnZlcnQiLCItcmVzaXplIDEwMjR4MTAyNFx1MDAzZSJdXQ.jpg?sha=110180447018c67d</t>
  </si>
  <si>
    <t>early 1940s</t>
  </si>
  <si>
    <t>c. 1930</t>
  </si>
  <si>
    <t>Gouache on paper</t>
  </si>
  <si>
    <t>24 x 36" (61 x 91.4 cm)</t>
  </si>
  <si>
    <t>Michael Webb</t>
  </si>
  <si>
    <t>Graphite and ink on tracing paper mounted on board</t>
  </si>
  <si>
    <t>Furniture Manufacturers Association Headquarters, project, High Wycombe, England, Side elevation</t>
  </si>
  <si>
    <t>1957-58</t>
  </si>
  <si>
    <t>23 1/2 x 32" (59.7 x 81.3 cm)</t>
  </si>
  <si>
    <t>https://www.moma.org/collection/works/941</t>
  </si>
  <si>
    <t>https://www.moma.org/media/W1siZiIsIjUzMDIyMSJdLFsicCIsImNvbnZlcnQiLCItcmVzaXplIDEwMjR4MTAyNFx1MDAzZSJdXQ.jpg?sha=2964904217fe93e6</t>
  </si>
  <si>
    <t>Wood</t>
  </si>
  <si>
    <t>Plastic</t>
  </si>
  <si>
    <t>3426, 2899</t>
  </si>
  <si>
    <t>1671, 1672</t>
  </si>
  <si>
    <t>1989-91</t>
  </si>
  <si>
    <t>Acrylic</t>
  </si>
  <si>
    <t>Column Cover for the German Pavilion, International Exposition, Barcelona, Spain</t>
  </si>
  <si>
    <t>1928-29</t>
  </si>
  <si>
    <t>Chrome-plated steel</t>
  </si>
  <si>
    <t>118 1/2 x 6 1/2 x 6 1/2" (301 x 16.5 x 16.5 cm)</t>
  </si>
  <si>
    <t>https://www.moma.org/collection/works/1007</t>
  </si>
  <si>
    <t>https://www.moma.org/media/W1siZiIsIjIxMDkyNSJdLFsicCIsImNvbnZlcnQiLCItcmVzaXplIDEwMjR4MTAyNFx1MDAzZSJdXQ.jpg?sha=f09f4ba416d3a81e</t>
  </si>
  <si>
    <t>Alvar Aalto</t>
  </si>
  <si>
    <t>Stainless steel</t>
  </si>
  <si>
    <t>1977-78</t>
  </si>
  <si>
    <t>1954-58</t>
  </si>
  <si>
    <t>Vase</t>
  </si>
  <si>
    <t>Design</t>
  </si>
  <si>
    <t>Kaj Franck</t>
  </si>
  <si>
    <t>Josef Hoffmann</t>
  </si>
  <si>
    <t>Glass</t>
  </si>
  <si>
    <t>Blown glass</t>
  </si>
  <si>
    <t>Unidentified Designer</t>
  </si>
  <si>
    <t>Borosilicate glass</t>
  </si>
  <si>
    <t>Corning Glass Works, Corning, NY</t>
  </si>
  <si>
    <t>1920s</t>
  </si>
  <si>
    <t>c. 1963</t>
  </si>
  <si>
    <t>c. 1951</t>
  </si>
  <si>
    <t>c. 1965</t>
  </si>
  <si>
    <t>Bronze</t>
  </si>
  <si>
    <t>Massimo Vignelli</t>
  </si>
  <si>
    <t>Bruno Munari</t>
  </si>
  <si>
    <t>Tumblers</t>
  </si>
  <si>
    <t>Glazed porcelain</t>
  </si>
  <si>
    <t>Enzo Mari</t>
  </si>
  <si>
    <t>Pitcher</t>
  </si>
  <si>
    <t>ABS plastic</t>
  </si>
  <si>
    <t>c. 1915</t>
  </si>
  <si>
    <t>Linen</t>
  </si>
  <si>
    <t>Isamu Noguchi</t>
  </si>
  <si>
    <t>Glazed ceramic</t>
  </si>
  <si>
    <t>c. 1953</t>
  </si>
  <si>
    <t>Carna Folding Wheelchair</t>
  </si>
  <si>
    <t>Kazuo Kawasaki</t>
  </si>
  <si>
    <t>Titanium, rubber, and aluminum honeycomb</t>
  </si>
  <si>
    <t>33 x 22 x 35 1/4" (83.8 x 55.9 x 89.5 cm)</t>
  </si>
  <si>
    <t>https://www.moma.org/collection/works/1512</t>
  </si>
  <si>
    <t>https://www.moma.org/media/W1siZiIsIjIxMDAyMSJdLFsicCIsImNvbnZlcnQiLCItcmVzaXplIDEwMjR4MTAyNFx1MDAzZSJdXQ.jpg?sha=3b7076d407aab09b</t>
  </si>
  <si>
    <t>Makoto Komatsu</t>
  </si>
  <si>
    <t>c. 1948</t>
  </si>
  <si>
    <t>1950s</t>
  </si>
  <si>
    <t>Polypropylene</t>
  </si>
  <si>
    <t>c. 1908</t>
  </si>
  <si>
    <t>Mind Expander / Flyhead Helmet</t>
  </si>
  <si>
    <t>8412, 8413, 7561, 8414, 7562</t>
  </si>
  <si>
    <t>https://www.moma.org/media/W1siZiIsIjQyMDk5MSJdLFsicCIsImNvbnZlcnQiLCItcmVzaXplIDEwMjR4MTAyNFx1MDAzZSJdXQ.jpg?sha=e47c3b5df9258394</t>
  </si>
  <si>
    <t>c. 1949</t>
  </si>
  <si>
    <t>c. 1950</t>
  </si>
  <si>
    <t>Philippe Starck</t>
  </si>
  <si>
    <t>c. 1940</t>
  </si>
  <si>
    <t>c. 1946</t>
  </si>
  <si>
    <t>Juicy Salif Lemon Squeezer</t>
  </si>
  <si>
    <t>P.T.F.E.-treated pressure cast aluminum and polyamide</t>
  </si>
  <si>
    <t>11 1/2 x 5" (29.2 x 12.7 cm)</t>
  </si>
  <si>
    <t>https://www.moma.org/collection/works/1825</t>
  </si>
  <si>
    <t>https://www.moma.org/media/W1siZiIsIjIxMDExNyJdLFsicCIsImNvbnZlcnQiLCItcmVzaXplIDEwMjR4MTAyNFx1MDAzZSJdXQ.jpg?sha=1b9d4471735839d3</t>
  </si>
  <si>
    <t>The Aluminum Cooking Utensil Co., New York, NY</t>
  </si>
  <si>
    <t>Aluminum</t>
  </si>
  <si>
    <t>Man Ray (Emmanuel Radnitzky)</t>
  </si>
  <si>
    <t>1932–1933</t>
  </si>
  <si>
    <t>Max-2 Stacking Cups</t>
  </si>
  <si>
    <t>Each: 2 3/4 x 6 1/4 x 7 1/2" (7 x 15.9 x 19.1 cm)</t>
  </si>
  <si>
    <t>https://www.moma.org/collection/works/1911</t>
  </si>
  <si>
    <t>https://www.moma.org/media/W1siZiIsIjIxMDE0OSJdLFsicCIsImNvbnZlcnQiLCItcmVzaXplIDEwMjR4MTAyNFx1MDAzZSJdXQ.jpg?sha=bd4f4bc76f2d531e</t>
  </si>
  <si>
    <t>Charles Eames</t>
  </si>
  <si>
    <t>c. 1944</t>
  </si>
  <si>
    <t>Tilt-Back Side Chair</t>
  </si>
  <si>
    <t>Molded plywood, metal rod, rubber shockmounts, and rubber glides</t>
  </si>
  <si>
    <t>25 3/4 x 20 x 29" (65.4 x 50.8 x 73.7 cm)</t>
  </si>
  <si>
    <t>https://www.moma.org/collection/works/1964</t>
  </si>
  <si>
    <t>https://www.moma.org/media/W1siZiIsIjIyNjM3MyJdLFsicCIsImNvbnZlcnQiLCItcmVzaXplIDEwMjR4MTAyNFx1MDAzZSJdXQ.jpg?sha=16733e2d84824824</t>
  </si>
  <si>
    <t>Coors Porcelain Co., Golden, CO</t>
  </si>
  <si>
    <t>Timo Sarpaneva</t>
  </si>
  <si>
    <t>c. 1945</t>
  </si>
  <si>
    <t>Wilhelm Wagenfeld</t>
  </si>
  <si>
    <t>Hans Wegner</t>
  </si>
  <si>
    <t>Lurelle Guild</t>
  </si>
  <si>
    <t>c. 1925</t>
  </si>
  <si>
    <t>c. 1926</t>
  </si>
  <si>
    <t>Fish</t>
  </si>
  <si>
    <t>Little River</t>
  </si>
  <si>
    <t>Lenore Tawney</t>
  </si>
  <si>
    <t>91 1/2 x 21" (232.4 x 53.3 cm)</t>
  </si>
  <si>
    <t>https://www.moma.org/collection/works/2067</t>
  </si>
  <si>
    <t>https://www.moma.org/media/W1siZiIsIjM5MTE5NSJdLFsicCIsImNvbnZlcnQiLCItcmVzaXplIDEwMjR4MTAyNFx1MDAzZSJdXQ.jpg?sha=19d84324c8dea7de</t>
  </si>
  <si>
    <t>c. 1900</t>
  </si>
  <si>
    <t>Before 1934</t>
  </si>
  <si>
    <t>Bud Vase</t>
  </si>
  <si>
    <t>Painted steel</t>
  </si>
  <si>
    <t>Lounge Chair</t>
  </si>
  <si>
    <t>c. 1903-04</t>
  </si>
  <si>
    <t>Prototype for Chaise Longue (La Chaise)</t>
  </si>
  <si>
    <t>Hard rubber foam, plastic, wood, and metal</t>
  </si>
  <si>
    <t>32 1/2 x 59 x 34 1/4" (82.5 x 149.8 x 87 cm)</t>
  </si>
  <si>
    <t>https://www.moma.org/collection/works/2133</t>
  </si>
  <si>
    <t>https://www.moma.org/media/W1siZiIsIjIxMjEwNCJdLFsicCIsImNvbnZlcnQiLCItcmVzaXplIDEwMjR4MTAyNFx1MDAzZSJdXQ.jpg?sha=a829eced7842c23c</t>
  </si>
  <si>
    <t>c. 1920</t>
  </si>
  <si>
    <t>c. 1941</t>
  </si>
  <si>
    <t>1930s</t>
  </si>
  <si>
    <t>Hector Guimard</t>
  </si>
  <si>
    <t>Cast aluminum</t>
  </si>
  <si>
    <t>Tumbler</t>
  </si>
  <si>
    <t>Turn mold-blown glass</t>
  </si>
  <si>
    <t>h. 8 3/4" (22.2 cm), diam. 3 7/8" (9.9 cm)</t>
  </si>
  <si>
    <t>https://www.moma.org/collection/works/2200</t>
  </si>
  <si>
    <t>https://www.moma.org/media/W1siZiIsIjIyODAxMiJdLFsicCIsImNvbnZlcnQiLCItcmVzaXplIDEwMjR4MTAyNFx1MDAzZSJdXQ.jpg?sha=14397e948a30d891</t>
  </si>
  <si>
    <t>c. 1910</t>
  </si>
  <si>
    <t>Each: 3 1/4 x 3 1/8" (8.3 x 8 cm)</t>
  </si>
  <si>
    <t>https://www.moma.org/collection/works/2205</t>
  </si>
  <si>
    <t>https://www.moma.org/media/W1siZiIsIjIyODAxMyJdLFsicCIsImNvbnZlcnQiLCItcmVzaXplIDEwMjR4MTAyNFx1MDAzZSJdXQ.jpg?sha=6e69bbb923df7620</t>
  </si>
  <si>
    <t>Flatware</t>
  </si>
  <si>
    <t>Lalance &amp; Grosjean Mfg. Co., Woodhaven, NY</t>
  </si>
  <si>
    <t>Armchair</t>
  </si>
  <si>
    <t>Mahogany</t>
  </si>
  <si>
    <t>Bell-47D1 Helicopter</t>
  </si>
  <si>
    <t>Arthur Young</t>
  </si>
  <si>
    <t>Aluminum, steel, and acrylic plastic</t>
  </si>
  <si>
    <t>9' 2 3/4" x 7' 11" x 42' 8 3/4" (281.3 x 302 x 1271.9 cm)</t>
  </si>
  <si>
    <t>https://www.moma.org/collection/works/2234</t>
  </si>
  <si>
    <t>https://www.moma.org/media/W1siZiIsIjI0ODkwMCJdLFsicCIsImNvbnZlcnQiLCItcmVzaXplIDEwMjR4MTAyNFx1MDAzZSJdXQ.jpg?sha=1e29acec814a8870</t>
  </si>
  <si>
    <t>c. 1956</t>
  </si>
  <si>
    <t>Metall-Arbeit Wiener Werkstätte</t>
  </si>
  <si>
    <t>c. 1905</t>
  </si>
  <si>
    <t>Painted perforated metal</t>
  </si>
  <si>
    <t>Dark River</t>
  </si>
  <si>
    <t>Linen and wood</t>
  </si>
  <si>
    <t>164 x 22 1/2" (416.6 x 57.2 cm)</t>
  </si>
  <si>
    <t>https://www.moma.org/collection/works/2267</t>
  </si>
  <si>
    <t>https://www.moma.org/media/W1siZiIsIjI4NDc1MCJdLFsicCIsImNvbnZlcnQiLCItcmVzaXplIDEwMjR4MTAyNFx1MDAzZSJdXQ.jpg?sha=e0591a2e13829cbe</t>
  </si>
  <si>
    <t>Textile</t>
  </si>
  <si>
    <t>Side Chair (model DCMU)</t>
  </si>
  <si>
    <t>Polyester reinforced with glass fibers, steel tube, Naugahyde with polyurethane foam padding, vinyl, and nylon</t>
  </si>
  <si>
    <t>Each: 29 1/2 x 19 1/2 x 21 1/2" (74.9 x 49.5 x 54.6 cm)</t>
  </si>
  <si>
    <t>https://www.moma.org/collection/works/2294</t>
  </si>
  <si>
    <t>https://www.moma.org/media/W1siZiIsIjIyODQzNCJdLFsicCIsImNvbnZlcnQiLCItcmVzaXplIDEwMjR4MTAyNFx1MDAzZSJdXQ.jpg?sha=e89eae257b2fbd95</t>
  </si>
  <si>
    <t>c. 1937</t>
  </si>
  <si>
    <t>Oak</t>
  </si>
  <si>
    <t>Gerrit Rietveld</t>
  </si>
  <si>
    <t>Stool</t>
  </si>
  <si>
    <t>Painted wood</t>
  </si>
  <si>
    <t>Child's cradle (model 1573)</t>
  </si>
  <si>
    <t>8182, 8845, 10582</t>
  </si>
  <si>
    <t>c. 1895</t>
  </si>
  <si>
    <t>Ebonized bent beechwood</t>
  </si>
  <si>
    <t>80 1/4 x 56 1/4 x 25 7/16" (203.8 x 142.9 x 64.6 cm)</t>
  </si>
  <si>
    <t>https://www.moma.org/collection/works/2334</t>
  </si>
  <si>
    <t>https://www.moma.org/media/W1siZiIsIjIxMDUyNSJdLFsicCIsImNvbnZlcnQiLCItcmVzaXplIDEwMjR4MTAyNFx1MDAzZSJdXQ.jpg?sha=b953728b4dac2621</t>
  </si>
  <si>
    <t>Koloman Moser</t>
  </si>
  <si>
    <t>Daum Frères, Nancy, France</t>
  </si>
  <si>
    <t>Hand-painted sculptured glass</t>
  </si>
  <si>
    <t>21 1/2 × 4 3/8 × 4 1/4" (54.6 × 11.1 × 10.8 cm)</t>
  </si>
  <si>
    <t>https://www.moma.org/collection/works/2363</t>
  </si>
  <si>
    <t>https://www.moma.org/media/W1siZiIsIjU1NjIwMyJdLFsicCIsImNvbnZlcnQiLCItcmVzaXplIDEwMjR4MTAyNFx1MDAzZSJdXQ.jpg?sha=7a3c71ef95e440e1</t>
  </si>
  <si>
    <t>Aluminum and plastic</t>
  </si>
  <si>
    <t>c. 1907</t>
  </si>
  <si>
    <t>Le Parthènon Vase</t>
  </si>
  <si>
    <t>Painted glass</t>
  </si>
  <si>
    <t>15 3/16 × 3 1/4 × 3 1/2" (38.6 × 8.3 × 8.9 cm)</t>
  </si>
  <si>
    <t>https://www.moma.org/collection/works/2368</t>
  </si>
  <si>
    <t>https://www.moma.org/media/W1siZiIsIjIyODUxMiJdLFsicCIsImNvbnZlcnQiLCItcmVzaXplIDEwMjR4MTAyNFx1MDAzZSJdXQ.jpg?sha=558a588d4e27c5cd</t>
  </si>
  <si>
    <t>c. 1970</t>
  </si>
  <si>
    <t>18 1/8 × 3 1/4 × 2 1/2" (46 × 8.3 × 6.4 cm)</t>
  </si>
  <si>
    <t>https://www.moma.org/collection/works/2373</t>
  </si>
  <si>
    <t>https://www.moma.org/media/W1siZiIsIjIyODUxOSJdLFsicCIsImNvbnZlcnQiLCItcmVzaXplIDEwMjR4MTAyNFx1MDAzZSJdXQ.jpg?sha=e351bfe7021e1a18</t>
  </si>
  <si>
    <t>8 1/4 x 3 1/2 x 2 3/4" (21 x 8.9 x 7 cm)</t>
  </si>
  <si>
    <t>https://www.moma.org/collection/works/2377</t>
  </si>
  <si>
    <t>https://www.moma.org/media/W1siZiIsIjIxMDU1NiJdLFsicCIsImNvbnZlcnQiLCItcmVzaXplIDEwMjR4MTAyNFx1MDAzZSJdXQ.jpg?sha=8fe2792e391d8c24</t>
  </si>
  <si>
    <t>Miniature Vase</t>
  </si>
  <si>
    <t>5 7/8 × 1 7/8 × 1 7/8" (14.9 × 4.8 × 4.8 cm)</t>
  </si>
  <si>
    <t>https://www.moma.org/collection/works/2381</t>
  </si>
  <si>
    <t>https://www.moma.org/media/W1siZiIsIjIyODUyMyJdLFsicCIsImNvbnZlcnQiLCItcmVzaXplIDEwMjR4MTAyNFx1MDAzZSJdXQ.jpg?sha=4000408274c1db9c</t>
  </si>
  <si>
    <t>6 × 2 × 2" (15.2 × 5.1 × 5.1 cm)</t>
  </si>
  <si>
    <t>https://www.moma.org/collection/works/2384</t>
  </si>
  <si>
    <t>https://www.moma.org/media/W1siZiIsIjIyODU5NyJdLFsicCIsImNvbnZlcnQiLCItcmVzaXplIDEwMjR4MTAyNFx1MDAzZSJdXQ.jpg?sha=57006abd13064ad0</t>
  </si>
  <si>
    <t>Entrance Gate to Paris Subway (Métropolitain) Station, Paris, France</t>
  </si>
  <si>
    <t>Painted cast iron, glazed lava, and glass</t>
  </si>
  <si>
    <t>13' 11" x 17' 10" x 32" (424.2 x 543.6 x 81.3 cm)_x000D_
Each vertical stanchion: 1040 lbs. Horizontal component: 460 lbs. Glazed lava sign: 100 lbs.</t>
  </si>
  <si>
    <t>https://www.moma.org/collection/works/2393</t>
  </si>
  <si>
    <t>https://www.moma.org/media/W1siZiIsIjI0MDYzNCJdLFsicCIsImNvbnZlcnQiLCItcmVzaXplIDEwMjR4MTAyNFx1MDAzZSJdXQ.jpg?sha=9ec928b17dd8619b</t>
  </si>
  <si>
    <t>Bottles</t>
  </si>
  <si>
    <t>Steel</t>
  </si>
  <si>
    <t>Brass</t>
  </si>
  <si>
    <t>American Steel &amp; Wire Co., Worcester, MA</t>
  </si>
  <si>
    <t>Aluminum Company of America, Pittsburgh, Pennsylvania</t>
  </si>
  <si>
    <t>Salt and Pepper Shakers</t>
  </si>
  <si>
    <t>Before 1958</t>
  </si>
  <si>
    <t>Plastic and metal</t>
  </si>
  <si>
    <t>Tulip Armchair (model 150)</t>
  </si>
  <si>
    <t>Eero Saarinen</t>
  </si>
  <si>
    <t>1955-56</t>
  </si>
  <si>
    <t>Fiberglass-reinforced polyester and cast aluminum</t>
  </si>
  <si>
    <t>31 1/2 x 25 1/4 x 23 1/2" (80 x 64.1 x 59.7 cm)</t>
  </si>
  <si>
    <t>https://www.moma.org/collection/works/2565</t>
  </si>
  <si>
    <t>https://www.moma.org/media/W1siZiIsIjUxNzkwNCJdLFsicCIsImNvbnZlcnQiLCItcmVzaXplIDEwMjR4MTAyNFx1MDAzZSJdXQ.jpg?sha=c735b3f62bac1931</t>
  </si>
  <si>
    <t>Plastic and stainless steel</t>
  </si>
  <si>
    <t>Arshile Gorky</t>
  </si>
  <si>
    <t>Candleholder</t>
  </si>
  <si>
    <t>Bearing Spring</t>
  </si>
  <si>
    <t>2 1/2 x 1 5/16" (6.4 x 3.4 cm)</t>
  </si>
  <si>
    <t>https://www.moma.org/collection/works/2659</t>
  </si>
  <si>
    <t>https://www.moma.org/media/W1siZiIsIjIxMDY4NyJdLFsicCIsImNvbnZlcnQiLCItcmVzaXplIDEwMjR4MTAyNFx1MDAzZSJdXQ.jpg?sha=f6c14e8dd33a4ac4</t>
  </si>
  <si>
    <t>Self-Aligning Ball Bearing</t>
  </si>
  <si>
    <t>Sven Wingquist</t>
  </si>
  <si>
    <t>1 3/4 x 8 1/2" (4.4 x 21.6 cm)</t>
  </si>
  <si>
    <t>https://www.moma.org/collection/works/2682</t>
  </si>
  <si>
    <t>https://www.moma.org/media/W1siZiIsIjIxMDcwMCJdLFsicCIsImNvbnZlcnQiLCItcmVzaXplIDEwMjR4MTAyNFx1MDAzZSJdXQ.jpg?sha=805516127e63e161</t>
  </si>
  <si>
    <t>c. 1936</t>
  </si>
  <si>
    <t>Flush Valve</t>
  </si>
  <si>
    <t>Scovill Mfg. Co., Plumbers Brass Goods Div., Waterbury, CT</t>
  </si>
  <si>
    <t>Chromium</t>
  </si>
  <si>
    <t>13 3/8 × 12 × 3 3/4" (34 × 30.5 × 9.5 cm)</t>
  </si>
  <si>
    <t>https://www.moma.org/collection/works/2704</t>
  </si>
  <si>
    <t>https://www.moma.org/media/W1siZiIsIjIxMDcxMiJdLFsicCIsImNvbnZlcnQiLCItcmVzaXplIDEwMjR4MTAyNFx1MDAzZSJdXQ.jpg?sha=b1f0b041fbdb5455</t>
  </si>
  <si>
    <t>Chess Set</t>
  </si>
  <si>
    <t>Akari Floor Lamp (model 2P)</t>
  </si>
  <si>
    <t>c. 1968</t>
  </si>
  <si>
    <t>Paper shade and metal frame</t>
  </si>
  <si>
    <t>h. 30" (76.2 cm)</t>
  </si>
  <si>
    <t>https://www.moma.org/collection/works/2728</t>
  </si>
  <si>
    <t>https://www.moma.org/media/W1siZiIsIjIyODgwOSJdLFsicCIsImNvbnZlcnQiLCItcmVzaXplIDEwMjR4MTAyNFx1MDAzZSJdXQ.jpg?sha=cf7fba4d2ac5f3b6</t>
  </si>
  <si>
    <t>Steel Balls</t>
  </si>
  <si>
    <t>S.K.F. Industries, Inc., Hartford, CT</t>
  </si>
  <si>
    <t>Nickel-plated steel</t>
  </si>
  <si>
    <t>Dimensions range from a minimum diameter of  3/8" (1 cm) to a max diameter of 1" (2.5 cm)</t>
  </si>
  <si>
    <t>https://www.moma.org/collection/works/2731</t>
  </si>
  <si>
    <t>https://www.moma.org/media/W1siZiIsIjIxMDcyOSJdLFsicCIsImNvbnZlcnQiLCItcmVzaXplIDEwMjR4MTAyNFx1MDAzZSJdXQ.jpg?sha=80b58dcb7f6b0c95</t>
  </si>
  <si>
    <t>c. 1932</t>
  </si>
  <si>
    <t>Boiling Flasks</t>
  </si>
  <si>
    <t>.1: 14 5/8 x 9 1/2" (37.2 x 24.1 cm)_x000D_
.2: 7 x 4" (17.8 x 10.2 cm)_x000D_
.4: 8 1/2 x 5 1/8" (21.6 x 13 cm)_x000D_
.5-.6: 5 5/8 x 3 1/4" (14.3 x 8.2 cm)</t>
  </si>
  <si>
    <t>https://www.moma.org/collection/works/2805</t>
  </si>
  <si>
    <t>https://www.moma.org/media/W1siZiIsIjIxMDc2MCJdLFsicCIsImNvbnZlcnQiLCItcmVzaXplIDEwMjR4MTAyNFx1MDAzZSJdXQ.jpg?sha=a19a047dbf5a1b7a</t>
  </si>
  <si>
    <t>1920–1926</t>
  </si>
  <si>
    <t>Silver-plated and oxidized silver-plated brass</t>
  </si>
  <si>
    <t>Tallest piece: h. 4" (10.2 cm)_x000D_
Case: 2 5/8 x 21 1/4 x 16 1/2" (6.7 x 54 x 41.9 cm)</t>
  </si>
  <si>
    <t>https://www.moma.org/collection/works/2807</t>
  </si>
  <si>
    <t>https://www.moma.org/media/W1siZiIsIjI1Mjc1OSJdLFsicCIsImNvbnZlcnQiLCItcmVzaXplIDEwMjR4MTAyNFx1MDAzZSJdXQ.jpg?sha=9d8ac151caf39fee</t>
  </si>
  <si>
    <t>Beakers</t>
  </si>
  <si>
    <t>.1: 8 3/8 x 5 3/8" (21.2 x 13.7 cm)_x000D_
.3: 6 1/2 x 4 1/4" (16.5 x 10.8 cm)_x000D_
.4: 6 x 3 7/8" (15.2 x 9.8 cm)_x000D_
.5: 5 5/8 x 3 5/8" (14.3 x 9.2 cm)_x000D_
.7: 4 5/8 x 3 1/8" (11.8 x 7.9 cm)_x000D_
.9: 3 3/4 x 2 1/2" (9.5 x 6.4 cm)</t>
  </si>
  <si>
    <t>https://www.moma.org/collection/works/2816</t>
  </si>
  <si>
    <t>https://www.moma.org/media/W1siZiIsIjIxMDc2MyJdLFsicCIsImNvbnZlcnQiLCItcmVzaXplIDEwMjR4MTAyNFx1MDAzZSJdXQ.jpg?sha=e509fc25b6553176</t>
  </si>
  <si>
    <t>Stacking Tumblers</t>
  </si>
  <si>
    <t>Spring</t>
  </si>
  <si>
    <t>2 1/4 x 2 1/4" (5.7 x 5.7 cm)</t>
  </si>
  <si>
    <t>https://www.moma.org/collection/works/2841</t>
  </si>
  <si>
    <t>https://www.moma.org/media/W1siZiIsIjIxMDc3OCJdLFsicCIsImNvbnZlcnQiLCItcmVzaXplIDEwMjR4MTAyNFx1MDAzZSJdXQ.jpg?sha=4c83ced717ca1447</t>
  </si>
  <si>
    <t>Hydrometer Jar</t>
  </si>
  <si>
    <t>h. 10" (25.4 cm), diam. 11/16" (1.8 cm); base diam. 1 15/16" (4.9 cm)</t>
  </si>
  <si>
    <t>https://www.moma.org/collection/works/2859</t>
  </si>
  <si>
    <t>https://www.moma.org/media/W1siZiIsIjIxMDc4NyJdLFsicCIsImNvbnZlcnQiLCItcmVzaXplIDEwMjR4MTAyNFx1MDAzZSJdXQ.jpg?sha=8aff4a542a3efc49</t>
  </si>
  <si>
    <t>1925-26</t>
  </si>
  <si>
    <t>6 3/4 x 1 5/8" (17.2 x 4.2 cm)</t>
  </si>
  <si>
    <t>https://www.moma.org/collection/works/2890</t>
  </si>
  <si>
    <t>https://www.moma.org/media/W1siZiIsIjIxMDgwOSJdLFsicCIsImNvbnZlcnQiLCItcmVzaXplIDEwMjR4MTAyNFx1MDAzZSJdXQ.jpg?sha=9f8bda1f03a4436c</t>
  </si>
  <si>
    <t>Wear-Ever Tea Kettle (model 1403)</t>
  </si>
  <si>
    <t>c. 1932-33</t>
  </si>
  <si>
    <t>8 1/2 x 9 1/2" (21.6 x 24.1 cm)</t>
  </si>
  <si>
    <t>https://www.moma.org/collection/works/2891</t>
  </si>
  <si>
    <t>https://www.moma.org/media/W1siZiIsIjIyODkxMSJdLFsicCIsImNvbnZlcnQiLCItcmVzaXplIDEwMjR4MTAyNFx1MDAzZSJdXQ.jpg?sha=13d364be6a47af30</t>
  </si>
  <si>
    <t>1950-51</t>
  </si>
  <si>
    <t>Carafe</t>
  </si>
  <si>
    <t>Flores Box</t>
  </si>
  <si>
    <t>Thermoplastic polymer</t>
  </si>
  <si>
    <t>3 x 12 1/4 x 6" (7.6 x 31.1 x 15.2 cm)</t>
  </si>
  <si>
    <t>https://www.moma.org/collection/works/2983</t>
  </si>
  <si>
    <t>https://www.moma.org/media/W1siZiIsIjIxMDg1MyJdLFsicCIsImNvbnZlcnQiLCItcmVzaXplIDEwMjR4MTAyNFx1MDAzZSJdXQ.jpg?sha=c087e4e6cd38315f</t>
  </si>
  <si>
    <t>Object</t>
  </si>
  <si>
    <t>c. 1943</t>
  </si>
  <si>
    <t>Owens-Illinois Glass Co., Toledo, OH</t>
  </si>
  <si>
    <t>Glass and plastic</t>
  </si>
  <si>
    <t>.1: 6 1/2 x 3 1/4" (16.5 x 8.3 cm)_x000D_
.2: 5 1/4 x 2 3/8" (13.4 x 6 cm)_x000D_
.3: 4 1/4 x 2" (10.8 x 5.1 cm)</t>
  </si>
  <si>
    <t>https://www.moma.org/collection/works/3025</t>
  </si>
  <si>
    <t>https://www.moma.org/media/W1siZiIsIjIxMDg2OCJdLFsicCIsImNvbnZlcnQiLCItcmVzaXplIDEwMjR4MTAyNFx1MDAzZSJdXQ.jpg?sha=82554ae87c24eaef</t>
  </si>
  <si>
    <t>Compote dish</t>
  </si>
  <si>
    <t>Otto Prutscher</t>
  </si>
  <si>
    <t>Flashed and cut glass</t>
  </si>
  <si>
    <t>8 x 5 7/8" (20.3 x 15 cm)</t>
  </si>
  <si>
    <t>https://www.moma.org/collection/works/3048</t>
  </si>
  <si>
    <t>https://www.moma.org/media/W1siZiIsIjIyOTAxNSJdLFsicCIsImNvbnZlcnQiLCItcmVzaXplIDEwMjR4MTAyNFx1MDAzZSJdXQ.jpg?sha=f5f6cbff72ecfe08</t>
  </si>
  <si>
    <t>Liqueur glasses</t>
  </si>
  <si>
    <t>.1: h. 3 1/2" (8.9 cm), diam. 2 3/8" (6 cm)_x000D_
.2: h. 2 3/4" (7 cm), diam. 2 1/2" (6.4 cm)_x000D_
.3: h. 5 1/4" (13.3 cm), diam. 2 1/4" (5.7 cm)</t>
  </si>
  <si>
    <t>https://www.moma.org/collection/works/3072</t>
  </si>
  <si>
    <t>https://www.moma.org/media/W1siZiIsIjIxMDg5MiJdLFsicCIsImNvbnZlcnQiLCItcmVzaXplIDEwMjR4MTAyNFx1MDAzZSJdXQ.jpg?sha=598b7fc6c6369e9c</t>
  </si>
  <si>
    <t>Stainless steel and rubber</t>
  </si>
  <si>
    <t>Crusader Hotel Sauce Pots</t>
  </si>
  <si>
    <t>.1: 8 x 18 3/4 x 14 1/8" (20.3 x 47.6 x 35.9 cm)_x000D_
.2: 7 x 17 3/8 x 13 1/4" (17.8 x 44.1 x 33.7 cm)_x000D_
.3: 6 x 16 x 11 1/8" (15.2 x 40.6 x 28.3 cm)</t>
  </si>
  <si>
    <t>https://www.moma.org/collection/works/3144</t>
  </si>
  <si>
    <t>https://www.moma.org/media/W1siZiIsIjIxMDk0MSJdLFsicCIsImNvbnZlcnQiLCItcmVzaXplIDEwMjR4MTAyNFx1MDAzZSJdXQ.jpg?sha=4ba4c3061e6fb3e3</t>
  </si>
  <si>
    <t>Wear-Ever Hotel Sauté Pans</t>
  </si>
  <si>
    <t>.1: 2 x 6 1/4" (5.1 x 15.9 cm)_x000D_
.2: 2 1/4 x 7 1/4" (5.7 x 18.4 cm)_x000D_
.3: 2 1/2 x 8 1/4" (6.4 x 21 cm)_x000D_
.4: 2 3/4 x 10 1/4" (7 x 26 cm)</t>
  </si>
  <si>
    <t>https://www.moma.org/collection/works/3153</t>
  </si>
  <si>
    <t>https://www.moma.org/media/W1siZiIsIjIyOTEyMyJdLFsicCIsImNvbnZlcnQiLCItcmVzaXplIDEwMjR4MTAyNFx1MDAzZSJdXQ.jpg?sha=d2860231caa6f1ca</t>
  </si>
  <si>
    <t>7 5/8 x 3 5/8" (19.4 x 9.2 cm)</t>
  </si>
  <si>
    <t>https://www.moma.org/collection/works/3169</t>
  </si>
  <si>
    <t>https://www.moma.org/media/W1siZiIsIjIxMDk1NSJdLFsicCIsImNvbnZlcnQiLCItcmVzaXplIDEwMjR4MTAyNFx1MDAzZSJdXQ.jpg?sha=3c7a47bb67011775</t>
  </si>
  <si>
    <t>May Day Lamp</t>
  </si>
  <si>
    <t>Konstantin Grcic</t>
  </si>
  <si>
    <t>Plastic and polycarbonate</t>
  </si>
  <si>
    <t>21 x 8 1/2" (53.3 x 21.6 cm)</t>
  </si>
  <si>
    <t>https://www.moma.org/collection/works/3212</t>
  </si>
  <si>
    <t>https://www.moma.org/media/W1siZiIsIjIxMTAwMyJdLFsicCIsImNvbnZlcnQiLCItcmVzaXplIDEwMjR4MTAyNFx1MDAzZSJdXQ.jpg?sha=41fe5e62d420e0e9</t>
  </si>
  <si>
    <t>Aleksandr Rodchenko</t>
  </si>
  <si>
    <t>Scissors</t>
  </si>
  <si>
    <t>Olof Backstrom</t>
  </si>
  <si>
    <t>Designed 1960-1967, this example 1976</t>
  </si>
  <si>
    <t>8 1/2 × 2 3/4 × 1" (21.6 × 7 × 2.5 cm)</t>
  </si>
  <si>
    <t>https://www.moma.org/collection/works/3250</t>
  </si>
  <si>
    <t>https://www.moma.org/media/W1siZiIsIjIxMTAyNyJdLFsicCIsImNvbnZlcnQiLCItcmVzaXplIDEwMjR4MTAyNFx1MDAzZSJdXQ.jpg?sha=00d9bc3b587dcca1</t>
  </si>
  <si>
    <t>Blown painted glass</t>
  </si>
  <si>
    <t>https://www.moma.org/collection/works/3262</t>
  </si>
  <si>
    <t>https://www.moma.org/media/W1siZiIsIjIyOTI0NCJdLFsicCIsImNvbnZlcnQiLCItcmVzaXplIDEwMjR4MTAyNFx1MDAzZSJdXQ.jpg?sha=5758823a9b12138b</t>
  </si>
  <si>
    <t>6 3/8 × 2 × 2" (16.2 × 5.1 × 5.1 cm)</t>
  </si>
  <si>
    <t>https://www.moma.org/collection/works/3266</t>
  </si>
  <si>
    <t>https://www.moma.org/media/W1siZiIsIjIxMTAzNSJdLFsicCIsImNvbnZlcnQiLCItcmVzaXplIDEwMjR4MTAyNFx1MDAzZSJdXQ.jpg?sha=a997c18f32ff43bc</t>
  </si>
  <si>
    <t>6 1/4 × 2 × 2" (15.9 × 5.1 × 5.1 cm)</t>
  </si>
  <si>
    <t>https://www.moma.org/collection/works/3269</t>
  </si>
  <si>
    <t>https://www.moma.org/media/W1siZiIsIjIyOTI0OCJdLFsicCIsImNvbnZlcnQiLCItcmVzaXplIDEwMjR4MTAyNFx1MDAzZSJdXQ.jpg?sha=cda7a4c52e6cdcf7</t>
  </si>
  <si>
    <t>https://www.moma.org/collection/works/3271</t>
  </si>
  <si>
    <t>https://www.moma.org/media/W1siZiIsIjIxMTAzOSJdLFsicCIsImNvbnZlcnQiLCItcmVzaXplIDEwMjR4MTAyNFx1MDAzZSJdXQ.jpg?sha=4c7be42c32d0fa12</t>
  </si>
  <si>
    <t>https://www.moma.org/collection/works/3274</t>
  </si>
  <si>
    <t>https://www.moma.org/media/W1siZiIsIjIxMTA0MSJdLFsicCIsImNvbnZlcnQiLCItcmVzaXplIDEwMjR4MTAyNFx1MDAzZSJdXQ.jpg?sha=a728659970e20fef</t>
  </si>
  <si>
    <t>6 1/4 × 1 3/4 × 1 3/4" (15.9 × 4.4 × 4.4 cm)</t>
  </si>
  <si>
    <t>https://www.moma.org/collection/works/3277</t>
  </si>
  <si>
    <t>https://www.moma.org/media/W1siZiIsIjIxMTA0NSJdLFsicCIsImNvbnZlcnQiLCItcmVzaXplIDEwMjR4MTAyNFx1MDAzZSJdXQ.jpg?sha=56c0cd5b3f0407f9</t>
  </si>
  <si>
    <t>https://www.moma.org/collection/works/3279</t>
  </si>
  <si>
    <t>https://www.moma.org/media/W1siZiIsIjIxMTA0OSJdLFsicCIsImNvbnZlcnQiLCItcmVzaXplIDEwMjR4MTAyNFx1MDAzZSJdXQ.jpg?sha=9a263074322c30ce</t>
  </si>
  <si>
    <t>6 5/8 × 2 × 2" (16.8 × 5.1 × 5.1 cm)</t>
  </si>
  <si>
    <t>https://www.moma.org/collection/works/3281</t>
  </si>
  <si>
    <t>https://www.moma.org/media/W1siZiIsIjIxMTA1MiJdLFsicCIsImNvbnZlcnQiLCItcmVzaXplIDEwMjR4MTAyNFx1MDAzZSJdXQ.jpg?sha=8badf08b3bf9bd3a</t>
  </si>
  <si>
    <t>6 1/4 × 1 7/8 × 1 7/8" (15.9 × 4.8 × 4.8 cm)</t>
  </si>
  <si>
    <t>https://www.moma.org/collection/works/3283</t>
  </si>
  <si>
    <t>https://www.moma.org/media/W1siZiIsIjIxMTA1OCJdLFsicCIsImNvbnZlcnQiLCItcmVzaXplIDEwMjR4MTAyNFx1MDAzZSJdXQ.jpg?sha=63284f1d21d21b51</t>
  </si>
  <si>
    <t>6 1/4 × 2 1/8 × 2 1/8" (15.9 × 5.4 × 5.4 cm)</t>
  </si>
  <si>
    <t>https://www.moma.org/collection/works/3285</t>
  </si>
  <si>
    <t>https://www.moma.org/media/W1siZiIsIjIxMTA2MCJdLFsicCIsImNvbnZlcnQiLCItcmVzaXplIDEwMjR4MTAyNFx1MDAzZSJdXQ.jpg?sha=cd5c1a2d248498ea</t>
  </si>
  <si>
    <t>https://www.moma.org/collection/works/3287</t>
  </si>
  <si>
    <t>https://www.moma.org/media/W1siZiIsIjIyOTI1OCJdLFsicCIsImNvbnZlcnQiLCItcmVzaXplIDEwMjR4MTAyNFx1MDAzZSJdXQ.jpg?sha=42e3bbf20bda5fa4</t>
  </si>
  <si>
    <t>5 1/4 × 2 × 2" (13.3 × 5.1 × 5.1 cm)</t>
  </si>
  <si>
    <t>https://www.moma.org/collection/works/3289</t>
  </si>
  <si>
    <t>https://www.moma.org/media/W1siZiIsIjIyOTI1OSJdLFsicCIsImNvbnZlcnQiLCItcmVzaXplIDEwMjR4MTAyNFx1MDAzZSJdXQ.jpg?sha=b1c1150542b51640</t>
  </si>
  <si>
    <t>6 5/8 × 1 3/4 × 1 3/4" (16.8 × 4.4 × 4.4 cm)</t>
  </si>
  <si>
    <t>https://www.moma.org/collection/works/3291</t>
  </si>
  <si>
    <t>https://www.moma.org/media/W1siZiIsIjIxMTA2OCJdLFsicCIsImNvbnZlcnQiLCItcmVzaXplIDEwMjR4MTAyNFx1MDAzZSJdXQ.jpg?sha=3613f5363e68ece4</t>
  </si>
  <si>
    <t>https://www.moma.org/collection/works/3293</t>
  </si>
  <si>
    <t>https://www.moma.org/media/W1siZiIsIjIxMTA3MCJdLFsicCIsImNvbnZlcnQiLCItcmVzaXplIDEwMjR4MTAyNFx1MDAzZSJdXQ.jpg?sha=097194eaa5166df5</t>
  </si>
  <si>
    <t>1959-60</t>
  </si>
  <si>
    <t>Joseph Maria Olbrich</t>
  </si>
  <si>
    <t>1963-64</t>
  </si>
  <si>
    <t>Louis Sullivan</t>
  </si>
  <si>
    <t>1964-65</t>
  </si>
  <si>
    <t>Zig-Zag Chair</t>
  </si>
  <si>
    <t>Goblet</t>
  </si>
  <si>
    <t>Crinkle Super Bag Vase K-2</t>
  </si>
  <si>
    <t>Glazed cast porcelain</t>
  </si>
  <si>
    <t>9 7/8 x 7 1/4 x 3 7/16" (25.1 x 18.4 x 8.7 cm)</t>
  </si>
  <si>
    <t>https://www.moma.org/collection/works/3429</t>
  </si>
  <si>
    <t>https://www.moma.org/media/W1siZiIsIjUyMTQzOCJdLFsicCIsImNvbnZlcnQiLCItcmVzaXplIDEwMjR4MTAyNFx1MDAzZSJdXQ.jpg?sha=850264ab9a249a8d</t>
  </si>
  <si>
    <t>Sitzmaschine chair with adjustable back (model 670)</t>
  </si>
  <si>
    <t>Bent beechwood with sycamore panels</t>
  </si>
  <si>
    <t xml:space="preserve">43 1/2 x 28 1/4 x 32" (110.5 x 71.8 x 81.3 cm)_x000D_
</t>
  </si>
  <si>
    <t>https://www.moma.org/collection/works/3431</t>
  </si>
  <si>
    <t>https://www.moma.org/media/W1siZiIsIjIxMTE3MSJdLFsicCIsImNvbnZlcnQiLCItcmVzaXplIDEwMjR4MTAyNFx1MDAzZSJdXQ.jpg?sha=29d70c5763c98fd1</t>
  </si>
  <si>
    <t>Robert Michel</t>
  </si>
  <si>
    <t>Wine goblet</t>
  </si>
  <si>
    <t>8 1/2 x 3 7/16" (21.6 x 8.8 cm)</t>
  </si>
  <si>
    <t>https://www.moma.org/collection/works/3462</t>
  </si>
  <si>
    <t>https://www.moma.org/media/W1siZiIsIjIxMTE5NiJdLFsicCIsImNvbnZlcnQiLCItcmVzaXplIDEwMjR4MTAyNFx1MDAzZSJdXQ.jpg?sha=32fead6a5589c548</t>
  </si>
  <si>
    <t>Oak and brass fittings</t>
  </si>
  <si>
    <t>29 1/2 x 14 1/2 x 17 1/2" (75 x 36.8 x 44.5 cm), seat h. 16" (40.6 cm)</t>
  </si>
  <si>
    <t>https://www.moma.org/collection/works/3477</t>
  </si>
  <si>
    <t>https://www.moma.org/media/W1siZiIsIjIyOTUzNCJdLFsicCIsImNvbnZlcnQiLCItcmVzaXplIDEwMjR4MTAyNFx1MDAzZSJdXQ.jpg?sha=b2dbf1d68149c2e3</t>
  </si>
  <si>
    <t>Watercolor and pencil on paper</t>
  </si>
  <si>
    <t>Designed 1927 (this example 1976)</t>
  </si>
  <si>
    <t>Luigi Massoni</t>
  </si>
  <si>
    <t>Studio Opi</t>
  </si>
  <si>
    <t>Coffee and Tea Box for the Dutch company Van Nelle</t>
  </si>
  <si>
    <t>Jacob Jongert</t>
  </si>
  <si>
    <t>1928–1930</t>
  </si>
  <si>
    <t>Printed tin</t>
  </si>
  <si>
    <t>14 1/2 x 16 15/16 x 11 1/4" (36.8 x 43 x 28.6 cm)</t>
  </si>
  <si>
    <t>https://www.moma.org/collection/works/3598</t>
  </si>
  <si>
    <t>https://www.moma.org/media/W1siZiIsIjIyOTY1NyJdLFsicCIsImNvbnZlcnQiLCItcmVzaXplIDEwMjR4MTAyNFx1MDAzZSJdXQ.jpg?sha=1712876c115a84c2</t>
  </si>
  <si>
    <t>Magdalena Abakanowicz</t>
  </si>
  <si>
    <t>c. 1929</t>
  </si>
  <si>
    <t>9 5/8 x 7 1/4" (24.4 x 18.4 cm)</t>
  </si>
  <si>
    <t>Gouache and pencil on paper</t>
  </si>
  <si>
    <t>4 1/4 x 3 1/8 x 3 1/8" (10.8 x 8 x 8 cm)</t>
  </si>
  <si>
    <t>https://www.moma.org/collection/works/3753</t>
  </si>
  <si>
    <t>https://www.moma.org/media/W1siZiIsIjUyNzEyNyJdLFsicCIsImNvbnZlcnQiLCItcmVzaXplIDEwMjR4MTAyNFx1MDAzZSJdXQ.jpg?sha=3e15f584000b3f46</t>
  </si>
  <si>
    <t>Smart Design, New York</t>
  </si>
  <si>
    <t>Good Grips Peeler</t>
  </si>
  <si>
    <t>7 × 1 3/8 × 1" (17.8 × 3.5 × 2.5 cm)</t>
  </si>
  <si>
    <t>https://www.moma.org/collection/works/3758</t>
  </si>
  <si>
    <t>https://www.moma.org/media/W1siZiIsIjIxMTI2MSJdLFsicCIsImNvbnZlcnQiLCItcmVzaXplIDEwMjR4MTAyNFx1MDAzZSJdXQ.jpg?sha=eaa3d14dc1eecd76</t>
  </si>
  <si>
    <t>Dimensions variable</t>
  </si>
  <si>
    <t>6 x 6 x 6" (15.2 x 15.2 x 15.2 cm)</t>
  </si>
  <si>
    <t>https://www.moma.org/collection/works/3872</t>
  </si>
  <si>
    <t>https://www.moma.org/media/W1siZiIsIjIxMTQzNyJdLFsicCIsImNvbnZlcnQiLCItcmVzaXplIDEwMjR4MTAyNFx1MDAzZSJdXQ.jpg?sha=20ea4a3a14fd0437</t>
  </si>
  <si>
    <t>1917-18</t>
  </si>
  <si>
    <t>Alan Spigelman</t>
  </si>
  <si>
    <t>Epoxy-coated stainless steel and plastic</t>
  </si>
  <si>
    <t>7 3/16 x 2 9/16" (18.2 x 6.5 cm)</t>
  </si>
  <si>
    <t>https://www.moma.org/collection/works/3915</t>
  </si>
  <si>
    <t>https://www.moma.org/media/W1siZiIsIjIxMTQ1NiJdLFsicCIsImNvbnZlcnQiLCItcmVzaXplIDEwMjR4MTAyNFx1MDAzZSJdXQ.jpg?sha=ecd2d3f93b60160f</t>
  </si>
  <si>
    <t>1960s</t>
  </si>
  <si>
    <t>1969-70</t>
  </si>
  <si>
    <t>Roberto Matta</t>
  </si>
  <si>
    <t>Screen</t>
  </si>
  <si>
    <t>Eileen Gray</t>
  </si>
  <si>
    <t>Lacquered wood and metal rods</t>
  </si>
  <si>
    <t>74 1/2 x 53 1/2 x 3/4" (189.2 x 135.9 x 1.9 cm)</t>
  </si>
  <si>
    <t>https://www.moma.org/collection/works/3985</t>
  </si>
  <si>
    <t>https://www.moma.org/media/W1siZiIsIjUyMDM2NSJdLFsicCIsImNvbnZlcnQiLCItcmVzaXplIDEwMjR4MTAyNFx1MDAzZSJdXQ.jpg?sha=a317a8ebd8d00171</t>
  </si>
  <si>
    <t>Bar Tools</t>
  </si>
  <si>
    <t>.1 (fork): h. 8 1/4" (21 cm)_x000D_
.2 (mixer): h. 8 1/4" (21 cm)_x000D_
.3 (ice tongs): h. 8 1/4" (21 cm)_x000D_
.4 (knife): h. 8 1/4" (21 cm)_x000D_
.5 (can perforator): h. 6 1/4" (15.9 cm)_x000D_
.6 (bottle opener): h. 6 1/4" (15.9 cm)</t>
  </si>
  <si>
    <t>https://www.moma.org/collection/works/4017</t>
  </si>
  <si>
    <t>https://www.moma.org/media/W1siZiIsIjIxMTUwOCJdLFsicCIsImNvbnZlcnQiLCItcmVzaXplIDEwMjR4MTAyNFx1MDAzZSJdXQ.jpg?sha=8217acae8abf8624</t>
  </si>
  <si>
    <t>Bent beechwood and aluminum</t>
  </si>
  <si>
    <t>30 7/8 x 22 1/4 x 20 1/4" (78.5 x 56.5 x 51.5 cm), seat h. 18 5/8" (47.3 cm)</t>
  </si>
  <si>
    <t>https://www.moma.org/collection/works/4023</t>
  </si>
  <si>
    <t>https://www.moma.org/media/W1siZiIsIjIyOTgzNyJdLFsicCIsImNvbnZlcnQiLCItcmVzaXplIDEwMjR4MTAyNFx1MDAzZSJdXQ.jpg?sha=022d146ca9d75fd8</t>
  </si>
  <si>
    <t>Bent beechwood, molded plywood, and aluminum</t>
  </si>
  <si>
    <t>18 1/2 x 16 x 16" (47 x 40.6 x 40.6 cm)</t>
  </si>
  <si>
    <t>https://www.moma.org/collection/works/4026</t>
  </si>
  <si>
    <t>https://www.moma.org/media/W1siZiIsIjUyMDM2NyJdLFsicCIsImNvbnZlcnQiLCItcmVzaXplIDEwMjR4MTAyNFx1MDAzZSJdXQ.jpg?sha=d4986e9ca0b6dc4c</t>
  </si>
  <si>
    <t>Red Blue Chair</t>
  </si>
  <si>
    <t>1918–1923</t>
  </si>
  <si>
    <t>34 1/8 x 26 x 33" (86.7 x 66 x 83.8 cm), seat h. 13" (33 cm)</t>
  </si>
  <si>
    <t>https://www.moma.org/collection/works/4044</t>
  </si>
  <si>
    <t>https://www.moma.org/media/W1siZiIsIjQwMjU2OSJdLFsicCIsImNvbnZlcnQiLCItcmVzaXplIDEwMjR4MTAyNFx1MDAzZSJdXQ.jpg?sha=e7e6d212890598a1</t>
  </si>
  <si>
    <t>Flashed and hand-painted cut glass</t>
  </si>
  <si>
    <t>8 1/8 x 3 1/8" (20.6 x 7.9 cm)</t>
  </si>
  <si>
    <t>https://www.moma.org/collection/works/4110</t>
  </si>
  <si>
    <t>https://www.moma.org/media/W1siZiIsIjIxMTY2OCJdLFsicCIsImNvbnZlcnQiLCItcmVzaXplIDEwMjR4MTAyNFx1MDAzZSJdXQ.jpg?sha=1eb93e6bcce8e17e</t>
  </si>
  <si>
    <t>c. 1928</t>
  </si>
  <si>
    <t>Mold-blown glass</t>
  </si>
  <si>
    <t>Silver-plate on nickel silver</t>
  </si>
  <si>
    <t>.1 (large knife): l. 8 1/2" (21.6 cm) _x000D_
.2 (small knife): l. 7 1/4" (18.4 cm) _x000D_
.3 (butter knife): l. 7 1/4" (18.4 cm) _x000D_
.4 (soupspoon): l. 8 1/4" (21 cm) _x000D_
.5 (teaspoon): l. 5 5/8" (14.3 cm) _x000D_
.6 (coffee spoon): l. 4" (10.2 cm) _x000D_
.7 (large fork): l. 8 3/8" (21.3 cm) _x000D_
.8 (small fork): l. 7 1/4" (18.4 cm) _x000D_
.9 (serving fork): l. 10 1/2" (26.7 cm) _x000D_
.10 (serving spoon): l. 10" (25.4 cm)</t>
  </si>
  <si>
    <t>https://www.moma.org/collection/works/4334</t>
  </si>
  <si>
    <t>https://www.moma.org/media/W1siZiIsIjUyMDM5MCJdLFsicCIsImNvbnZlcnQiLCItcmVzaXplIDEwMjR4MTAyNFx1MDAzZSJdXQ.jpg?sha=958e1cadfaada0fc</t>
  </si>
  <si>
    <t>Adjustable Table</t>
  </si>
  <si>
    <t>Chrome-plated tubular steel, sheet steel, and glass</t>
  </si>
  <si>
    <t>Dimensions range from a minimum height of 21 1/4" (54 cm) to max height of 36 1/2" (93 cm), diam. 20" (50.8 cm)</t>
  </si>
  <si>
    <t>https://www.moma.org/collection/works/4339</t>
  </si>
  <si>
    <t>https://www.moma.org/media/W1siZiIsIjIyOTk2MSJdLFsicCIsImNvbnZlcnQiLCItcmVzaXplIDEwMjR4MTAyNFx1MDAzZSJdXQ.jpg?sha=46b1f327991a5475</t>
  </si>
  <si>
    <t>Barcelona Chair</t>
  </si>
  <si>
    <t>Designed 1929 (this example 1953)</t>
  </si>
  <si>
    <t>Stainless-steel bars and leather upholstery</t>
  </si>
  <si>
    <t>31 x 29 3/8 x 30" (78.7 x 74.6 x 76.2 cm)</t>
  </si>
  <si>
    <t>https://www.moma.org/collection/works/4369</t>
  </si>
  <si>
    <t>https://www.moma.org/media/W1siZiIsIjIxMTY0MCJdLFsicCIsImNvbnZlcnQiLCItcmVzaXplIDEwMjR4MTAyNFx1MDAzZSJdXQ.jpg?sha=b705f616552d4bd2</t>
  </si>
  <si>
    <t>23 1/4 × 5 1/2 × 5 1/2" (59.1 × 14 × 14 cm)</t>
  </si>
  <si>
    <t>https://www.moma.org/collection/works/4379</t>
  </si>
  <si>
    <t>https://www.moma.org/media/W1siZiIsIjU1NjIwNiJdLFsicCIsImNvbnZlcnQiLCItcmVzaXplIDEwMjR4MTAyNFx1MDAzZSJdXQ.jpg?sha=6789d16d8b920e79</t>
  </si>
  <si>
    <t>Gunnar Aagaard Andersen</t>
  </si>
  <si>
    <t>Poured polyurethane</t>
  </si>
  <si>
    <t>29 1/2 x 44 1/4 x 35 1/4" (74.9 x 112.4 x 89.5 cm)</t>
  </si>
  <si>
    <t>https://www.moma.org/collection/works/4401</t>
  </si>
  <si>
    <t>https://www.moma.org/media/W1siZiIsIjIzMDUxOCJdLFsicCIsImNvbnZlcnQiLCItcmVzaXplIDEwMjR4MTAyNFx1MDAzZSJdXQ.jpg?sha=dd903634a7d1c612</t>
  </si>
  <si>
    <t>Coat Hangers</t>
  </si>
  <si>
    <t>Roald Steen Hansen</t>
  </si>
  <si>
    <t>Beechwood</t>
  </si>
  <si>
    <t>.a (coat hanger): 8 11/16 x 16 1/8 x 1 3/16" (22 x 41 x 3 cm)_x000D_
.b (support, wall button): 2 3/4 x 3 1/8" (7 x 7.9 cm)</t>
  </si>
  <si>
    <t>https://www.moma.org/collection/works/4418</t>
  </si>
  <si>
    <t>https://www.moma.org/media/W1siZiIsIjIxMTg2MiJdLFsicCIsImNvbnZlcnQiLCItcmVzaXplIDEwMjR4MTAyNFx1MDAzZSJdXQ.jpg?sha=ba482d5768de797e</t>
  </si>
  <si>
    <t>Stainless steel and glass</t>
  </si>
  <si>
    <t>Each: 2 1/2 x 2" (6.3 x 5.1 cm)</t>
  </si>
  <si>
    <t>https://www.moma.org/collection/works/4443</t>
  </si>
  <si>
    <t>https://www.moma.org/media/W1siZiIsIjIxMTg3OSJdLFsicCIsImNvbnZlcnQiLCItcmVzaXplIDEwMjR4MTAyNFx1MDAzZSJdXQ.jpg?sha=300632c5609de936</t>
  </si>
  <si>
    <t>Kryptonite 4 Bike Lock</t>
  </si>
  <si>
    <t>6543, 7217</t>
  </si>
  <si>
    <t>Vinyl-coated zinc and nickel-plated steel</t>
  </si>
  <si>
    <t>Each: 10 5/8 x 7 1/2" (27 x 19.1 cm)</t>
  </si>
  <si>
    <t>https://www.moma.org/collection/works/4444</t>
  </si>
  <si>
    <t>https://www.moma.org/media/W1siZiIsIjIxMTg4MSJdLFsicCIsImNvbnZlcnQiLCItcmVzaXplIDEwMjR4MTAyNFx1MDAzZSJdXQ.jpg?sha=a9611fee4ae4ff92</t>
  </si>
  <si>
    <t>Hammered silver</t>
  </si>
  <si>
    <t>7 5/8 x 6 3/8" (19.4 x 16.2 cm)</t>
  </si>
  <si>
    <t>https://www.moma.org/collection/works/4457</t>
  </si>
  <si>
    <t>https://www.moma.org/media/W1siZiIsIjIzMDU1NSJdLFsicCIsImNvbnZlcnQiLCItcmVzaXplIDEwMjR4MTAyNFx1MDAzZSJdXQ.jpg?sha=727e58f4d60c737b</t>
  </si>
  <si>
    <t>Chronotime Clock</t>
  </si>
  <si>
    <t>Pio Manzù</t>
  </si>
  <si>
    <t>ABS polymer casing and metal parts</t>
  </si>
  <si>
    <t>Each: 2 5/8 x 2 3/4" (6.7 x 7 cm)</t>
  </si>
  <si>
    <t>https://www.moma.org/collection/works/4597</t>
  </si>
  <si>
    <t>https://www.moma.org/media/W1siZiIsIjIzMDAxOCJdLFsicCIsImNvbnZlcnQiLCItcmVzaXplIDEwMjR4MTAyNFx1MDAzZSJdXQ.jpg?sha=2cd266d22ae269d4</t>
  </si>
  <si>
    <t>Each: 2 15/16 x 2 9/16" (7.5 x 6.5 cm)</t>
  </si>
  <si>
    <t>https://www.moma.org/collection/works/4635</t>
  </si>
  <si>
    <t>https://www.moma.org/media/W1siZiIsIjUxOTU1OCJdLFsicCIsImNvbnZlcnQiLCItcmVzaXplIDEwMjR4MTAyNFx1MDAzZSJdXQ.jpg?sha=04c6bbe652c9cb5f</t>
  </si>
  <si>
    <t>Gerald Summers</t>
  </si>
  <si>
    <t>Bent birch plywood with pigmented lacquer</t>
  </si>
  <si>
    <t>29 5/8 x 23 1/2 x 35" (75.2 x 59.7 x 88.9 cm)</t>
  </si>
  <si>
    <t>https://www.moma.org/collection/works/4729</t>
  </si>
  <si>
    <t>https://www.moma.org/media/W1siZiIsIjIzMDE5MyJdLFsicCIsImNvbnZlcnQiLCItcmVzaXplIDEwMjR4MTAyNFx1MDAzZSJdXQ.jpg?sha=f50536dfb66d9f2e</t>
  </si>
  <si>
    <t>Alberto Giacometti</t>
  </si>
  <si>
    <t>Georges Braque</t>
  </si>
  <si>
    <t>Pablo Picasso</t>
  </si>
  <si>
    <t>Screenprint</t>
  </si>
  <si>
    <t>Jean Lurçat</t>
  </si>
  <si>
    <t>Ben Shahn</t>
  </si>
  <si>
    <t>E. McKnight Kauffer</t>
  </si>
  <si>
    <t>April Greiman</t>
  </si>
  <si>
    <t>Lester Beall</t>
  </si>
  <si>
    <t>Käthe Kollwitz</t>
  </si>
  <si>
    <t>Woodcut</t>
  </si>
  <si>
    <t>30 × 20" (76.2 × 50.8 cm)</t>
  </si>
  <si>
    <t>Fire</t>
  </si>
  <si>
    <t>Max Burchartz</t>
  </si>
  <si>
    <t>Andy Warhol</t>
  </si>
  <si>
    <t>Oskar Kokoschka</t>
  </si>
  <si>
    <t>Love</t>
  </si>
  <si>
    <t>Robert Indiana</t>
  </si>
  <si>
    <t>Marc Chagall</t>
  </si>
  <si>
    <t>Collage</t>
  </si>
  <si>
    <t>Marcel Duchamp</t>
  </si>
  <si>
    <t>Max Ernst</t>
  </si>
  <si>
    <t>Joan Miró</t>
  </si>
  <si>
    <t>Poster for the Kunstschau exhibition, Vienna</t>
  </si>
  <si>
    <t>Berthold Löffler</t>
  </si>
  <si>
    <t>14 3/8 x 19 1/2" (37.5 x 49.5 cm)</t>
  </si>
  <si>
    <t>https://www.moma.org/collection/works/5376</t>
  </si>
  <si>
    <t>https://www.moma.org/media/W1siZiIsIjIxMDUwNCJdLFsicCIsImNvbnZlcnQiLCItcmVzaXplIDEwMjR4MTAyNFx1MDAzZSJdXQ.jpg?sha=3029e91170ae38c9</t>
  </si>
  <si>
    <t>Fernand Léger</t>
  </si>
  <si>
    <t>Henri Matisse</t>
  </si>
  <si>
    <t>Germaine Richier</t>
  </si>
  <si>
    <t>David Smith</t>
  </si>
  <si>
    <t>Henri Laurens</t>
  </si>
  <si>
    <t>1895-96</t>
  </si>
  <si>
    <t>Jean (Hans) Arp</t>
  </si>
  <si>
    <t>c.1930</t>
  </si>
  <si>
    <t>Poster for the First Secession Exhibition (censored version) (1. Kunstausstellung Secession)</t>
  </si>
  <si>
    <t>Gustav Klimt</t>
  </si>
  <si>
    <t>25 x 18 7/16" (63.5 x 46.9 cm)</t>
  </si>
  <si>
    <t>https://www.moma.org/collection/works/5684</t>
  </si>
  <si>
    <t>https://www.moma.org/media/W1siZiIsIjE3MDI1NCJdLFsicCIsImNvbnZlcnQiLCItcmVzaXplIDEwMjR4MTAyNFx1MDAzZSJdXQ.jpg?sha=c6ccaa5c234495fd</t>
  </si>
  <si>
    <t>Radio - Rural Electrification Administration</t>
  </si>
  <si>
    <t>40 1/4 x 30" (102 x 76.2 cm)</t>
  </si>
  <si>
    <t>https://www.moma.org/collection/works/5724</t>
  </si>
  <si>
    <t>https://www.moma.org/media/W1siZiIsIjUxNzI5MiJdLFsicCIsImNvbnZlcnQiLCItcmVzaXplIDEwMjR4MTAyNFx1MDAzZSJdXQ.jpg?sha=505c68eea17d4cac</t>
  </si>
  <si>
    <t>Running Water - Rural Electrification Administration</t>
  </si>
  <si>
    <t>https://www.moma.org/collection/works/5745</t>
  </si>
  <si>
    <t>https://www.moma.org/media/W1siZiIsIjIxMDc1NSJdLFsicCIsImNvbnZlcnQiLCItcmVzaXplIDEwMjR4MTAyNFx1MDAzZSJdXQ.jpg?sha=e7249b0a9758edf8</t>
  </si>
  <si>
    <t>Robert Rauschenberg</t>
  </si>
  <si>
    <t>c. 1914</t>
  </si>
  <si>
    <t>Various Artists</t>
  </si>
  <si>
    <t>Imogen Cunningham</t>
  </si>
  <si>
    <t>c.1981</t>
  </si>
  <si>
    <t>Claes Oldenburg</t>
  </si>
  <si>
    <t>16 1/4 x 16 1/4" (41.3 x 41.3 cm)</t>
  </si>
  <si>
    <t>c.1935</t>
  </si>
  <si>
    <t>Jasper Johns</t>
  </si>
  <si>
    <t>Lucio Fontana</t>
  </si>
  <si>
    <t>50 x 35 3/4" (127 x 90.8 cm)</t>
  </si>
  <si>
    <t>Head</t>
  </si>
  <si>
    <t>Oskar Schlemmer</t>
  </si>
  <si>
    <t>El Lissitzky</t>
  </si>
  <si>
    <t>László Moholy-Nagy</t>
  </si>
  <si>
    <t>Contact With the World, Use the Telephone</t>
  </si>
  <si>
    <t>29 7/8 x 19 5/8" (75.9 x 49.8 cm)</t>
  </si>
  <si>
    <t>https://www.moma.org/collection/works/6706</t>
  </si>
  <si>
    <t>https://www.moma.org/media/W1siZiIsIjUxNzAyOCJdLFsicCIsImNvbnZlcnQiLCItcmVzaXplIDEwMjR4MTAyNFx1MDAzZSJdXQ.jpg?sha=612588e3a9065533</t>
  </si>
  <si>
    <t>Henri Cartier-Bresson</t>
  </si>
  <si>
    <t>Jim Dine</t>
  </si>
  <si>
    <t>Roy Lichtenstein</t>
  </si>
  <si>
    <t>Robert Motherwell</t>
  </si>
  <si>
    <t>Larry Rivers</t>
  </si>
  <si>
    <t>Robert Delaunay</t>
  </si>
  <si>
    <t>Jack Youngerman</t>
  </si>
  <si>
    <t>Secession Plakat Ausstellung (Secession Poster Exhibition)</t>
  </si>
  <si>
    <t>Richard Harlfinger</t>
  </si>
  <si>
    <t>24 3/4 x 18 1/2" (62.8 x 46.9 cm)</t>
  </si>
  <si>
    <t>https://www.moma.org/collection/works/7306</t>
  </si>
  <si>
    <t>https://www.moma.org/media/W1siZiIsIjIxMTU3MyJdLFsicCIsImNvbnZlcnQiLCItcmVzaXplIDEwMjR4MTAyNFx1MDAzZSJdXQ.jpg?sha=47990799a887551c</t>
  </si>
  <si>
    <t>11 × 8 1/2" (27.9 × 21.6 cm)</t>
  </si>
  <si>
    <t>Max Beckmann</t>
  </si>
  <si>
    <t>Jazz</t>
  </si>
  <si>
    <t>Kurt Schwitters</t>
  </si>
  <si>
    <t>5 13/16 x 4 1/8" (14.8 x 10.5 cm)</t>
  </si>
  <si>
    <t>Gelatin silver print</t>
  </si>
  <si>
    <t>36 1/4 x 23 5/8" (92.1 x 60 cm)</t>
  </si>
  <si>
    <t>1966-67</t>
  </si>
  <si>
    <t>James Rosenquist</t>
  </si>
  <si>
    <t>Jean Tinguely</t>
  </si>
  <si>
    <t>Ellsworth Kelly</t>
  </si>
  <si>
    <t>Marisol (Marisol Escobar)</t>
  </si>
  <si>
    <t>Louise Nevelson</t>
  </si>
  <si>
    <t>George Grosz</t>
  </si>
  <si>
    <t>Illustrated Book</t>
  </si>
  <si>
    <t>Drawings &amp; Prints</t>
  </si>
  <si>
    <t>Drawing</t>
  </si>
  <si>
    <t>Lovis Corinth</t>
  </si>
  <si>
    <t>Wolf Vostell</t>
  </si>
  <si>
    <t>Kazimir Malevich</t>
  </si>
  <si>
    <t>Pierre Bonnard</t>
  </si>
  <si>
    <t>Natalia Goncharova</t>
  </si>
  <si>
    <t>Liubov Popova</t>
  </si>
  <si>
    <t>Jacques Lipchitz</t>
  </si>
  <si>
    <t>Amédée Ozenfant</t>
  </si>
  <si>
    <t>Sophie Taeuber-Arp</t>
  </si>
  <si>
    <t>Joaquín Torres-García</t>
  </si>
  <si>
    <t>Ossip Zadkine</t>
  </si>
  <si>
    <t>Giorgio de Chirico</t>
  </si>
  <si>
    <t>Julio González</t>
  </si>
  <si>
    <t>Side by Side</t>
  </si>
  <si>
    <t>Ray Johnson</t>
  </si>
  <si>
    <t>Antoni Tàpies</t>
  </si>
  <si>
    <t>Periodical</t>
  </si>
  <si>
    <t>Maria Martins</t>
  </si>
  <si>
    <t>Michelle Stuart</t>
  </si>
  <si>
    <t>Kiki Smith</t>
  </si>
  <si>
    <t>Richard Tuttle</t>
  </si>
  <si>
    <t>Louise Bourgeois</t>
  </si>
  <si>
    <t>Drypoint</t>
  </si>
  <si>
    <t>Martin Wong</t>
  </si>
  <si>
    <t>David Wojnarowicz</t>
  </si>
  <si>
    <t>John Chamberlain</t>
  </si>
  <si>
    <t>Wood engraving</t>
  </si>
  <si>
    <t>Mikhail Larionov</t>
  </si>
  <si>
    <t>Joan Mitchell</t>
  </si>
  <si>
    <t>Albert Gleizes</t>
  </si>
  <si>
    <t>Lithograph from an illustrated book with ten lithographs and two woodcuts</t>
  </si>
  <si>
    <t>Double page plate (between pages 96 and 97) from Vertogradari Nad Lozami (Gardeners over the Vines)</t>
  </si>
  <si>
    <t>composition (irreg.): 6 5/8 × 8 9/16" (16.8 × 21.8 cm); page (each): 6 15/16 × 4 1/2" (17.7 × 11.4 cm)</t>
  </si>
  <si>
    <t>https://www.moma.org/collection/works/10808</t>
  </si>
  <si>
    <t>https://www.moma.org/media/W1siZiIsIjQ2MjI3NCJdLFsicCIsImNvbnZlcnQiLCItcmVzaXplIDEwMjR4MTAyNFx1MDAzZSJdXQ.jpg?sha=81bad5a283785c3b</t>
  </si>
  <si>
    <t>Jean Charlot</t>
  </si>
  <si>
    <t>Rebecca Horn</t>
  </si>
  <si>
    <t>Multiple</t>
  </si>
  <si>
    <t>Dorothea Tanning</t>
  </si>
  <si>
    <t>Niki de Saint Phalle</t>
  </si>
  <si>
    <t>Barnett Newman</t>
  </si>
  <si>
    <t>Philip Guston</t>
  </si>
  <si>
    <t>Lee Krasner</t>
  </si>
  <si>
    <t>Robert Creeley</t>
  </si>
  <si>
    <t>Peter Saul</t>
  </si>
  <si>
    <t>Allen Ginsberg</t>
  </si>
  <si>
    <t>Lee Bontecou</t>
  </si>
  <si>
    <t>Sol LeWitt</t>
  </si>
  <si>
    <t>Robert Morris</t>
  </si>
  <si>
    <t>Constantin Brâncuși</t>
  </si>
  <si>
    <t>Installation</t>
  </si>
  <si>
    <t>Odilon Redon</t>
  </si>
  <si>
    <t>Meret Oppenheim</t>
  </si>
  <si>
    <t>Roger de La Fresnaye</t>
  </si>
  <si>
    <t>Thomas Bayrle</t>
  </si>
  <si>
    <t>Jacques Villon</t>
  </si>
  <si>
    <t>Hans Bellmer</t>
  </si>
  <si>
    <t>Stanley William Hayter</t>
  </si>
  <si>
    <t>Ernst Ludwig Kirchner</t>
  </si>
  <si>
    <t>Juan Gris</t>
  </si>
  <si>
    <t>Brassaï (Gyula Halász)</t>
  </si>
  <si>
    <t>Etching and aquatint</t>
  </si>
  <si>
    <t>František Kupka</t>
  </si>
  <si>
    <t>Engraving and drypoint</t>
  </si>
  <si>
    <t>Jacob Lawrence</t>
  </si>
  <si>
    <t>Alice Neel</t>
  </si>
  <si>
    <t>Salvador Dalí</t>
  </si>
  <si>
    <t>Colored pencil and pencil on paper</t>
  </si>
  <si>
    <t>Dick Higgins</t>
  </si>
  <si>
    <t>Woody van Amen</t>
  </si>
  <si>
    <t>Marie Laurencin</t>
  </si>
  <si>
    <t>Brice Marden</t>
  </si>
  <si>
    <t>1967, published 1968</t>
  </si>
  <si>
    <t>Pierre Soulages</t>
  </si>
  <si>
    <t>Bruce Conner</t>
  </si>
  <si>
    <t>David Alfaro Siqueiros</t>
  </si>
  <si>
    <t>Henry Moore</t>
  </si>
  <si>
    <t>Stanton Macdonald-Wright</t>
  </si>
  <si>
    <t>Gino Severini</t>
  </si>
  <si>
    <t>Georges Vantongerloo</t>
  </si>
  <si>
    <t>Paul Cézanne</t>
  </si>
  <si>
    <t>Édouard Vuillard</t>
  </si>
  <si>
    <t>Aristide Maillol</t>
  </si>
  <si>
    <t>Alexandra Exter</t>
  </si>
  <si>
    <t>1981-82</t>
  </si>
  <si>
    <t>Max Weber</t>
  </si>
  <si>
    <t>Roland Penrose</t>
  </si>
  <si>
    <t>Colored pencil on paper</t>
  </si>
  <si>
    <t>Francis Picabia</t>
  </si>
  <si>
    <t>Faith Ringgold</t>
  </si>
  <si>
    <t>Etching and engraving</t>
  </si>
  <si>
    <t>Unidentified photographer</t>
  </si>
  <si>
    <t>Erró (Gudmundur Gudmundsson)</t>
  </si>
  <si>
    <t>Jean-Jacques Lebel</t>
  </si>
  <si>
    <t>Öyvind Fahlström</t>
  </si>
  <si>
    <t>Alberto Gironella</t>
  </si>
  <si>
    <t>Sleeping Woman (Schlafende Frau) (title page) from Die träumenden Knaben (The Dreaming Boys)</t>
  </si>
  <si>
    <t>1917 (executed 1907-08)</t>
  </si>
  <si>
    <t>Photolithograph from an illustrated book with eight photolithographs and three line block reproductions</t>
  </si>
  <si>
    <t>composition: 9 7/16 x 8 7/8" (24 x 22.5 cm); page: 9 7/16 x 11 9/16" (24 x 29.3 cm)</t>
  </si>
  <si>
    <t>https://www.moma.org/collection/works/26720</t>
  </si>
  <si>
    <t>https://www.moma.org/media/W1siZiIsIjEyOTUzMSJdLFsicCIsImNvbnZlcnQiLCItcmVzaXplIDEwMjR4MTAyNFx1MDAzZSJdXQ.jpg?sha=48911516ef760993</t>
  </si>
  <si>
    <t>Die träumenden Knaben (The Dreaming Boys)</t>
  </si>
  <si>
    <t>1917 (prints executed 1907-08)</t>
  </si>
  <si>
    <t>Illustrated book with eight photolithographs and three line block reproductions</t>
  </si>
  <si>
    <t>overall: 9 9/16 x 11 11/16 x 3/8" (24.3 x 29.7 x 0.9 cm); page (each): 9 7/16 x 11 9/16" (24 x 29.3 cm); sheet (of composition): 3 7/8 x 2 7/8" (9.8 x 7.3 cm); composition: 3 9/16 x 2 9/16" (9 x 6.5 cm)</t>
  </si>
  <si>
    <t>https://www.moma.org/collection/works/26721</t>
  </si>
  <si>
    <t>https://www.moma.org/media/W1siZiIsIjEyOTUzMiJdLFsicCIsImNvbnZlcnQiLCItcmVzaXplIDEwMjR4MTAyNFx1MDAzZSJdXQ.jpg?sha=e5640ff7ffedf3c7</t>
  </si>
  <si>
    <t>The Sailboat (Das Segelschiff) (in-text plate, folio 4) from Die träumenden Knaben (The Dreaming Boys)</t>
  </si>
  <si>
    <t>composition: 9 7/16 x 9" (24 x 22.9 cm); page: 9 7/16 x 11 9/16" (24 x 29.3 cm)</t>
  </si>
  <si>
    <t>https://www.moma.org/collection/works/26722</t>
  </si>
  <si>
    <t>https://www.moma.org/media/W1siZiIsIjEyOTUzNiJdLFsicCIsImNvbnZlcnQiLCItcmVzaXplIDEwMjR4MTAyNFx1MDAzZSJdXQ.jpg?sha=5149945fe5cb8b37</t>
  </si>
  <si>
    <t>1947–53, published 1955</t>
  </si>
  <si>
    <t>Lithograph from an illustrated book with 121 lithographs, including covers (one with collage)</t>
  </si>
  <si>
    <t>Plate (page 61) from Le Poème de l'angle droit (The Poem of the Right Angle)</t>
  </si>
  <si>
    <t>composition (irreg.): 16 1/4 × 12 1/2" (41.2 × 31.8 cm); page (each): 16 9/16 × 12 11/16" (42 × 32.3 cm)</t>
  </si>
  <si>
    <t>https://www.moma.org/collection/works/27170</t>
  </si>
  <si>
    <t>https://www.moma.org/media/W1siZiIsIjIzMTYzOCJdLFsicCIsImNvbnZlcnQiLCItcmVzaXplIDEwMjR4MTAyNFx1MDAzZSJdXQ.jpg?sha=529cca49aacafda6</t>
  </si>
  <si>
    <t>1943–47, published 1947</t>
  </si>
  <si>
    <t>Illustrated book with twenty pochoirs</t>
  </si>
  <si>
    <t>page (each approx.): 16 5/8 × 12 13/16" (42.2 × 32.5 cm); overall (closed): 16 11/16 × 13 × 1 3/4" (42.4 × 33 × 4.4 cm)</t>
  </si>
  <si>
    <t>https://www.moma.org/collection/works/28449</t>
  </si>
  <si>
    <t>https://www.moma.org/media/W1siZiIsIjI5MTM3MiJdLFsicCIsImNvbnZlcnQiLCItcmVzaXplIDEwMjR4MTAyNFx1MDAzZSJdXQ.jpg?sha=4ce98e49f13b6b46</t>
  </si>
  <si>
    <t>1946-1947</t>
  </si>
  <si>
    <t>1934-1935</t>
  </si>
  <si>
    <t>Amedeo Modigliani</t>
  </si>
  <si>
    <t>Jean Metzinger</t>
  </si>
  <si>
    <t>Piet Mondrian</t>
  </si>
  <si>
    <t>Giacomo Balla</t>
  </si>
  <si>
    <t>Henri Rousseau</t>
  </si>
  <si>
    <t>Photograph</t>
  </si>
  <si>
    <t>One from a portfolio of ten lithographs</t>
  </si>
  <si>
    <t>Preparatory drawing for In Memory of My Feelings</t>
  </si>
  <si>
    <t>Ad Reinhardt</t>
  </si>
  <si>
    <t>Umberto Boccioni</t>
  </si>
  <si>
    <t>Oil on board</t>
  </si>
  <si>
    <t>Romare Bearden</t>
  </si>
  <si>
    <t>Charles Burchfield</t>
  </si>
  <si>
    <t>Bathers</t>
  </si>
  <si>
    <t>c. 1885-1890</t>
  </si>
  <si>
    <t>5 x 8 1/8" (12.7 x 20.6 cm)</t>
  </si>
  <si>
    <t>https://www.moma.org/collection/works/32973</t>
  </si>
  <si>
    <t>https://www.moma.org/media/W1siZiIsIjM0OTg3MSJdLFsicCIsImNvbnZlcnQiLCItcmVzaXplIDEwMjR4MTAyNFx1MDAzZSJdXQ.jpg?sha=53145f1a4ef757df</t>
  </si>
  <si>
    <t>Hannah Höch</t>
  </si>
  <si>
    <t>Sandu Darie</t>
  </si>
  <si>
    <t>Ink and pencil on paper</t>
  </si>
  <si>
    <t>Otto Dix</t>
  </si>
  <si>
    <t>Composition</t>
  </si>
  <si>
    <t>Foliage (recto); Study of Trees (verso)</t>
  </si>
  <si>
    <t>Watercolor and pencil on paper (recto and verso)</t>
  </si>
  <si>
    <t xml:space="preserve">17 5/8 x 22 3/8" (44.8 x 56.8 cm)_x000D_
</t>
  </si>
  <si>
    <t>https://www.moma.org/collection/works/33075</t>
  </si>
  <si>
    <t>https://www.moma.org/media/W1siZiIsIjE2OTI3MCJdLFsicCIsImNvbnZlcnQiLCItcmVzaXplIDEwMjR4MTAyNFx1MDAzZSJdXQ.jpg?sha=16f07bc818945b64</t>
  </si>
  <si>
    <t>Dorothy Dehner</t>
  </si>
  <si>
    <t>Hélio Oiticica</t>
  </si>
  <si>
    <t>Head of a Woman</t>
  </si>
  <si>
    <t>Jackson Pollock</t>
  </si>
  <si>
    <t>Landscape</t>
  </si>
  <si>
    <t>Barbara Chase-Riboud</t>
  </si>
  <si>
    <t>Head of the Medical Student (Study for Les Demoiselles d'Avignon)</t>
  </si>
  <si>
    <t>Gouache and watercolor on paper</t>
  </si>
  <si>
    <t>23 3/4 x 18 1/2" (60.3 x 47 cm)</t>
  </si>
  <si>
    <t>https://www.moma.org/collection/works/33169</t>
  </si>
  <si>
    <t>https://www.moma.org/media/W1siZiIsIjQ5NjU5MCJdLFsicCIsImNvbnZlcnQiLCItcmVzaXplIDEwMjR4MTAyNFx1MDAzZSJdXQ.jpg?sha=bd01972d8437cd5f</t>
  </si>
  <si>
    <t>15 7/8 x 12 5/8" (40.3 x 32.1 cm)</t>
  </si>
  <si>
    <t>Camden Mountain across the Bay</t>
  </si>
  <si>
    <t>John Marin</t>
  </si>
  <si>
    <t>17 1/4 x 20 1/2" (43.8 x 52.1 cm)</t>
  </si>
  <si>
    <t>https://www.moma.org/collection/works/33200</t>
  </si>
  <si>
    <t>https://www.moma.org/media/W1siZiIsIjI0NDk0MyJdLFsicCIsImNvbnZlcnQiLCItcmVzaXplIDEwMjR4MTAyNFx1MDAzZSJdXQ.jpg?sha=5dde3f27677d5349</t>
  </si>
  <si>
    <t>Crayon and pencil on paper</t>
  </si>
  <si>
    <t>Self-Portrait</t>
  </si>
  <si>
    <t>Pencil and colored pencil on paper</t>
  </si>
  <si>
    <t>23 x 29" (58.4 x 73.7 cm)</t>
  </si>
  <si>
    <t>Georgia O'Keeffe</t>
  </si>
  <si>
    <t>Rocks Near the Caves above Château Noir</t>
  </si>
  <si>
    <t>1895–1900</t>
  </si>
  <si>
    <t>12 1/2 x 18 3/4" (31.7 x 47.5 cm)</t>
  </si>
  <si>
    <t>https://www.moma.org/collection/works/33280</t>
  </si>
  <si>
    <t>https://www.moma.org/media/W1siZiIsIjM0NzkyMSJdLFsicCIsImNvbnZlcnQiLCItcmVzaXplIDEwMjR4MTAyNFx1MDAzZSJdXQ.jpg?sha=c7e3f5e465aba007</t>
  </si>
  <si>
    <t>Paul Signac</t>
  </si>
  <si>
    <t>Crucifixion</t>
  </si>
  <si>
    <t>Arthur B. Davies</t>
  </si>
  <si>
    <t>Peter Blume</t>
  </si>
  <si>
    <t>Pastel and charcoal on paper</t>
  </si>
  <si>
    <t>Pencil and crayon on paper</t>
  </si>
  <si>
    <t>Arthur Dove</t>
  </si>
  <si>
    <t>Diego Rivera</t>
  </si>
  <si>
    <t>Lucian Freud</t>
  </si>
  <si>
    <t>Watercolor, gouache, and pencil on paper</t>
  </si>
  <si>
    <t>Rogues' Gallery</t>
  </si>
  <si>
    <t>13 7/8 x 19 7/8" (35.2 x 50.6 cm)</t>
  </si>
  <si>
    <t>https://www.moma.org/collection/works/33489</t>
  </si>
  <si>
    <t>https://www.moma.org/media/W1siZiIsIjE2NjI5NiJdLFsicCIsImNvbnZlcnQiLCItcmVzaXplIDEwMjR4MTAyNFx1MDAzZSJdXQ.jpg?sha=79512364f9e0505e</t>
  </si>
  <si>
    <t>Minnie Evans</t>
  </si>
  <si>
    <t>Guitar</t>
  </si>
  <si>
    <t>11 1/2 × 9 5/8" (29.2 × 24.4 cm)</t>
  </si>
  <si>
    <t>https://www.moma.org/collection/works/33520</t>
  </si>
  <si>
    <t>https://www.moma.org/media/W1siZiIsIjIwNzY0MCJdLFsicCIsImNvbnZlcnQiLCItcmVzaXplIDEwMjR4MTAyNFx1MDAzZSJdXQ.jpg?sha=55f30ba079c60384</t>
  </si>
  <si>
    <t>Charcoal and pencil on paper</t>
  </si>
  <si>
    <t>c. 1911</t>
  </si>
  <si>
    <t>Mike Kelley</t>
  </si>
  <si>
    <t>Painting</t>
  </si>
  <si>
    <t>Painting &amp; Sculpture</t>
  </si>
  <si>
    <t>18 x 23 7/8" (45.7 x 60.6 cm)</t>
  </si>
  <si>
    <t>Standing Woman in Kimono (Dame im Kimono)</t>
  </si>
  <si>
    <t>19 3/4 x 12 3/4" (50.2 x 32.4 cm)</t>
  </si>
  <si>
    <t>https://www.moma.org/collection/works/33633</t>
  </si>
  <si>
    <t>https://www.moma.org/media/W1siZiIsIjEzNjE3NSJdLFsicCIsImNvbnZlcnQiLCItcmVzaXplIDEwMjR4MTAyNFx1MDAzZSJdXQ.jpg?sha=1a2ac1d925d54539</t>
  </si>
  <si>
    <t>Richard Serra</t>
  </si>
  <si>
    <t>Girl's Head</t>
  </si>
  <si>
    <t>1916–18</t>
  </si>
  <si>
    <t>Watercolor, pencil, and crayon on paper</t>
  </si>
  <si>
    <t>6 1/4 x 7" (15.9 x 17.8 cm)</t>
  </si>
  <si>
    <t>https://www.moma.org/collection/works/33695</t>
  </si>
  <si>
    <t>https://www.moma.org/media/W1siZiIsIjIxMDE5NyJdLFsicCIsImNvbnZlcnQiLCItcmVzaXplIDEwMjR4MTAyNFx1MDAzZSJdXQ.jpg?sha=9528a1b894564ef8</t>
  </si>
  <si>
    <t>The Cock (Le Coq)</t>
  </si>
  <si>
    <t>30 1/4 x 22 3/8" (76.9 x 56.9 cm)</t>
  </si>
  <si>
    <t>https://www.moma.org/collection/works/33706</t>
  </si>
  <si>
    <t>https://www.moma.org/media/W1siZiIsIjI3OTA2MCJdLFsicCIsImNvbnZlcnQiLCItcmVzaXplIDEwMjR4MTAyNFx1MDAzZSJdXQ.jpg?sha=cdc853d3f4303ccc</t>
  </si>
  <si>
    <t>Florine Stettheimer</t>
  </si>
  <si>
    <t>Edward Hopper</t>
  </si>
  <si>
    <t>José Clemente Orozco</t>
  </si>
  <si>
    <t>18 x 12" (45.7 x 30.5 cm)</t>
  </si>
  <si>
    <t>Felt-tip pen on graph paper</t>
  </si>
  <si>
    <t>Georges-Pierre Seurat</t>
  </si>
  <si>
    <t>Rain</t>
  </si>
  <si>
    <t>Marsden Hartley</t>
  </si>
  <si>
    <t>Pastel and gouache on paper</t>
  </si>
  <si>
    <t>Horse</t>
  </si>
  <si>
    <t>Study for Man and Machine (Skizze zu Mensch und Maschine)</t>
  </si>
  <si>
    <t>11 3/8 x 9 1/2" (29.0 x 24.2 cm)</t>
  </si>
  <si>
    <t>https://www.moma.org/collection/works/33945</t>
  </si>
  <si>
    <t>https://www.moma.org/media/W1siZiIsIjUyMDI4MiJdLFsicCIsImNvbnZlcnQiLCItcmVzaXplIDEwMjR4MTAyNFx1MDAzZSJdXQ.jpg?sha=90d15f6de90fd26f</t>
  </si>
  <si>
    <t>Nancy Graves</t>
  </si>
  <si>
    <t>Agnes Martin</t>
  </si>
  <si>
    <t xml:space="preserve">11 7/8 x 12 1/8" (30.2 x 30.6 cm)_x000D_
</t>
  </si>
  <si>
    <t>https://www.moma.org/collection/works/34006</t>
  </si>
  <si>
    <t>https://www.moma.org/media/W1siZiIsIjk3MTgyIl0sWyJwIiwiY29udmVydCIsIi1yZXNpemUgMTAyNHgxMDI0XHUwMDNlIl1d.jpg?sha=9bff169a56c9ba08</t>
  </si>
  <si>
    <t>Alexander "Skunder" Boghossian</t>
  </si>
  <si>
    <t>Portrait of a Woman</t>
  </si>
  <si>
    <t>Bather</t>
  </si>
  <si>
    <t>Roger and Angelica</t>
  </si>
  <si>
    <t>Pastel on paper on canvas</t>
  </si>
  <si>
    <t>36 1/2 x 28 3/4" (92.7 x 73 cm)</t>
  </si>
  <si>
    <t>https://www.moma.org/collection/works/34050</t>
  </si>
  <si>
    <t>https://www.moma.org/media/W1siZiIsIjIxMDI5MyJdLFsicCIsImNvbnZlcnQiLCItcmVzaXplIDEwMjR4MTAyNFx1MDAzZSJdXQ.jpg?sha=3e3493a479b3a785</t>
  </si>
  <si>
    <t>Silence</t>
  </si>
  <si>
    <t>Oil on prepared paper</t>
  </si>
  <si>
    <t>21 1/2 x 21 1/4" (54.6 x 54 cm)</t>
  </si>
  <si>
    <t>https://www.moma.org/collection/works/34078</t>
  </si>
  <si>
    <t>https://www.moma.org/media/W1siZiIsIjIxMDMwMyJdLFsicCIsImNvbnZlcnQiLCItcmVzaXplIDEwMjR4MTAyNFx1MDAzZSJdXQ.jpg?sha=a57c6a6e703c98c9</t>
  </si>
  <si>
    <t>Conception</t>
  </si>
  <si>
    <t>Munira Al-Kazi</t>
  </si>
  <si>
    <t>Oil, metallic paint, spray paint and incising on brown paper</t>
  </si>
  <si>
    <t>30 1/2 x 20 1/2" (77.5 x 51.9 cm)</t>
  </si>
  <si>
    <t>https://www.moma.org/collection/works/34157</t>
  </si>
  <si>
    <t>https://www.moma.org/media/W1siZiIsIjMyODc5OSJdLFsicCIsImNvbnZlcnQiLCItcmVzaXplIDEwMjR4MTAyNFx1MDAzZSJdXQ.jpg?sha=1c4a82726eaac263</t>
  </si>
  <si>
    <t>At the Concert Européen (Au Concert Européen)</t>
  </si>
  <si>
    <t>c. 1886–88</t>
  </si>
  <si>
    <t>Conté crayon and gouache on paper</t>
  </si>
  <si>
    <t>12 1/4 x 9 3/8" (31.1 x 23.8 cm)</t>
  </si>
  <si>
    <t>https://www.moma.org/collection/works/34183</t>
  </si>
  <si>
    <t>https://www.moma.org/media/W1siZiIsIjExNzE5MSJdLFsicCIsImNvbnZlcnQiLCItcmVzaXplIDEwMjR4MTAyNFx1MDAzZSJdXQ.jpg?sha=4b510c41d72d8e56</t>
  </si>
  <si>
    <t>Joseph Stella</t>
  </si>
  <si>
    <t>Rosemarie Trockel</t>
  </si>
  <si>
    <t>Conté crayon and graphite on paper</t>
  </si>
  <si>
    <t>18 x 24" (45.7 x 61 cm)</t>
  </si>
  <si>
    <t>Stone Breaker, Le Raincy (Casseur de pierres, Le Raincy)</t>
  </si>
  <si>
    <t>c. 1879–81</t>
  </si>
  <si>
    <t>https://www.moma.org/collection/works/34479</t>
  </si>
  <si>
    <t>https://www.moma.org/media/W1siZiIsIjExNzY1NiJdLFsicCIsImNvbnZlcnQiLCItcmVzaXplIDEwMjR4MTAyNFx1MDAzZSJdXQ.jpg?sha=d16ecb3fd6fe9bca</t>
  </si>
  <si>
    <t>Yayoi Kusama</t>
  </si>
  <si>
    <t>José Leonilson</t>
  </si>
  <si>
    <t>Elie Nadelman</t>
  </si>
  <si>
    <t>1942–43</t>
  </si>
  <si>
    <t>Gordon Matta-Clark</t>
  </si>
  <si>
    <t>Bob Thompson</t>
  </si>
  <si>
    <t>Charles Sheeler</t>
  </si>
  <si>
    <t>8 x 10" (20.3 x 25.4 cm)</t>
  </si>
  <si>
    <t>Mark Rothko</t>
  </si>
  <si>
    <t>Richard Artschwager</t>
  </si>
  <si>
    <t>David Hammons</t>
  </si>
  <si>
    <t>Eva Hesse</t>
  </si>
  <si>
    <t>Metaesquema</t>
  </si>
  <si>
    <t>Gouache on incised board</t>
  </si>
  <si>
    <t>18 1/8 x 20 1/2" (46 x 52.1 cm)</t>
  </si>
  <si>
    <t>https://www.moma.org/collection/works/35040</t>
  </si>
  <si>
    <t>https://www.moma.org/media/W1siZiIsIjEwMDk0NyJdLFsicCIsImNvbnZlcnQiLCItcmVzaXplIDEwMjR4MTAyNFx1MDAzZSJdXQ.jpg?sha=3f6c6e3ddcb2c75f</t>
  </si>
  <si>
    <t>Metaesquema No. 4066</t>
  </si>
  <si>
    <t>21 x 22 7/8" (53.3 x 58.1 cm)</t>
  </si>
  <si>
    <t>https://www.moma.org/collection/works/35054</t>
  </si>
  <si>
    <t>https://www.moma.org/media/W1siZiIsIjI2MTIyNyJdLFsicCIsImNvbnZlcnQiLCItcmVzaXplIDEwMjR4MTAyNFx1MDAzZSJdXQ.jpg?sha=cb05c8e5fcc9e6b6</t>
  </si>
  <si>
    <t>19 7/8 x 26 3/4" (50.5 x 68 cm)</t>
  </si>
  <si>
    <t>https://www.moma.org/collection/works/35066</t>
  </si>
  <si>
    <t>https://www.moma.org/media/W1siZiIsIjUyNzQ1OCJdLFsicCIsImNvbnZlcnQiLCItcmVzaXplIDEwMjR4MTAyNFx1MDAzZSJdXQ.jpg?sha=ccb43d4847fee928</t>
  </si>
  <si>
    <t>Rachel Whiteread</t>
  </si>
  <si>
    <t>Ink, gouache, and pencil on paper</t>
  </si>
  <si>
    <t>Pastel and ballpoint pen on paper</t>
  </si>
  <si>
    <t>14 7/8 x 11 1/2" (37.9 x 29.4 cm)</t>
  </si>
  <si>
    <t>https://www.moma.org/collection/works/35262</t>
  </si>
  <si>
    <t>https://www.moma.org/media/W1siZiIsIjQ3ODg3NCJdLFsicCIsImNvbnZlcnQiLCItcmVzaXplIDEwMjR4MTAyNFx1MDAzZSJdXQ.jpg?sha=747b7885d84b70dd</t>
  </si>
  <si>
    <t>Flower</t>
  </si>
  <si>
    <t>1953/1963</t>
  </si>
  <si>
    <t>Ink, gouache, and pastel on paper</t>
  </si>
  <si>
    <t>15 3/4 x 13 1/4" (40.1 x 33.8 cm)</t>
  </si>
  <si>
    <t>https://www.moma.org/collection/works/35270</t>
  </si>
  <si>
    <t>https://www.moma.org/media/W1siZiIsIjQ3ODg3NSJdLFsicCIsImNvbnZlcnQiLCItcmVzaXplIDEwMjR4MTAyNFx1MDAzZSJdXQ.jpg?sha=eb08be7f38d4485d</t>
  </si>
  <si>
    <t>Pencil and beeswax on paper</t>
  </si>
  <si>
    <t>The American Hay Company</t>
  </si>
  <si>
    <t>Conté crayon frottage on paper</t>
  </si>
  <si>
    <t>25 1/8 x 19" (63.9 x 48.3 cm)</t>
  </si>
  <si>
    <t>https://www.moma.org/collection/works/35281</t>
  </si>
  <si>
    <t>https://www.moma.org/media/W1siZiIsIjIyNzI4NiJdLFsicCIsImNvbnZlcnQiLCItcmVzaXplIDEwMjR4MTAyNFx1MDAzZSJdXQ.jpg?sha=4c3b01d0955a14f4</t>
  </si>
  <si>
    <t>St. Barts 10</t>
  </si>
  <si>
    <t>10 3/4 x 16" (27.3 x 40.8 cm)</t>
  </si>
  <si>
    <t>https://www.moma.org/collection/works/35286</t>
  </si>
  <si>
    <t>https://www.moma.org/media/W1siZiIsIjIzNTM3MSJdLFsicCIsImNvbnZlcnQiLCItcmVzaXplIDEwMjR4MTAyNFx1MDAzZSJdXQ.jpg?sha=b18c75091523b93f</t>
  </si>
  <si>
    <t>Rabbit Man</t>
  </si>
  <si>
    <t>Thelma Johnson Streat</t>
  </si>
  <si>
    <t>6 5/8 × 4 7/8" (16.8 × 12.4 cm)</t>
  </si>
  <si>
    <t>https://www.moma.org/collection/works/35320</t>
  </si>
  <si>
    <t>https://www.moma.org/media/W1siZiIsIjE4MzE2OCJdLFsicCIsImNvbnZlcnQiLCItcmVzaXplIDEwMjR4MTAyNFx1MDAzZSJdXQ.jpg?sha=3e327a6e2a7027d0</t>
  </si>
  <si>
    <t>Glenn Ligon</t>
  </si>
  <si>
    <t>Islas Encantadas Series: Materia Prima I</t>
  </si>
  <si>
    <t>Earth from site (Galapagos Islands), graphite, and gelatin silver print on pieced paper on board</t>
  </si>
  <si>
    <t>32 x 40" (81.3 x 101.6 cm)</t>
  </si>
  <si>
    <t>https://www.moma.org/collection/works/35369</t>
  </si>
  <si>
    <t>https://www.moma.org/media/W1siZiIsIjk3MjQ5Il0sWyJwIiwiY29udmVydCIsIi1yZXNpemUgMTAyNHgxMDI0XHUwMDNlIl1d.jpg?sha=6c2b9d03aa7c6948</t>
  </si>
  <si>
    <t>Two Nudes</t>
  </si>
  <si>
    <t>Luc Tuymans</t>
  </si>
  <si>
    <t>Brion Gysin</t>
  </si>
  <si>
    <t>Untitled (Doors)</t>
  </si>
  <si>
    <t>Toba Khedoori</t>
  </si>
  <si>
    <t>Oil, wax, and pencil on three sheets of paper</t>
  </si>
  <si>
    <t>132 x 234" (335.3 x 594.4 cm)</t>
  </si>
  <si>
    <t>https://www.moma.org/collection/works/35555</t>
  </si>
  <si>
    <t>https://www.moma.org/media/W1siZiIsIjU4OTEyMiJdLFsicCIsImNvbnZlcnQiLCItcmVzaXplIDEwMjR4MTAyNFx1MDAzZSJdXQ.jpg?sha=2b4ebae75b2426cb</t>
  </si>
  <si>
    <t>Hugo Erfurth</t>
  </si>
  <si>
    <t>Norman Lewis</t>
  </si>
  <si>
    <t>c. 1964</t>
  </si>
  <si>
    <t>Jim Amaral</t>
  </si>
  <si>
    <t>Geoffrey Hendricks</t>
  </si>
  <si>
    <t>René Magritte</t>
  </si>
  <si>
    <t>The Lovers</t>
  </si>
  <si>
    <t>15 3/4 x 11" (40 x 27.9 cm)</t>
  </si>
  <si>
    <t>Marlene Dumas</t>
  </si>
  <si>
    <t>Oil and pencil on paper</t>
  </si>
  <si>
    <t>Ink and ink wash on paper</t>
  </si>
  <si>
    <t>George Platt Lynes</t>
  </si>
  <si>
    <t>10 x 9 5/8" (25.5 x 24.5 cm)</t>
  </si>
  <si>
    <t>https://www.moma.org/collection/works/36248</t>
  </si>
  <si>
    <t>https://www.moma.org/media/W1siZiIsIjEyODYxMCJdLFsicCIsImNvbnZlcnQiLCItcmVzaXplIDEwMjR4MTAyNFx1MDAzZSJdXQ.jpg?sha=519b01f8510b3d2a</t>
  </si>
  <si>
    <t>Card Drawing #11 (Counting)</t>
  </si>
  <si>
    <t>Ink, gouache, and watercolor on cardstock</t>
  </si>
  <si>
    <t>6 1/8 x 6" (15.5 x 15.2 cm)</t>
  </si>
  <si>
    <t>https://www.moma.org/collection/works/36255</t>
  </si>
  <si>
    <t>https://www.moma.org/media/W1siZiIsIjk3NDE5Il0sWyJwIiwiY29udmVydCIsIi1yZXNpemUgMTAyNHgxMDI0XHUwMDNlIl1d.jpg?sha=53d148c2b7010b13</t>
  </si>
  <si>
    <t>Oil on canvas</t>
  </si>
  <si>
    <t>Jo Baer</t>
  </si>
  <si>
    <t>6 x 6" (15.3 x 15.3 cm)</t>
  </si>
  <si>
    <t>Joseph Cornell</t>
  </si>
  <si>
    <t>Tomb</t>
  </si>
  <si>
    <t>Sari Dienes</t>
  </si>
  <si>
    <t>The Dove</t>
  </si>
  <si>
    <t>Cut-and-pasted printed paper, gouache, pencil, and colored pencil on board</t>
  </si>
  <si>
    <t>13 3/8 x 18 3/4" (33.8 x 47.5 cm)</t>
  </si>
  <si>
    <t>https://www.moma.org/collection/works/36572</t>
  </si>
  <si>
    <t>https://www.moma.org/media/W1siZiIsIjExNDE0NSJdLFsicCIsImNvbnZlcnQiLCItcmVzaXplIDEwMjR4MTAyNFx1MDAzZSJdXQ.jpg?sha=5152e63bc35adfdd</t>
  </si>
  <si>
    <t>Dan Flavin</t>
  </si>
  <si>
    <t>No. 19 H.S.W.</t>
  </si>
  <si>
    <t>23 1/2 x 18" (59.7 x 45.7 cm)</t>
  </si>
  <si>
    <t>https://www.moma.org/collection/works/36628</t>
  </si>
  <si>
    <t>https://www.moma.org/media/W1siZiIsIjQ4MDA2MyJdLFsicCIsImNvbnZlcnQiLCItcmVzaXplIDEwMjR4MTAyNFx1MDAzZSJdXQ.jpg?sha=10b5ca335af06429</t>
  </si>
  <si>
    <t>Melvin Edwards</t>
  </si>
  <si>
    <t>Cover design for Matisse: His Art and His Public</t>
  </si>
  <si>
    <t>Cut-and-pasted painted paper with ink on paper</t>
  </si>
  <si>
    <t>10 5/8 x 16 7/8" (27.0 x 42.9 cm)</t>
  </si>
  <si>
    <t>https://www.moma.org/collection/works/36802</t>
  </si>
  <si>
    <t>https://www.moma.org/media/W1siZiIsIjE4MjE5OCJdLFsicCIsImNvbnZlcnQiLCItcmVzaXplIDEwMjR4MTAyNFx1MDAzZSJdXQ.jpg?sha=96be847dbcf9fb77</t>
  </si>
  <si>
    <t>Cover design for exhibition catalogue Henri Matisse</t>
  </si>
  <si>
    <t>Gouache on paper, cut-and-pasted</t>
  </si>
  <si>
    <t>10 5/8 x 15 3/4" (27.0 x 40.0 cm)</t>
  </si>
  <si>
    <t>https://www.moma.org/collection/works/36808</t>
  </si>
  <si>
    <t>https://www.moma.org/media/W1siZiIsIjE4MjE5OSJdLFsicCIsImNvbnZlcnQiLCItcmVzaXplIDEwMjR4MTAyNFx1MDAzZSJdXQ.jpg?sha=796862a22f900e95</t>
  </si>
  <si>
    <t>Maquette for Nuit de Noël</t>
  </si>
  <si>
    <t>Gouache on paper, cut-and-pasted on board</t>
  </si>
  <si>
    <t>107 x 53 1/2" (271.8 x 135.9cm)</t>
  </si>
  <si>
    <t>https://www.moma.org/collection/works/36817</t>
  </si>
  <si>
    <t>https://www.moma.org/media/W1siZiIsIjI2MjA0MyJdLFsicCIsImNvbnZlcnQiLCItcmVzaXplIDEwMjR4MTAyNFx1MDAzZSJdXQ.jpg?sha=330564b848fb903d</t>
  </si>
  <si>
    <t>Pardon Me - But Could You Direct Me to the Oceanic Dredging Company?</t>
  </si>
  <si>
    <t>17 1/2 x 12 1/4" (44.5 x 31.2 cm)</t>
  </si>
  <si>
    <t>https://www.moma.org/collection/works/36848</t>
  </si>
  <si>
    <t>https://www.moma.org/media/W1siZiIsIjUxNTU0NiJdLFsicCIsImNvbnZlcnQiLCItcmVzaXplIDEwMjR4MTAyNFx1MDAzZSJdXQ.jpg?sha=d3e3899455d1648d</t>
  </si>
  <si>
    <t>Still Life with Apples</t>
  </si>
  <si>
    <t>1968-69</t>
  </si>
  <si>
    <t>Caryatid</t>
  </si>
  <si>
    <t>1951, signed 1953</t>
  </si>
  <si>
    <t>12 1/4 x 6 1/4" (31.1 x 15.9 cm)</t>
  </si>
  <si>
    <t>https://www.moma.org/collection/works/36914</t>
  </si>
  <si>
    <t>https://www.moma.org/media/W1siZiIsIjE2NjI4NyJdLFsicCIsImNvbnZlcnQiLCItcmVzaXplIDEwMjR4MTAyNFx1MDAzZSJdXQ.jpg?sha=8c86a015970fb31c</t>
  </si>
  <si>
    <t>Card Drawing #14 (Counting)</t>
  </si>
  <si>
    <t>1980–82</t>
  </si>
  <si>
    <t>Masking tape, ink, gouache, and watercolor on cardstock</t>
  </si>
  <si>
    <t>6 1/8 x 6" (15.6 x 15.2 cm)</t>
  </si>
  <si>
    <t>https://www.moma.org/collection/works/36985</t>
  </si>
  <si>
    <t>https://www.moma.org/media/W1siZiIsIjk3NDIwIl0sWyJwIiwiY29udmVydCIsIi1yZXNpemUgMTAyNHgxMDI0XHUwMDNlIl1d.jpg?sha=37d6867f3cf1e56b</t>
  </si>
  <si>
    <t>Donald Judd</t>
  </si>
  <si>
    <t>Sam Gilliam</t>
  </si>
  <si>
    <t xml:space="preserve">25 3/4 x 34 1/4" (65.4 x 87.2 cm)_x000D_
</t>
  </si>
  <si>
    <t>https://www.moma.org/collection/works/37195</t>
  </si>
  <si>
    <t>https://www.moma.org/media/W1siZiIsIjk3NDIxIl0sWyJwIiwiY29udmVydCIsIi1yZXNpemUgMTAyNHgxMDI0XHUwMDNlIl1d.jpg?sha=1b258a29733e9777</t>
  </si>
  <si>
    <t>Alfonso Ossorio</t>
  </si>
  <si>
    <t>Cy Twombly</t>
  </si>
  <si>
    <t>Aphrodite Study</t>
  </si>
  <si>
    <t>1991-93</t>
  </si>
  <si>
    <t>https://www.moma.org/collection/works/37245</t>
  </si>
  <si>
    <t>https://www.moma.org/media/W1siZiIsIjkzNDk3Il0sWyJwIiwiY29udmVydCIsIi1yZXNpemUgMTAyNHgxMDI0XHUwMDNlIl1d.jpg?sha=f9212a96a18ed355</t>
  </si>
  <si>
    <t>Jenny Holzer</t>
  </si>
  <si>
    <t>Moon</t>
  </si>
  <si>
    <t>c. 1912-14</t>
  </si>
  <si>
    <t>John Ashbery</t>
  </si>
  <si>
    <t>Thomas Schütte</t>
  </si>
  <si>
    <t>Malcolm Bailey</t>
  </si>
  <si>
    <t>Stone</t>
  </si>
  <si>
    <t xml:space="preserve">10 7/8 x 10 7/8" (27.7 x 27.7 cm)_x000D_
</t>
  </si>
  <si>
    <t>https://www.moma.org/collection/works/37559</t>
  </si>
  <si>
    <t>https://www.moma.org/media/W1siZiIsIjE4NTU2NyJdLFsicCIsImNvbnZlcnQiLCItcmVzaXplIDEwMjR4MTAyNFx1MDAzZSJdXQ.jpg?sha=1f73693382289860</t>
  </si>
  <si>
    <t>Maine</t>
  </si>
  <si>
    <t xml:space="preserve">24 1/2 x 18 3/4" (62.2 x 47.6 cm)_x000D_
</t>
  </si>
  <si>
    <t>https://www.moma.org/collection/works/37661</t>
  </si>
  <si>
    <t>https://www.moma.org/media/W1siZiIsIjE4NjU2NiJdLFsicCIsImNvbnZlcnQiLCItcmVzaXplIDEwMjR4MTAyNFx1MDAzZSJdXQ.jpg?sha=835e3c0b912bbfe5</t>
  </si>
  <si>
    <t>Portrait of Meijer de Haan</t>
  </si>
  <si>
    <t>Paul Gauguin</t>
  </si>
  <si>
    <t>Alice Aycock</t>
  </si>
  <si>
    <t>Portrait of My Mother</t>
  </si>
  <si>
    <t>Bridget Riley</t>
  </si>
  <si>
    <t>23 3/4 x 19 3/4" (60.3 x 50.2 cm)</t>
  </si>
  <si>
    <t>Florence Henri</t>
  </si>
  <si>
    <t>Profile of a Girl (Study for 'Thalia and Melpomene') (Brustbild eines Mädchens mit langem Haar im Profil nach links)</t>
  </si>
  <si>
    <t>1898–99</t>
  </si>
  <si>
    <t>16 3/4 x 11 3/8" (42.6 x 28.9 cm)</t>
  </si>
  <si>
    <t>https://www.moma.org/collection/works/38245</t>
  </si>
  <si>
    <t>https://www.moma.org/media/W1siZiIsIjEzNjE3OCJdLFsicCIsImNvbnZlcnQiLCItcmVzaXplIDEwMjR4MTAyNFx1MDAzZSJdXQ.jpg?sha=599ffb1a9a9adcf6</t>
  </si>
  <si>
    <t>Annunciation Study I</t>
  </si>
  <si>
    <t>22 1/8 x 29 5/8" (56.8 x 75.2 cm)</t>
  </si>
  <si>
    <t>https://www.moma.org/collection/works/38276</t>
  </si>
  <si>
    <t>https://www.moma.org/media/W1siZiIsIjIzNTA0NCJdLFsicCIsImNvbnZlcnQiLCItcmVzaXplIDEwMjR4MTAyNFx1MDAzZSJdXQ.jpg?sha=0ef6d6a60d8dbc22</t>
  </si>
  <si>
    <t>Blériotomobil</t>
  </si>
  <si>
    <t>21 3/8 x 26" (54.1 x 66.0 cm)</t>
  </si>
  <si>
    <t>https://www.moma.org/collection/works/38304</t>
  </si>
  <si>
    <t>https://www.moma.org/media/W1siZiIsIjQzMzE3OCJdLFsicCIsImNvbnZlcnQiLCItcmVzaXplIDEwMjR4MTAyNFx1MDAzZSJdXQ.jpg?sha=15a6efebb1a9371d</t>
  </si>
  <si>
    <t>"M'Amenez-y"</t>
  </si>
  <si>
    <t>Paris, November 1919 - January 1920</t>
  </si>
  <si>
    <t>Oil and enamel paint on cardboard</t>
  </si>
  <si>
    <t>50 3/4 x 35 3/8" (129.2 x 89.8 cm)</t>
  </si>
  <si>
    <t>https://www.moma.org/collection/works/38561</t>
  </si>
  <si>
    <t>https://www.moma.org/media/W1siZiIsIjMzNjY1MyJdLFsicCIsImNvbnZlcnQiLCItcmVzaXplIDEwMjR4MTAyNFx1MDAzZSJdXQ.jpg?sha=fa4dcfd803bbb225</t>
  </si>
  <si>
    <t>Lygia Pape</t>
  </si>
  <si>
    <t>1928-1930</t>
  </si>
  <si>
    <t>Elizabeth Peyton</t>
  </si>
  <si>
    <t>Repose</t>
  </si>
  <si>
    <t>Eugène Atget</t>
  </si>
  <si>
    <t>Albumen silver print</t>
  </si>
  <si>
    <t>Photography</t>
  </si>
  <si>
    <t>Approx. 8 11/16 × 7 1/16" (22 × 18 cm)</t>
  </si>
  <si>
    <t>1921-22</t>
  </si>
  <si>
    <t>1905-06</t>
  </si>
  <si>
    <t>1910-11</t>
  </si>
  <si>
    <t>1903-04</t>
  </si>
  <si>
    <t>7, rue de l'Estrapade</t>
  </si>
  <si>
    <t>1904-05</t>
  </si>
  <si>
    <t>8 1/2 × 7" (21.6 × 17.8 cm)</t>
  </si>
  <si>
    <t>https://www.moma.org/collection/works/39473</t>
  </si>
  <si>
    <t>https://www.moma.org/media/W1siZiIsIjI4MzU5NyJdLFsicCIsImNvbnZlcnQiLCItcmVzaXplIDEwMjR4MTAyNFx1MDAzZSJdXQ.jpg?sha=606d37a32227ec25</t>
  </si>
  <si>
    <t>1907-08</t>
  </si>
  <si>
    <t>Escalier, 8 rue Saint-Augustin</t>
  </si>
  <si>
    <t>8 5/8 × 7 (21.9 × 17.8 cm)</t>
  </si>
  <si>
    <t>https://www.moma.org/collection/works/40037</t>
  </si>
  <si>
    <t>https://www.moma.org/media/W1siZiIsIjI4MjgwOSJdLFsicCIsImNvbnZlcnQiLCItcmVzaXplIDEwMjR4MTAyNFx1MDAzZSJdXQ.jpg?sha=80a5b2bc948670c7</t>
  </si>
  <si>
    <t>88 Rue Bonaparte</t>
  </si>
  <si>
    <t>https://www.moma.org/collection/works/40100</t>
  </si>
  <si>
    <t>https://www.moma.org/media/W1siZiIsIjI4MjgzOSJdLFsicCIsImNvbnZlcnQiLCItcmVzaXplIDEwMjR4MTAyNFx1MDAzZSJdXQ.jpg?sha=37d4bbbea1eb500d</t>
  </si>
  <si>
    <t>23 rue de Seine</t>
  </si>
  <si>
    <t>https://www.moma.org/collection/works/40116</t>
  </si>
  <si>
    <t>https://www.moma.org/media/W1siZiIsIjI4Mjg0NCJdLFsicCIsImNvbnZlcnQiLCItcmVzaXplIDEwMjR4MTAyNFx1MDAzZSJdXQ.jpg?sha=74a35431bf88ec44</t>
  </si>
  <si>
    <t>8 11/16 × 6 7/8" (22 × 17.4 cm)</t>
  </si>
  <si>
    <t>14 rue du Cherche-Midi</t>
  </si>
  <si>
    <t>8 1/2 × 6 15/16 (21.6 × 17.6 cm)</t>
  </si>
  <si>
    <t>https://www.moma.org/collection/works/40374</t>
  </si>
  <si>
    <t>https://www.moma.org/media/W1siZiIsIjI4MjgyOSJdLFsicCIsImNvbnZlcnQiLCItcmVzaXplIDEwMjR4MTAyNFx1MDAzZSJdXQ.jpg?sha=da9d0a6a58b54c3e</t>
  </si>
  <si>
    <t>1910 or earlier</t>
  </si>
  <si>
    <t>Moulin Rouge</t>
  </si>
  <si>
    <t>Harry Callahan</t>
  </si>
  <si>
    <t>Robert Cumming</t>
  </si>
  <si>
    <t>Two gelatin silver prints</t>
  </si>
  <si>
    <t>Diane Arbus</t>
  </si>
  <si>
    <t>Walker Evans</t>
  </si>
  <si>
    <t xml:space="preserve">Gelatin silver print_x000D_
</t>
  </si>
  <si>
    <t>Gelatin silver prints</t>
  </si>
  <si>
    <t>Ansel Adams</t>
  </si>
  <si>
    <t>Louise Lawler</t>
  </si>
  <si>
    <t>9 1/4 × 7" (23.5 × 17.8 cm)</t>
  </si>
  <si>
    <t>Palladium print</t>
  </si>
  <si>
    <t>Chromogenic print</t>
  </si>
  <si>
    <t>Cape Cod</t>
  </si>
  <si>
    <t>9 × 13 1/2" (22.9 × 34.3 cm)</t>
  </si>
  <si>
    <t>Gelatin silver print, printed 1980</t>
  </si>
  <si>
    <t>9 1/2 × 7" (24.1 × 17.8 cm)</t>
  </si>
  <si>
    <t>Edward Weston</t>
  </si>
  <si>
    <t>Dorothea Lange</t>
  </si>
  <si>
    <t>August Sander</t>
  </si>
  <si>
    <t>Coney Island</t>
  </si>
  <si>
    <t>Aaron Siskind</t>
  </si>
  <si>
    <t>Yasuhiro Ishimoto</t>
  </si>
  <si>
    <t>Ilse Bing</t>
  </si>
  <si>
    <t>Chicago</t>
  </si>
  <si>
    <t>c. 1885</t>
  </si>
  <si>
    <t>Roy DeCarava</t>
  </si>
  <si>
    <t>Driftwood</t>
  </si>
  <si>
    <t>19 1/2 × 13 1/2" (49.5 × 34.3 cm)</t>
  </si>
  <si>
    <t>c. 1982</t>
  </si>
  <si>
    <t>Barbara Morgan</t>
  </si>
  <si>
    <t>Wright Morris</t>
  </si>
  <si>
    <t>Bill Brandt</t>
  </si>
  <si>
    <t>Martha Graham</t>
  </si>
  <si>
    <t>Les Trois Grâces, Musée de Louvre</t>
  </si>
  <si>
    <t>18 5/16 × 13 7/8" (46.6 × 35.2 cm)</t>
  </si>
  <si>
    <t>https://www.moma.org/collection/works/44999</t>
  </si>
  <si>
    <t>https://www.moma.org/media/W1siZiIsIjE4Njc4MyJdLFsicCIsImNvbnZlcnQiLCItcmVzaXplIDEwMjR4MTAyNFx1MDAzZSJdXQ.jpg?sha=0084a8370cefa034</t>
  </si>
  <si>
    <t>Luke Swank</t>
  </si>
  <si>
    <t>Robert Frank</t>
  </si>
  <si>
    <t>Four gelatin silver prints</t>
  </si>
  <si>
    <t>Gelatin silver print, printed 1986</t>
  </si>
  <si>
    <t>Ralph Steiner</t>
  </si>
  <si>
    <t>Torso</t>
  </si>
  <si>
    <t>14 3/8 × 11 7/16" (36.6 × 29.1 cm)</t>
  </si>
  <si>
    <t>France</t>
  </si>
  <si>
    <t>Pleasures and Terrors of Levitation 491</t>
  </si>
  <si>
    <t>9 7/8 × 9 1/2" (25.1 × 24.2 cm)</t>
  </si>
  <si>
    <t>https://www.moma.org/collection/works/45258</t>
  </si>
  <si>
    <t>https://www.moma.org/media/W1siZiIsIjE4MzU2MSJdLFsicCIsImNvbnZlcnQiLCItcmVzaXplIDEwMjR4MTAyNFx1MDAzZSJdXQ.jpg?sha=0ecfa9e09fad2e2a</t>
  </si>
  <si>
    <t>Cyanotype</t>
  </si>
  <si>
    <t>New York City</t>
  </si>
  <si>
    <t>1916-17</t>
  </si>
  <si>
    <t>1958-59</t>
  </si>
  <si>
    <t>Magnolia Blossom, Tower of Jewels</t>
  </si>
  <si>
    <t>https://www.moma.org/collection/works/45727</t>
  </si>
  <si>
    <t>https://www.moma.org/media/W1siZiIsIjE4NDQxOSJdLFsicCIsImNvbnZlcnQiLCItcmVzaXplIDEwMjR4MTAyNFx1MDAzZSJdXQ.jpg?sha=ed2f0fc4db6b3fc6</t>
  </si>
  <si>
    <t>19 × 19" (48.3 × 48.3 cm)</t>
  </si>
  <si>
    <t>Gjon Mili</t>
  </si>
  <si>
    <t>1939-40</t>
  </si>
  <si>
    <t>Tina Modotti</t>
  </si>
  <si>
    <t>Two Double Negatives</t>
  </si>
  <si>
    <t>a 7 9/16 × 9 5/8" (19.3 × 24.6 cm)_x000D_
b 7 11/16 × 9 5/8" (19.5 × 24.5 cm)</t>
  </si>
  <si>
    <t>https://www.moma.org/collection/works/46166</t>
  </si>
  <si>
    <t>https://www.moma.org/media/W1siZiIsIjE5ODM2NSJdLFsicCIsImNvbnZlcnQiLCItcmVzaXplIDEwMjR4MTAyNFx1MDAzZSJdXQ.jpg?sha=faf2ec0a75802e56</t>
  </si>
  <si>
    <t>Boston</t>
  </si>
  <si>
    <t>Color instant prints and paint</t>
  </si>
  <si>
    <t>each 27 3/4 × 22 1/4" (70.3 × 56.4 cm)</t>
  </si>
  <si>
    <t>https://www.moma.org/collection/works/46168</t>
  </si>
  <si>
    <t>https://www.moma.org/media/W1siZiIsIjExNTk2MyJdLFsicCIsImNvbnZlcnQiLCItcmVzaXplIDEwMjR4MTAyNFx1MDAzZSJdXQ.jpg?sha=dbe0da5771467fa6</t>
  </si>
  <si>
    <t>The River</t>
  </si>
  <si>
    <t>Theodore Lux Feininger</t>
  </si>
  <si>
    <t>9 3/8 × 7" (23.8 × 17.8 cm)</t>
  </si>
  <si>
    <t>Gelatin silver print, printed 1971</t>
  </si>
  <si>
    <t>Man in Mirror</t>
  </si>
  <si>
    <t>12 × 8 5/8" (30.5 × 22.1 cm)</t>
  </si>
  <si>
    <t>https://www.moma.org/collection/works/46597</t>
  </si>
  <si>
    <t>https://www.moma.org/media/W1siZiIsIjE4MzUwMiJdLFsicCIsImNvbnZlcnQiLCItcmVzaXplIDEwMjR4MTAyNFx1MDAzZSJdXQ.jpg?sha=6fe30b09e5c94b87</t>
  </si>
  <si>
    <t>Peace Meals</t>
  </si>
  <si>
    <t>10 7/8 × 7 3/4" (27.9 × 19.9 cm)</t>
  </si>
  <si>
    <t>https://www.moma.org/collection/works/46599</t>
  </si>
  <si>
    <t>https://www.moma.org/media/W1siZiIsIjE4Mzg5NyJdLFsicCIsImNvbnZlcnQiLCItcmVzaXplIDEwMjR4MTAyNFx1MDAzZSJdXQ.jpg?sha=e5b61bda6ba828c3</t>
  </si>
  <si>
    <t>Church Interior</t>
  </si>
  <si>
    <t>8 5/8 × 12" (22 × 30.7 cm)</t>
  </si>
  <si>
    <t>https://www.moma.org/collection/works/46608</t>
  </si>
  <si>
    <t>https://www.moma.org/media/W1siZiIsIjE4MzUwOSJdLFsicCIsImNvbnZlcnQiLCItcmVzaXplIDEwMjR4MTAyNFx1MDAzZSJdXQ.jpg?sha=7b0ee6ba6b80e7ef</t>
  </si>
  <si>
    <t>Night Club I</t>
  </si>
  <si>
    <t>10 7/8 × 7 7/8" (27.9 × 20.3 cm)</t>
  </si>
  <si>
    <t>https://www.moma.org/collection/works/46614</t>
  </si>
  <si>
    <t>https://www.moma.org/media/W1siZiIsIjE4MzUxNSJdLFsicCIsImNvbnZlcnQiLCItcmVzaXplIDEwMjR4MTAyNFx1MDAzZSJdXQ.jpg?sha=f22bb7b5fc19bb88</t>
  </si>
  <si>
    <t>Lafayette Theatre</t>
  </si>
  <si>
    <t>11 5/8 × 8 3/8" (29.7 × 21.5 cm)</t>
  </si>
  <si>
    <t>https://www.moma.org/collection/works/46616</t>
  </si>
  <si>
    <t>https://www.moma.org/media/W1siZiIsIjE4MzkwMSJdLFsicCIsImNvbnZlcnQiLCItcmVzaXplIDEwMjR4MTAyNFx1MDAzZSJdXQ.jpg?sha=394cb27f96ec5592</t>
  </si>
  <si>
    <t>Watermelon Man</t>
  </si>
  <si>
    <t>8 3/8 × 7 7/8" (21.4 × 20.2 cm)</t>
  </si>
  <si>
    <t>https://www.moma.org/collection/works/46617</t>
  </si>
  <si>
    <t>https://www.moma.org/media/W1siZiIsIjE4MzUxNiJdLFsicCIsImNvbnZlcnQiLCItcmVzaXplIDEwMjR4MTAyNFx1MDAzZSJdXQ.jpg?sha=9add87178288d9a6</t>
  </si>
  <si>
    <t>Lady and Lamp</t>
  </si>
  <si>
    <t>11 × 7 7/8" (28.1 × 20.2 cm)</t>
  </si>
  <si>
    <t>https://www.moma.org/collection/works/46619</t>
  </si>
  <si>
    <t>https://www.moma.org/media/W1siZiIsIjE4MzUxOCJdLFsicCIsImNvbnZlcnQiLCItcmVzaXplIDEwMjR4MTAyNFx1MDAzZSJdXQ.jpg?sha=9c109360d8cae206</t>
  </si>
  <si>
    <t>Jack Delano</t>
  </si>
  <si>
    <t>Nell Dorr</t>
  </si>
  <si>
    <t>VALIE EXPORT</t>
  </si>
  <si>
    <t>Bankers, London</t>
  </si>
  <si>
    <t>Frank Gohlke</t>
  </si>
  <si>
    <t>13 1/16 × 9 1/8" (33.2 × 23.1 cm)</t>
  </si>
  <si>
    <t>https://www.moma.org/collection/works/47162</t>
  </si>
  <si>
    <t>https://www.moma.org/media/W1siZiIsIjE4Mzk4MCJdLFsicCIsImNvbnZlcnQiLCItcmVzaXplIDEwMjR4MTAyNFx1MDAzZSJdXQ.jpg?sha=d532f5fe990485f7</t>
  </si>
  <si>
    <t>Street Line, New York</t>
  </si>
  <si>
    <t>William S. Burroughs</t>
  </si>
  <si>
    <t>9 5/16 × 6 3/16" (23.7 × 15.7 cm)</t>
  </si>
  <si>
    <t>London</t>
  </si>
  <si>
    <t>Ray K. Metzker</t>
  </si>
  <si>
    <t>Detroit</t>
  </si>
  <si>
    <t>Martha Graham, Extasis</t>
  </si>
  <si>
    <t>13 1/4 × 10 1/4" (33.6 × 26.0 cm)</t>
  </si>
  <si>
    <t>https://www.moma.org/collection/works/48124</t>
  </si>
  <si>
    <t>https://www.moma.org/media/W1siZiIsIjIwMDIzNyJdLFsicCIsImNvbnZlcnQiLCItcmVzaXplIDEwMjR4MTAyNFx1MDAzZSJdXQ.jpg?sha=07192c83dfa27369</t>
  </si>
  <si>
    <t>Corn Leaf Rhythm</t>
  </si>
  <si>
    <t>https://www.moma.org/collection/works/48247</t>
  </si>
  <si>
    <t>https://www.moma.org/media/W1siZiIsIjIwMDk5NyJdLFsicCIsImNvbnZlcnQiLCItcmVzaXplIDEwMjR4MTAyNFx1MDAzZSJdXQ.jpg?sha=12e62888e3ffb86e</t>
  </si>
  <si>
    <t>Spring on Madison Square</t>
  </si>
  <si>
    <t>13 7/8 × 16 7/8" (35.3 × 43.0 cm)</t>
  </si>
  <si>
    <t>https://www.moma.org/collection/works/48285</t>
  </si>
  <si>
    <t>https://www.moma.org/media/W1siZiIsIjIwMDI0MiJdLFsicCIsImNvbnZlcnQiLCItcmVzaXplIDEwMjR4MTAyNFx1MDAzZSJdXQ.jpg?sha=3a968858a4b31eb6</t>
  </si>
  <si>
    <t>Landscape - From the Grain Elevator, Happy, Texas</t>
  </si>
  <si>
    <t>1975-77</t>
  </si>
  <si>
    <t>https://www.moma.org/collection/works/48356</t>
  </si>
  <si>
    <t>https://www.moma.org/media/W1siZiIsIjE5ODU4MyJdLFsicCIsImNvbnZlcnQiLCItcmVzaXplIDEwMjR4MTAyNFx1MDAzZSJdXQ.jpg?sha=70ee737caf151625</t>
  </si>
  <si>
    <t>Robert Mapplethorpe</t>
  </si>
  <si>
    <t>7 × 9 1/2" (17.8 × 24.1 cm)</t>
  </si>
  <si>
    <t>Wabash Avenue, Chicago</t>
  </si>
  <si>
    <t>11 × 14" (27.9 × 35.6 cm)</t>
  </si>
  <si>
    <t>https://www.moma.org/collection/works/48651</t>
  </si>
  <si>
    <t>https://www.moma.org/media/W1siZiIsIjE4NDEwMyJdLFsicCIsImNvbnZlcnQiLCItcmVzaXplIDEwMjR4MTAyNFx1MDAzZSJdXQ.jpg?sha=7d49ce1054ec6429</t>
  </si>
  <si>
    <t>Pleasures and Terrors of Levitation 55</t>
  </si>
  <si>
    <t>https://www.moma.org/collection/works/48676</t>
  </si>
  <si>
    <t>https://www.moma.org/media/W1siZiIsIjUyMDI5OCJdLFsicCIsImNvbnZlcnQiLCItcmVzaXplIDEwMjR4MTAyNFx1MDAzZSJdXQ.jpg?sha=9ec25dc4a18d6a7c</t>
  </si>
  <si>
    <t>Medals, New York</t>
  </si>
  <si>
    <t>c. 1976</t>
  </si>
  <si>
    <t>Kelp</t>
  </si>
  <si>
    <t>1930-41</t>
  </si>
  <si>
    <t>14 × 14" (35.6 × 35.6 cm)</t>
  </si>
  <si>
    <t>Spring 1958</t>
  </si>
  <si>
    <t>9 1/8 × 13 7/16" (23.1 × 34.1 cm)</t>
  </si>
  <si>
    <t>https://www.moma.org/collection/works/49844</t>
  </si>
  <si>
    <t>https://www.moma.org/media/W1siZiIsIjIwMTA4NSJdLFsicCIsImNvbnZlcnQiLCItcmVzaXplIDEwMjR4MTAyNFx1MDAzZSJdXQ.jpg?sha=122dc86bb84807aa</t>
  </si>
  <si>
    <t>Pas de Bourree, Nora Kaye of the American Ballet Theatre</t>
  </si>
  <si>
    <t>10 3/8 × 13 3/8"  (26.3 × 33.9 cm)</t>
  </si>
  <si>
    <t>https://www.moma.org/collection/works/49879</t>
  </si>
  <si>
    <t>https://www.moma.org/media/W1siZiIsIjI0MDA5NyJdLFsicCIsImNvbnZlcnQiLCItcmVzaXplIDEwMjR4MTAyNFx1MDAzZSJdXQ.jpg?sha=b6f5d4507402b093</t>
  </si>
  <si>
    <t>A Lightplay: Black White Gray</t>
  </si>
  <si>
    <t>14 3/4 × 10 3/4" (37.4 × 27.4 cm)</t>
  </si>
  <si>
    <t>https://www.moma.org/collection/works/50131</t>
  </si>
  <si>
    <t>https://www.moma.org/media/W1siZiIsIjQ0NDkxNiJdLFsicCIsImNvbnZlcnQiLCItcmVzaXplIDEwMjR4MTAyNFx1MDAzZSJdXQ.jpg?sha=4bb55b76ef64bb52</t>
  </si>
  <si>
    <t>Gelatin silver print, printed 1976</t>
  </si>
  <si>
    <t>Dream Dance during the Rebuilding of the Vienna State Opera House</t>
  </si>
  <si>
    <t>Yoichi R. Okamoto</t>
  </si>
  <si>
    <t>12 3/8 × 10 3/4" (31.4 × 27.3 cm)</t>
  </si>
  <si>
    <t>https://www.moma.org/collection/works/50229</t>
  </si>
  <si>
    <t>https://www.moma.org/media/W1siZiIsIjI1MTE4MSJdLFsicCIsImNvbnZlcnQiLCItcmVzaXplIDEwMjR4MTAyNFx1MDAzZSJdXQ.jpg?sha=5ffb5e4db1eec047</t>
  </si>
  <si>
    <t>1988-89</t>
  </si>
  <si>
    <t>Gelatin silver print, printed 1997</t>
  </si>
  <si>
    <t>Grete's Eyes</t>
  </si>
  <si>
    <t>7 1/16 × 9 7/16" (18 × 24 cm)</t>
  </si>
  <si>
    <t>https://www.moma.org/collection/works/50674</t>
  </si>
  <si>
    <t>https://www.moma.org/media/W1siZiIsIjE4ODU5NSJdLFsicCIsImNvbnZlcnQiLCItcmVzaXplIDEwMjR4MTAyNFx1MDAzZSJdXQ.jpg?sha=243430853a8df4c7</t>
  </si>
  <si>
    <t>7 5/8 × 9 1/2" (19.3 × 24.1 cm)</t>
  </si>
  <si>
    <t>8 7/8 × 13 1/2" (22.6 × 34.3 cm)</t>
  </si>
  <si>
    <t>1961-62</t>
  </si>
  <si>
    <t>8 11/16 × 13 1/16" (22.1 × 33.1 cm)</t>
  </si>
  <si>
    <t>Funeral, Paris</t>
  </si>
  <si>
    <t>https://www.moma.org/collection/works/51562</t>
  </si>
  <si>
    <t>https://www.moma.org/media/W1siZiIsIjE4MjE0MyJdLFsicCIsImNvbnZlcnQiLCItcmVzaXplIDEwMjR4MTAyNFx1MDAzZSJdXQ.jpg?sha=3f1c44c5df8c79e6</t>
  </si>
  <si>
    <t>Family, Peru</t>
  </si>
  <si>
    <t>8 9/16 × 13 1/16" (21.7 × 33.1 cm)</t>
  </si>
  <si>
    <t>https://www.moma.org/collection/works/51565</t>
  </si>
  <si>
    <t>https://www.moma.org/media/W1siZiIsIjE4MjE0NiJdLFsicCIsImNvbnZlcnQiLCItcmVzaXplIDEwMjR4MTAyNFx1MDAzZSJdXQ.jpg?sha=55571fa381524ae0</t>
  </si>
  <si>
    <t>Tree, London</t>
  </si>
  <si>
    <t>https://www.moma.org/collection/works/51567</t>
  </si>
  <si>
    <t>https://www.moma.org/media/W1siZiIsIjE4MjE0OCJdLFsicCIsImNvbnZlcnQiLCItcmVzaXplIDEwMjR4MTAyNFx1MDAzZSJdXQ.jpg?sha=11be53002a5dff9b</t>
  </si>
  <si>
    <t>Communion, Valencia</t>
  </si>
  <si>
    <t>9 11/16 × 13" (27.2 × 33 cm)</t>
  </si>
  <si>
    <t>https://www.moma.org/collection/works/51568</t>
  </si>
  <si>
    <t>https://www.moma.org/media/W1siZiIsIjE4MjE0OSJdLFsicCIsImNvbnZlcnQiLCItcmVzaXplIDEwMjR4MTAyNFx1MDAzZSJdXQ.jpg?sha=2263cdbc5de420f0</t>
  </si>
  <si>
    <t>Procession, Valencia</t>
  </si>
  <si>
    <t>9 5/8 × 13 1/16" (22 × 33.2 cm)</t>
  </si>
  <si>
    <t>https://www.moma.org/collection/works/51571</t>
  </si>
  <si>
    <t>https://www.moma.org/media/W1siZiIsIjE4MjE2MCJdLFsicCIsImNvbnZlcnQiLCItcmVzaXplIDEwMjR4MTAyNFx1MDAzZSJdXQ.jpg?sha=880907f85402286d</t>
  </si>
  <si>
    <t>13 13/16 × 8 15/16" (35 × 22.8 cm)</t>
  </si>
  <si>
    <t>https://www.moma.org/collection/works/51572</t>
  </si>
  <si>
    <t>https://www.moma.org/media/W1siZiIsIjE4MjE1MyJdLFsicCIsImNvbnZlcnQiLCItcmVzaXplIDEwMjR4MTAyNFx1MDAzZSJdXQ.jpg?sha=b891a3b202368c69</t>
  </si>
  <si>
    <t>Woman of Stone, New York</t>
  </si>
  <si>
    <t>13 13/16 × 10" (35.1 × 25.3 cm)</t>
  </si>
  <si>
    <t>https://www.moma.org/collection/works/51574</t>
  </si>
  <si>
    <t>https://www.moma.org/media/W1siZiIsIjE4MjE1NCJdLFsicCIsImNvbnZlcnQiLCItcmVzaXplIDEwMjR4MTAyNFx1MDAzZSJdXQ.jpg?sha=d60a5095cfedc6ae</t>
  </si>
  <si>
    <t>13 7/8 × 9 3/16" (35 × 23.3 cm)</t>
  </si>
  <si>
    <t>https://www.moma.org/collection/works/51575</t>
  </si>
  <si>
    <t>https://www.moma.org/media/W1siZiIsIjE4MjE1NSJdLFsicCIsImNvbnZlcnQiLCItcmVzaXplIDEwMjR4MTAyNFx1MDAzZSJdXQ.jpg?sha=eeb9df42f0b9bbcf</t>
  </si>
  <si>
    <t>Doll, New York</t>
  </si>
  <si>
    <t>13 13/16 × 8 7/16" (35.1 × 21.4 cm)</t>
  </si>
  <si>
    <t>https://www.moma.org/collection/works/51578</t>
  </si>
  <si>
    <t>https://www.moma.org/media/W1siZiIsIjE4MjE1OCJdLFsicCIsImNvbnZlcnQiLCItcmVzaXplIDEwMjR4MTAyNFx1MDAzZSJdXQ.jpg?sha=ab1a1aeeb3a0db27</t>
  </si>
  <si>
    <t>Iron, Malaga</t>
  </si>
  <si>
    <t>8 7/8 × 13 1/16" (22.5 × 33.1 cm)</t>
  </si>
  <si>
    <t>https://www.moma.org/collection/works/51580</t>
  </si>
  <si>
    <t>https://www.moma.org/media/W1siZiIsIjE4MjE1OSJdLFsicCIsImNvbnZlcnQiLCItcmVzaXplIDEwMjR4MTAyNFx1MDAzZSJdXQ.jpg?sha=4f325774be2fa81e</t>
  </si>
  <si>
    <t>Table, Mallorca</t>
  </si>
  <si>
    <t>13 7/8 × 8 15/16" (35.2 × 22.7 cm)</t>
  </si>
  <si>
    <t>https://www.moma.org/collection/works/51581</t>
  </si>
  <si>
    <t>https://www.moma.org/media/W1siZiIsIjIyNDA1NyJdLFsicCIsImNvbnZlcnQiLCItcmVzaXplIDEwMjR4MTAyNFx1MDAzZSJdXQ.jpg?sha=0ce95498bb6b7ef1</t>
  </si>
  <si>
    <t>8 13/16 × 13" (22.5 × 33 cm)</t>
  </si>
  <si>
    <t>https://www.moma.org/collection/works/51582</t>
  </si>
  <si>
    <t>https://www.moma.org/media/W1siZiIsIjE4MjY4NyJdLFsicCIsImNvbnZlcnQiLCItcmVzaXplIDEwMjR4MTAyNFx1MDAzZSJdXQ.jpg?sha=9cdd72c0b5935b9a</t>
  </si>
  <si>
    <t>Dead Horse, Angers</t>
  </si>
  <si>
    <t>13 1/16 × 7 15/16" (33.2 × 20.2 cm)</t>
  </si>
  <si>
    <t>https://www.moma.org/collection/works/51585</t>
  </si>
  <si>
    <t>https://www.moma.org/media/W1siZiIsIjE4MjE2MyJdLFsicCIsImNvbnZlcnQiLCItcmVzaXplIDEwMjR4MTAyNFx1MDAzZSJdXQ.jpg?sha=528df21db7e68783</t>
  </si>
  <si>
    <t>Horse and Children, Paris</t>
  </si>
  <si>
    <t>7 7/8 × 13 1/8" (20 × 33.3 cm)</t>
  </si>
  <si>
    <t>https://www.moma.org/collection/works/51586</t>
  </si>
  <si>
    <t>https://www.moma.org/media/W1siZiIsIjE4MjE2NCJdLFsicCIsImNvbnZlcnQiLCItcmVzaXplIDEwMjR4MTAyNFx1MDAzZSJdXQ.jpg?sha=4cdc34c647e94d6a</t>
  </si>
  <si>
    <t>Woman, Paris</t>
  </si>
  <si>
    <t>13 13/16 × 8 7/8" (35 × 22.1 cm)</t>
  </si>
  <si>
    <t>https://www.moma.org/collection/works/51590</t>
  </si>
  <si>
    <t>https://www.moma.org/media/W1siZiIsIjE4MjE2NyJdLFsicCIsImNvbnZlcnQiLCItcmVzaXplIDEwMjR4MTAyNFx1MDAzZSJdXQ.jpg?sha=ddeb443c73d65c2e</t>
  </si>
  <si>
    <t>Ticker Tape, New York</t>
  </si>
  <si>
    <t>13 13/16 × 10 1/16" (35 × 25.5 cm)</t>
  </si>
  <si>
    <t>https://www.moma.org/collection/works/51591</t>
  </si>
  <si>
    <t>https://www.moma.org/media/W1siZiIsIjE4MjE2OCJdLFsicCIsImNvbnZlcnQiLCItcmVzaXplIDEwMjR4MTAyNFx1MDAzZSJdXQ.jpg?sha=0ebe2e9beecac89d</t>
  </si>
  <si>
    <t>Profile, Venice</t>
  </si>
  <si>
    <t>9 1/16 × 13" (23.1 × 33 cm)</t>
  </si>
  <si>
    <t>https://www.moma.org/collection/works/51593</t>
  </si>
  <si>
    <t>https://www.moma.org/media/W1siZiIsIjE4MjE3MCJdLFsicCIsImNvbnZlcnQiLCItcmVzaXplIDEwMjR4MTAyNFx1MDAzZSJdXQ.jpg?sha=ca26999f8323e04e</t>
  </si>
  <si>
    <t>Light</t>
  </si>
  <si>
    <t>Marcia Resnick</t>
  </si>
  <si>
    <t>John Szarkowski</t>
  </si>
  <si>
    <t>8 7/8 × 13 3/8" (22.5 × 34 cm)</t>
  </si>
  <si>
    <t>Food for the Spirit #1</t>
  </si>
  <si>
    <t>Adrian Piper</t>
  </si>
  <si>
    <t>14 9/16 × 14 13/16" (37 × 37.7 cm)</t>
  </si>
  <si>
    <t>https://www.moma.org/collection/works/52049</t>
  </si>
  <si>
    <t>https://www.moma.org/media/W1siZiIsIjE1NjYzMyJdLFsicCIsImNvbnZlcnQiLCItcmVzaXplIDEwMjR4MTAyNFx1MDAzZSJdXQ.jpg?sha=d47f61f13fc67329</t>
  </si>
  <si>
    <t>Food for the Spirit #10</t>
  </si>
  <si>
    <t>14 9/16 × 15" (37 × 38.1 cm)</t>
  </si>
  <si>
    <t>https://www.moma.org/collection/works/52051</t>
  </si>
  <si>
    <t>https://www.moma.org/media/W1siZiIsIjE1NjYxOCJdLFsicCIsImNvbnZlcnQiLCItcmVzaXplIDEwMjR4MTAyNFx1MDAzZSJdXQ.jpg?sha=0ffe415f833488fc</t>
  </si>
  <si>
    <t>Food for the Spirit #11</t>
  </si>
  <si>
    <t>https://www.moma.org/collection/works/52052</t>
  </si>
  <si>
    <t>https://www.moma.org/media/W1siZiIsIjE1NjYxOSJdLFsicCIsImNvbnZlcnQiLCItcmVzaXplIDEwMjR4MTAyNFx1MDAzZSJdXQ.jpg?sha=6c186e4b026d96e0</t>
  </si>
  <si>
    <t>Food for the Spirit #12</t>
  </si>
  <si>
    <t>https://www.moma.org/collection/works/52053</t>
  </si>
  <si>
    <t>https://www.moma.org/media/W1siZiIsIjE1NjYyMCJdLFsicCIsImNvbnZlcnQiLCItcmVzaXplIDEwMjR4MTAyNFx1MDAzZSJdXQ.jpg?sha=3b97bdb8cf344396</t>
  </si>
  <si>
    <t>Food for the Spirit #13</t>
  </si>
  <si>
    <t>14 9/16 × 14 15/16" (37 × 38 cm)</t>
  </si>
  <si>
    <t>https://www.moma.org/collection/works/52054</t>
  </si>
  <si>
    <t>https://www.moma.org/media/W1siZiIsIjE1NjYyMSJdLFsicCIsImNvbnZlcnQiLCItcmVzaXplIDEwMjR4MTAyNFx1MDAzZSJdXQ.jpg?sha=a63a0a808e1ce6f1</t>
  </si>
  <si>
    <t>Food for the Spirit #14</t>
  </si>
  <si>
    <t>https://www.moma.org/collection/works/52055</t>
  </si>
  <si>
    <t>https://www.moma.org/media/W1siZiIsIjE1NjYzMiJdLFsicCIsImNvbnZlcnQiLCItcmVzaXplIDEwMjR4MTAyNFx1MDAzZSJdXQ.jpg?sha=a7dc1e2bb5daea14</t>
  </si>
  <si>
    <t>Food for the Spirit #2</t>
  </si>
  <si>
    <t>https://www.moma.org/collection/works/52056</t>
  </si>
  <si>
    <t>https://www.moma.org/media/W1siZiIsIjE1NjYzNCJdLFsicCIsImNvbnZlcnQiLCItcmVzaXplIDEwMjR4MTAyNFx1MDAzZSJdXQ.jpg?sha=a94d7a4358f37c82</t>
  </si>
  <si>
    <t>Food for the Spirit #3</t>
  </si>
  <si>
    <t>https://www.moma.org/collection/works/52057</t>
  </si>
  <si>
    <t>https://www.moma.org/media/W1siZiIsIjE1NjYzNSJdLFsicCIsImNvbnZlcnQiLCItcmVzaXplIDEwMjR4MTAyNFx1MDAzZSJdXQ.jpg?sha=8afad029cdafb350</t>
  </si>
  <si>
    <t>Food for the Spirit #4</t>
  </si>
  <si>
    <t>https://www.moma.org/collection/works/52058</t>
  </si>
  <si>
    <t>https://www.moma.org/media/W1siZiIsIjE1NjYzNiJdLFsicCIsImNvbnZlcnQiLCItcmVzaXplIDEwMjR4MTAyNFx1MDAzZSJdXQ.jpg?sha=33074f675bd7280a</t>
  </si>
  <si>
    <t>Food for the Spirit #5</t>
  </si>
  <si>
    <t>14 9/16 × 14 13/16" (37 × 37.6 cm)</t>
  </si>
  <si>
    <t>https://www.moma.org/collection/works/52059</t>
  </si>
  <si>
    <t>https://www.moma.org/media/W1siZiIsIjE1NjYzNyJdLFsicCIsImNvbnZlcnQiLCItcmVzaXplIDEwMjR4MTAyNFx1MDAzZSJdXQ.jpg?sha=e842496d780055dc</t>
  </si>
  <si>
    <t>Food for the Spirit #6</t>
  </si>
  <si>
    <t>https://www.moma.org/collection/works/52060</t>
  </si>
  <si>
    <t>https://www.moma.org/media/W1siZiIsIjE1NjYzOCJdLFsicCIsImNvbnZlcnQiLCItcmVzaXplIDEwMjR4MTAyNFx1MDAzZSJdXQ.jpg?sha=325eb51c800edd4d</t>
  </si>
  <si>
    <t>Food for the Spirit #7</t>
  </si>
  <si>
    <t>https://www.moma.org/collection/works/52061</t>
  </si>
  <si>
    <t>https://www.moma.org/media/W1siZiIsIjE1NjYzOSJdLFsicCIsImNvbnZlcnQiLCItcmVzaXplIDEwMjR4MTAyNFx1MDAzZSJdXQ.jpg?sha=06ce7b6f3e405d8b</t>
  </si>
  <si>
    <t>Food for the Spirit #8</t>
  </si>
  <si>
    <t>https://www.moma.org/collection/works/52062</t>
  </si>
  <si>
    <t>https://www.moma.org/media/W1siZiIsIjE1NjY0MCJdLFsicCIsImNvbnZlcnQiLCItcmVzaXplIDEwMjR4MTAyNFx1MDAzZSJdXQ.jpg?sha=da936c0d31589b27</t>
  </si>
  <si>
    <t>Food for the Spirit #9</t>
  </si>
  <si>
    <t>https://www.moma.org/collection/works/52063</t>
  </si>
  <si>
    <t>https://www.moma.org/media/W1siZiIsIjE1NjY0MSJdLFsicCIsImNvbnZlcnQiLCItcmVzaXplIDEwMjR4MTAyNFx1MDAzZSJdXQ.jpg?sha=a1714ca346727cc2</t>
  </si>
  <si>
    <t>10 × 8" (25.4 × 20.3 cm)</t>
  </si>
  <si>
    <t>Darrel Ellis</t>
  </si>
  <si>
    <t>8 15/16 × 12 3/4" (22.8 × 32.4 cm)</t>
  </si>
  <si>
    <t>https://www.moma.org/collection/works/52577</t>
  </si>
  <si>
    <t>https://www.moma.org/media/W1siZiIsIjIzMjQ2OSJdLFsicCIsImNvbnZlcnQiLCItcmVzaXplIDEwMjR4MTAyNFx1MDAzZSJdXQ.jpg?sha=3c036d83e7d1eb80</t>
  </si>
  <si>
    <t>Washington</t>
  </si>
  <si>
    <t>Kati Horna</t>
  </si>
  <si>
    <t>Parade—Hoboken, New Jersey</t>
  </si>
  <si>
    <t>8 1/16 × 12 1/4" (20.5 × 31.1 cm)</t>
  </si>
  <si>
    <t>https://www.moma.org/collection/works/52883</t>
  </si>
  <si>
    <t>https://www.moma.org/media/W1siZiIsIjQ1NTg1OSJdLFsicCIsImNvbnZlcnQiLCItcmVzaXplIDEwMjR4MTAyNFx1MDAzZSJdXQ.jpg?sha=88fd06a7e81d64e5</t>
  </si>
  <si>
    <t>7 7/16 × 9 3/8" (18.9 × 23.8 cm)</t>
  </si>
  <si>
    <t>8 3/4 × 13 3/16" (22.3 × 33.5 cm)</t>
  </si>
  <si>
    <t>https://www.moma.org/collection/works/53380</t>
  </si>
  <si>
    <t>https://www.moma.org/media/W1siZiIsIjE4NDI2OCJdLFsicCIsImNvbnZlcnQiLCItcmVzaXplIDEwMjR4MTAyNFx1MDAzZSJdXQ.jpg?sha=e10c7ad5eae1ddaa</t>
  </si>
  <si>
    <t>8 7/8 × 13 5/8" (22.4 × 34.6 cm)</t>
  </si>
  <si>
    <t>https://www.moma.org/collection/works/53392</t>
  </si>
  <si>
    <t>https://www.moma.org/media/W1siZiIsIjE4NDI2OSJdLFsicCIsImNvbnZlcnQiLCItcmVzaXplIDEwMjR4MTAyNFx1MDAzZSJdXQ.jpg?sha=ddf7e8c969d76ddb</t>
  </si>
  <si>
    <t>9 × 13 1/2" (22.9 × 34.2 cm)</t>
  </si>
  <si>
    <t>https://www.moma.org/collection/works/53412</t>
  </si>
  <si>
    <t>https://www.moma.org/media/W1siZiIsIjUxODI0NCJdLFsicCIsImNvbnZlcnQiLCItcmVzaXplIDEwMjR4MTAyNFx1MDAzZSJdXQ.jpg?sha=dbfdd1c5cb201e33</t>
  </si>
  <si>
    <t>9 1/8 × 13 1/4" (23.2 × 33.8 cm)</t>
  </si>
  <si>
    <t>https://www.moma.org/collection/works/53414</t>
  </si>
  <si>
    <t>https://www.moma.org/media/W1siZiIsIjEyMDg5NiJdLFsicCIsImNvbnZlcnQiLCItcmVzaXplIDEwMjR4MTAyNFx1MDAzZSJdXQ.jpg?sha=d4e355b80d9ad823</t>
  </si>
  <si>
    <t>9 × 13 3/8" (22.8 × 33.8 cm)</t>
  </si>
  <si>
    <t>https://www.moma.org/collection/works/53434</t>
  </si>
  <si>
    <t>https://www.moma.org/media/W1siZiIsIjUxODI0NSJdLFsicCIsImNvbnZlcnQiLCItcmVzaXplIDEwMjR4MTAyNFx1MDAzZSJdXQ.jpg?sha=86464f3eeed410ef</t>
  </si>
  <si>
    <t>8 9/16 × 13 1/4" (21.8 × 33.7 cm)</t>
  </si>
  <si>
    <t>https://www.moma.org/collection/works/53438</t>
  </si>
  <si>
    <t>https://www.moma.org/media/W1siZiIsIjExOTY3NyJdLFsicCIsImNvbnZlcnQiLCItcmVzaXplIDEwMjR4MTAyNFx1MDAzZSJdXQ.jpg?sha=cbab8dddd53ff28e</t>
  </si>
  <si>
    <t>Hoover Dam</t>
  </si>
  <si>
    <t>12 1/8 × 7 15/16" (30.8 × 20.1 cm)</t>
  </si>
  <si>
    <t>https://www.moma.org/collection/works/53462</t>
  </si>
  <si>
    <t>https://www.moma.org/media/W1siZiIsIjQ1NTg3NCJdLFsicCIsImNvbnZlcnQiLCItcmVzaXplIDEwMjR4MTAyNFx1MDAzZSJdXQ.jpg?sha=34848f8d9446c599</t>
  </si>
  <si>
    <t>Mary</t>
  </si>
  <si>
    <t>13 × 8 5/8" (33 × 21.8 cm)</t>
  </si>
  <si>
    <t>https://www.moma.org/collection/works/53522</t>
  </si>
  <si>
    <t>https://www.moma.org/media/W1siZiIsIjQ1NTg3OCJdLFsicCIsImNvbnZlcnQiLCItcmVzaXplIDEwMjR4MTAyNFx1MDAzZSJdXQ.jpg?sha=dd4a167aa0529fe2</t>
  </si>
  <si>
    <t>https://www.moma.org/collection/works/53544</t>
  </si>
  <si>
    <t>https://www.moma.org/media/W1siZiIsIjEyMDkyNSJdLFsicCIsImNvbnZlcnQiLCItcmVzaXplIDEwMjR4MTAyNFx1MDAzZSJdXQ.jpg?sha=615ee278ff29a6fa</t>
  </si>
  <si>
    <t>10 3/8 × 11" (26.2 × 27.9 cm)</t>
  </si>
  <si>
    <t>https://www.moma.org/collection/works/53617</t>
  </si>
  <si>
    <t>https://www.moma.org/media/W1siZiIsIjIxOTYwMyJdLFsicCIsImNvbnZlcnQiLCItcmVzaXplIDEwMjR4MTAyNFx1MDAzZSJdXQ.jpg?sha=a0b320a9a2e187cd</t>
  </si>
  <si>
    <t>Alberto Burri</t>
  </si>
  <si>
    <t>Ibram Lassaw</t>
  </si>
  <si>
    <t>Grain Elevators II</t>
  </si>
  <si>
    <t>10 1/8 × 12 9/16" (25.7 × 31.9 cm)</t>
  </si>
  <si>
    <t>https://www.moma.org/collection/works/54516</t>
  </si>
  <si>
    <t>https://www.moma.org/media/W1siZiIsIjE5MDM5MCJdLFsicCIsImNvbnZlcnQiLCItcmVzaXplIDEwMjR4MTAyNFx1MDAzZSJdXQ.jpg?sha=e0566805a4ee7957</t>
  </si>
  <si>
    <t>9 1/2 × 7 3/4" (24.1 × 19.7 cm)</t>
  </si>
  <si>
    <t>Aenne Biermann</t>
  </si>
  <si>
    <t>Hand, Indonesian Dancer, Java</t>
  </si>
  <si>
    <t>https://www.moma.org/collection/works/54868</t>
  </si>
  <si>
    <t>https://www.moma.org/media/W1siZiIsIjIwOTA3MSJdLFsicCIsImNvbnZlcnQiLCItcmVzaXplIDEwMjR4MTAyNFx1MDAzZSJdXQ.jpg?sha=7577d1b7e6a42a5a</t>
  </si>
  <si>
    <t>Bauhaus Balconies</t>
  </si>
  <si>
    <t>https://www.moma.org/collection/works/55003</t>
  </si>
  <si>
    <t>https://www.moma.org/media/W1siZiIsIjE1NjM1OCJdLFsicCIsImNvbnZlcnQiLCItcmVzaXplIDEwMjR4MTAyNFx1MDAzZSJdXQ.jpg?sha=6473e6b963bf4c3e</t>
  </si>
  <si>
    <t>12 3/8 × 15 7/8" (31.5 × 40.3 cm)</t>
  </si>
  <si>
    <t>https://www.moma.org/collection/works/55069</t>
  </si>
  <si>
    <t>https://www.moma.org/media/W1siZiIsIjIwMTIwMSJdLFsicCIsImNvbnZlcnQiLCItcmVzaXplIDEwMjR4MTAyNFx1MDAzZSJdXQ.jpg?sha=97d93fc0f05d06d6</t>
  </si>
  <si>
    <t>9 7/16 × 12 9/16" (24 × 32 cm)</t>
  </si>
  <si>
    <t>https://www.moma.org/collection/works/55120</t>
  </si>
  <si>
    <t>https://www.moma.org/media/W1siZiIsIjE0MjgwOCJdLFsicCIsImNvbnZlcnQiLCItcmVzaXplIDEwMjR4MTAyNFx1MDAzZSJdXQ.jpg?sha=8c3ac70dccc8dbcf</t>
  </si>
  <si>
    <t>From the Bauhaus Roof</t>
  </si>
  <si>
    <t>https://www.moma.org/collection/works/55154</t>
  </si>
  <si>
    <t>https://www.moma.org/media/W1siZiIsIjE1NjM1OSJdLFsicCIsImNvbnZlcnQiLCItcmVzaXplIDEwMjR4MTAyNFx1MDAzZSJdXQ.jpg?sha=75c301bbb4e22fd8</t>
  </si>
  <si>
    <t>13 9/16 × 10 7/16" (34.4 × 26.5 cm)_x000D_
sheet  13 7/8 × 10 15/16" (35.3 × 27.9 cm)</t>
  </si>
  <si>
    <t>https://www.moma.org/collection/works/55216</t>
  </si>
  <si>
    <t>https://www.moma.org/media/W1siZiIsIjI0NTE0NyJdLFsicCIsImNvbnZlcnQiLCItcmVzaXplIDEwMjR4MTAyNFx1MDAzZSJdXQ.jpg?sha=532675524f50b7ee</t>
  </si>
  <si>
    <t>Inkjet print</t>
  </si>
  <si>
    <t>Untitled (Facial Cosmetic Variations)</t>
  </si>
  <si>
    <t>Ana Mendieta</t>
  </si>
  <si>
    <t>January-February, 1972</t>
  </si>
  <si>
    <t>Four chromogenic color prints, printed 1997</t>
  </si>
  <si>
    <t>Each 19 1/4 × 12 3/4" (48.9 × 32.4 cm)</t>
  </si>
  <si>
    <t>https://www.moma.org/collection/works/55679</t>
  </si>
  <si>
    <t>https://www.moma.org/media/W1siZiIsIjMwMTI4OSJdLFsicCIsImNvbnZlcnQiLCItcmVzaXplIDEwMjR4MTAyNFx1MDAzZSJdXQ.jpg?sha=ac5ba4b18afea1dc</t>
  </si>
  <si>
    <t>Ham and Eggs. Advertisement for The Delineator</t>
  </si>
  <si>
    <t>https://www.moma.org/collection/works/55779</t>
  </si>
  <si>
    <t>https://www.moma.org/media/W1siZiIsIjE4NjYyMCJdLFsicCIsImNvbnZlcnQiLCItcmVzaXplIDEwMjR4MTAyNFx1MDAzZSJdXQ.jpg?sha=c1276e61f4698d5f</t>
  </si>
  <si>
    <t>Untitled (Southern California Edison Plant at Long Beach), Towers</t>
  </si>
  <si>
    <t>Will Connell</t>
  </si>
  <si>
    <t>11 7/16 × 9 1/16" (29 × 23.1 cm)</t>
  </si>
  <si>
    <t>https://www.moma.org/collection/works/55965</t>
  </si>
  <si>
    <t>https://www.moma.org/media/W1siZiIsIjIxOTY4MyJdLFsicCIsImNvbnZlcnQiLCItcmVzaXplIDEwMjR4MTAyNFx1MDAzZSJdXQ.jpg?sha=867cb3720a2172a5</t>
  </si>
  <si>
    <t>Gano Grain Elevator, Western Kansas</t>
  </si>
  <si>
    <t>https://www.moma.org/collection/works/56043</t>
  </si>
  <si>
    <t>https://www.moma.org/media/W1siZiIsIjIwOTIzNyJdLFsicCIsImNvbnZlcnQiLCItcmVzaXplIDEwMjR4MTAyNFx1MDAzZSJdXQ.jpg?sha=d31865115261be08</t>
  </si>
  <si>
    <t>7 × 5 1/16" (17.8 × 12.8 cm)</t>
  </si>
  <si>
    <t>Telephone Wires, Mexico</t>
  </si>
  <si>
    <t>8 15/16 × 6 5/16" (22.8 × 16.1 cm)</t>
  </si>
  <si>
    <t>https://www.moma.org/collection/works/56288</t>
  </si>
  <si>
    <t>https://www.moma.org/media/W1siZiIsIjExOTA1MyJdLFsicCIsImNvbnZlcnQiLCItcmVzaXplIDEwMjR4MTAyNFx1MDAzZSJdXQ.jpg?sha=752a3cfc0f4b8d2f</t>
  </si>
  <si>
    <t>Claude Cahun (Lucy Schwob)</t>
  </si>
  <si>
    <t>6 7/8 × 5 3/4" (17.5 × 14.6 cm)</t>
  </si>
  <si>
    <t>https://www.moma.org/collection/works/56399</t>
  </si>
  <si>
    <t>https://www.moma.org/media/W1siZiIsIjExOTA1NCJdLFsicCIsImNvbnZlcnQiLCItcmVzaXplIDEwMjR4MTAyNFx1MDAzZSJdXQ.jpg?sha=c9d35d49142f95be</t>
  </si>
  <si>
    <t>Lew Thomas</t>
  </si>
  <si>
    <t>The Junior Interstate Ballroom Dance Champions, Yonkers, N.Y., 1963</t>
  </si>
  <si>
    <t>Image: 9 1/16 × 8 11/16" (23 × 22 cm)_x000D_
Sheet: 14 × 11" (35.6 × 27.9 cm)</t>
  </si>
  <si>
    <t>https://www.moma.org/collection/works/57364</t>
  </si>
  <si>
    <t>https://www.moma.org/media/W1siZiIsIjU1Mzk0MSJdLFsicCIsImNvbnZlcnQiLCItcmVzaXplIDEwMjR4MTAyNFx1MDAzZSJdXQ.jpg?sha=9d442d62045c27d3</t>
  </si>
  <si>
    <t>Nam June Paik</t>
  </si>
  <si>
    <t>The Moon</t>
  </si>
  <si>
    <t>15 1/2 × 12" (39.4 × 30.5 cm)</t>
  </si>
  <si>
    <t>Penny Picture Display, Savannah</t>
  </si>
  <si>
    <t>8 5/8 × 6 15/16" (21.9 × 17.6 cm)</t>
  </si>
  <si>
    <t>https://www.moma.org/collection/works/58181</t>
  </si>
  <si>
    <t>https://www.moma.org/media/W1siZiIsIjIxMjAzNiJdLFsicCIsImNvbnZlcnQiLCItcmVzaXplIDEwMjR4MTAyNFx1MDAzZSJdXQ.jpg?sha=622950e8839fd5f8</t>
  </si>
  <si>
    <t>Claude Monet</t>
  </si>
  <si>
    <t>L'armoire à glace, rue Quincampoix, Paris</t>
  </si>
  <si>
    <t>15 7/16 × 11 5/8" (39.2 × 29.6 cm)</t>
  </si>
  <si>
    <t>https://www.moma.org/collection/works/58857</t>
  </si>
  <si>
    <t>https://www.moma.org/media/W1siZiIsIjQyNTYwNCJdLFsicCIsImNvbnZlcnQiLCItcmVzaXplIDEwMjR4MTAyNFx1MDAzZSJdXQ.jpg?sha=febd38d6f63ca3a4</t>
  </si>
  <si>
    <t>Composit for First Feature (A)</t>
  </si>
  <si>
    <t>11 1/8 × 11 1/8" (28.2 × 28.2 cm)</t>
  </si>
  <si>
    <t>https://www.moma.org/collection/works/58958</t>
  </si>
  <si>
    <t>https://www.moma.org/media/W1siZiIsIjIwOTcxMSJdLFsicCIsImNvbnZlcnQiLCItcmVzaXplIDEwMjR4MTAyNFx1MDAzZSJdXQ.jpg?sha=9d622014d17e9c1a</t>
  </si>
  <si>
    <t>Composit for First Feature (B)</t>
  </si>
  <si>
    <t>11 1/8 × 11 9/16" (28.2 × 29.4 cm)</t>
  </si>
  <si>
    <t>https://www.moma.org/collection/works/58959</t>
  </si>
  <si>
    <t>https://www.moma.org/media/W1siZiIsIjIwOTcxMiJdLFsicCIsImNvbnZlcnQiLCItcmVzaXplIDEwMjR4MTAyNFx1MDAzZSJdXQ.jpg?sha=cf00c86e15ece3e3</t>
  </si>
  <si>
    <t>Marilyn</t>
  </si>
  <si>
    <t>https://www.moma.org/collection/works/58961</t>
  </si>
  <si>
    <t>https://www.moma.org/media/W1siZiIsIjQ1NTg1OCJdLFsicCIsImNvbnZlcnQiLCItcmVzaXplIDEwMjR4MTAyNFx1MDAzZSJdXQ.jpg?sha=51b20ea863dbfb29</t>
  </si>
  <si>
    <t>Drypoint and aquatint</t>
  </si>
  <si>
    <t>1894, printed 1921</t>
  </si>
  <si>
    <t>One from a series of eight woodcuts</t>
  </si>
  <si>
    <t>Untitled from Untitled</t>
  </si>
  <si>
    <t>Etching, with hand additions</t>
  </si>
  <si>
    <t>Leonora Carrington</t>
  </si>
  <si>
    <t>Jorge Castillo</t>
  </si>
  <si>
    <t>Kumi Sugaï</t>
  </si>
  <si>
    <t>Photogravure and aquatint</t>
  </si>
  <si>
    <t>One from a portfolio of ten screenprints</t>
  </si>
  <si>
    <t>Lorna Simpson</t>
  </si>
  <si>
    <t>Etching with chine collé</t>
  </si>
  <si>
    <t>Encounter</t>
  </si>
  <si>
    <t>One from a portfolio of eight lithographs</t>
  </si>
  <si>
    <t>Italian Landscape</t>
  </si>
  <si>
    <t>Auti te Pape (Women at the River) from Noa Noa (Fragrant Scent)</t>
  </si>
  <si>
    <t>composition: 8 1/16 x 13 15/16" (20.5 x 35.4 cm); sheet: 10 5/8 x 16 5/8" (27 x 42.2 cm)</t>
  </si>
  <si>
    <t>https://www.moma.org/collection/works/60860</t>
  </si>
  <si>
    <t>https://www.moma.org/media/W1siZiIsIjE2MzQ2NSJdLFsicCIsImNvbnZlcnQiLCItcmVzaXplIDEwMjR4MTAyNFx1MDAzZSJdXQ.jpg?sha=f6b22e129ec13d20</t>
  </si>
  <si>
    <t>Maruru (Offerings of Gratitude)</t>
  </si>
  <si>
    <t>1893-94, printed 1921</t>
  </si>
  <si>
    <t>composition: 8 1/16 x 14" (20.5 x 35.5 cm); sheet: 10 9/16 x 16 7/8" (26.8 x 42.8 cm)</t>
  </si>
  <si>
    <t>https://www.moma.org/collection/works/60996</t>
  </si>
  <si>
    <t>https://www.moma.org/media/W1siZiIsIjE2MzQ5NSJdLFsicCIsImNvbnZlcnQiLCItcmVzaXplIDEwMjR4MTAyNFx1MDAzZSJdXQ.jpg?sha=d92cb064e75251a0</t>
  </si>
  <si>
    <t>Starfighter from Graphics of Capitalist Realism (Grafik des Kapitalistischen Realismus)</t>
  </si>
  <si>
    <t>Screenprint  with glitter additions from a portfolio of six screenprints (one with four seed packets, one on plexiglass, and one with glitter additions)</t>
  </si>
  <si>
    <t>composition and sheet: 20 7/8 x 32" (53 x 81.3cm)</t>
  </si>
  <si>
    <t>https://www.moma.org/collection/works/61030</t>
  </si>
  <si>
    <t>https://www.moma.org/media/W1siZiIsIjIwODExNCJdLFsicCIsImNvbnZlcnQiLCItcmVzaXplIDEwMjR4MTAyNFx1MDAzZSJdXQ.jpg?sha=a1ade442f878ec62</t>
  </si>
  <si>
    <t>Noa Noa (Fragrant Scent) from Noa Noa (Fragrant Scent)</t>
  </si>
  <si>
    <t>1893–94</t>
  </si>
  <si>
    <t>composition: 14 x 8 1/16" (35.5 x 20.5 cm); sheet: 15 1/2 x 9 5/8" (39.3 x 24.4 cm)</t>
  </si>
  <si>
    <t>https://www.moma.org/collection/works/61037</t>
  </si>
  <si>
    <t>https://www.moma.org/media/W1siZiIsIjI3OTMwNSJdLFsicCIsImNvbnZlcnQiLCItcmVzaXplIDEwMjR4MTAyNFx1MDAzZSJdXQ.jpg?sha=da026fe254c86631</t>
  </si>
  <si>
    <t>Te Atua (The Gods) from Noa Noa (Fragrant Scent)</t>
  </si>
  <si>
    <t>composition: 8 1/16 x 14" (20.5 x 35.5 cm); sheet: 15 9/16 x 9 3/4" (39.6 x 24.7 cm)</t>
  </si>
  <si>
    <t>https://www.moma.org/collection/works/61106</t>
  </si>
  <si>
    <t>https://www.moma.org/media/W1siZiIsIjI3OTMwNiJdLFsicCIsImNvbnZlcnQiLCItcmVzaXplIDEwMjR4MTAyNFx1MDAzZSJdXQ.jpg?sha=7411fd405bc37cf9</t>
  </si>
  <si>
    <t>Night Eternal (Te Po)</t>
  </si>
  <si>
    <t>composition: 8 1/16 x 14 1/16" (20.5 x 35.7 cm); sheet: 10 5/8 x 16 7/8" (27 x 42.8 cm)</t>
  </si>
  <si>
    <t>https://www.moma.org/collection/works/61125</t>
  </si>
  <si>
    <t>https://www.moma.org/media/W1siZiIsIjE2MzUwNSJdLFsicCIsImNvbnZlcnQiLCItcmVzaXplIDEwMjR4MTAyNFx1MDAzZSJdXQ.jpg?sha=c46ebf184b5d0ddd</t>
  </si>
  <si>
    <t>L'Univers est crée(The Creation of the Universe)</t>
  </si>
  <si>
    <t>composition: 8 1/16 x 13 7/8" (20.4 x 35.3 cm); sheet: 10 1/2 x 16 13/16" (26.7 x 42.7 cm)</t>
  </si>
  <si>
    <t>https://www.moma.org/collection/works/61142</t>
  </si>
  <si>
    <t>https://www.moma.org/media/W1siZiIsIjE2MzUxNSJdLFsicCIsImNvbnZlcnQiLCItcmVzaXplIDEwMjR4MTAyNFx1MDAzZSJdXQ.jpg?sha=d1776222ec011128</t>
  </si>
  <si>
    <t>Video</t>
  </si>
  <si>
    <t>Work</t>
  </si>
  <si>
    <t>Still Life from the series Dix Pochoirs</t>
  </si>
  <si>
    <t>published 1921</t>
  </si>
  <si>
    <t>Pochoir</t>
  </si>
  <si>
    <t>plate: 5 13/16 x 7 11/16" (14.8 x 19.6cm); sheet: 11 x 14 15/16" (28 x 38cm)</t>
  </si>
  <si>
    <t>Chimei Hamada</t>
  </si>
  <si>
    <t>Salomé from the Saltimbanques series</t>
  </si>
  <si>
    <t>1905, published 1913</t>
  </si>
  <si>
    <t>plate: 15 7/8 x 13 11/16" (40.3 x 34.7 cm); sheet: 25 5/16 x 20 1/16" (64.3 x 51 cm)</t>
  </si>
  <si>
    <t>https://www.moma.org/collection/works/61651</t>
  </si>
  <si>
    <t>https://www.moma.org/media/W1siZiIsIjE1OTEwMSJdLFsicCIsImNvbnZlcnQiLCItcmVzaXplIDEwMjR4MTAyNFx1MDAzZSJdXQ.jpg?sha=de7a96cbfbae7c2a</t>
  </si>
  <si>
    <t>Pierrot and Harlequin, Seated from the series Dix Pochoirs</t>
  </si>
  <si>
    <t>composition: 8 1/4 x 10 1/2" (21 x 26.7 cm); sheet: 9 13/16 x 12 1/16" (24.9 x 30.6 cm)</t>
  </si>
  <si>
    <t>https://www.moma.org/collection/works/61700</t>
  </si>
  <si>
    <t>https://www.moma.org/media/W1siZiIsIjE3NTAxMCJdLFsicCIsImNvbnZlcnQiLCItcmVzaXplIDEwMjR4MTAyNFx1MDAzZSJdXQ.jpg?sha=3b6d5e6445b22cf3</t>
  </si>
  <si>
    <t>Head of a Woman, in Profile (Tête de femme, de profil) from the Saltimbanques series</t>
  </si>
  <si>
    <t>plate: 11 7/16 x 9 13/16" (29.1 x 25 cm); sheet: 18 3/16 x 12 5/8" (46.2 x 32.1 cm)</t>
  </si>
  <si>
    <t>https://www.moma.org/collection/works/61712</t>
  </si>
  <si>
    <t>https://www.moma.org/media/W1siZiIsIjE1MjgzOSJdLFsicCIsImNvbnZlcnQiLCItcmVzaXplIDEwMjR4MTAyNFx1MDAzZSJdXQ.jpg?sha=15f59d278e5b140e</t>
  </si>
  <si>
    <t>Video (color, sound)</t>
  </si>
  <si>
    <t>plate: 3 15/16 x 5 7/8" (10 x 15 cm); sheet: 11 x 15 1/16" (28 x 38.2 cm)</t>
  </si>
  <si>
    <t>Mary Callery</t>
  </si>
  <si>
    <t>Pierrot and Brown Harlequin, Standing from the series Dix Pochoirs</t>
  </si>
  <si>
    <t>composition: 11 1/4 x 8 7/8" (28.5 x 22.6 cm); sheet: 12 1/8 x 9 1/2" (30.8 x 24.1 cm)</t>
  </si>
  <si>
    <t>https://www.moma.org/collection/works/61753</t>
  </si>
  <si>
    <t>https://www.moma.org/media/W1siZiIsIjE3NTAxMSJdLFsicCIsImNvbnZlcnQiLCItcmVzaXplIDEwMjR4MTAyNFx1MDAzZSJdXQ.jpg?sha=5bb1c990c6e981d7</t>
  </si>
  <si>
    <t>composition: 8 3/8 x 10 5/8" (21.3 x 27 cm); sheet: 8 7/8 x 11 7/16" (22.5 x 29.1 cm)</t>
  </si>
  <si>
    <t>https://www.moma.org/collection/works/61804</t>
  </si>
  <si>
    <t>https://www.moma.org/media/W1siZiIsIjEwMDgzMyJdLFsicCIsImNvbnZlcnQiLCItcmVzaXplIDEwMjR4MTAyNFx1MDAzZSJdXQ.jpg?sha=3535cd6942565be2</t>
  </si>
  <si>
    <t>1980-91</t>
  </si>
  <si>
    <t>Day (Le Jour) from Dreams (Songes)</t>
  </si>
  <si>
    <t>One from a portfolio of six lithographs on chine appliqué</t>
  </si>
  <si>
    <t>composition: 8 1/4 x 6 1/8" (20.9 x 15.5 cm); sheet: 17 3/16 x 12 3/16" (43.6 x 30.9 cm)</t>
  </si>
  <si>
    <t>https://www.moma.org/collection/works/61845</t>
  </si>
  <si>
    <t>https://www.moma.org/media/W1siZiIsIjk2NjAwIl0sWyJwIiwiY29udmVydCIsIi1yZXNpemUgMTAyNHgxMDI0XHUwMDNlIl1d.jpg?sha=cab07fd16818ff21</t>
  </si>
  <si>
    <t>Flag</t>
  </si>
  <si>
    <t>Young Woman Contemplating a Goldfish Bowl (Jeune femme contemplant un bocal de poissons rouges)</t>
  </si>
  <si>
    <t>https://www.moma.org/collection/works/62014</t>
  </si>
  <si>
    <t>https://www.moma.org/media/W1siZiIsIjE2NDA0NCJdLFsicCIsImNvbnZlcnQiLCItcmVzaXplIDEwMjR4MTAyNFx1MDAzZSJdXQ.jpg?sha=de26deb3dbb64886</t>
  </si>
  <si>
    <t>Pierrot and Red Harlequin, Standing from the series Dix Pochoirs</t>
  </si>
  <si>
    <t>composition: 10 13/16 x 8 3/8" (27.5 x 21.3 cm); sheet: 12 x 9 3/8" (30.5 x 23.8 cm)</t>
  </si>
  <si>
    <t>https://www.moma.org/collection/works/62040</t>
  </si>
  <si>
    <t>https://www.moma.org/media/W1siZiIsIjEwMDgzMiJdLFsicCIsImNvbnZlcnQiLCItcmVzaXplIDEwMjR4MTAyNFx1MDAzZSJdXQ.jpg?sha=a3f5f26cf2b53264</t>
  </si>
  <si>
    <t>Head of a Young Girl and Two Goldfish (ête de jeune fille et deux cyprins dorés)</t>
  </si>
  <si>
    <t>plate: 3 9/16 x 4 15/16" (9.1 x 12.5 cm); sheet: 11 x 14 13/16" (28 x 37.7 cm)</t>
  </si>
  <si>
    <t>https://www.moma.org/collection/works/62093</t>
  </si>
  <si>
    <t>https://www.moma.org/media/W1siZiIsIjE2NDA0NiJdLFsicCIsImNvbnZlcnQiLCItcmVzaXplIDEwMjR4MTAyNFx1MDAzZSJdXQ.jpg?sha=574ffb74f85d76d4</t>
  </si>
  <si>
    <t>Young Woman, Goldfish and Checkered Cloth (Jeune femme, poissons rouges et nappe à carreaux)</t>
  </si>
  <si>
    <t>plate: 5 1/16 x 7 1/16" (12.8 x 17.9 cm); sheet: 11 x 14 15/16" (28 x 38 cm)</t>
  </si>
  <si>
    <t>https://www.moma.org/collection/works/62197</t>
  </si>
  <si>
    <t>https://www.moma.org/media/W1siZiIsIjE2NDA1MCJdLFsicCIsImNvbnZlcnQiLCItcmVzaXplIDEwMjR4MTAyNFx1MDAzZSJdXQ.jpg?sha=50d267f506f6fe8b</t>
  </si>
  <si>
    <t>Head Leaning and Goldfish Bowl (Tête penchée et bocal de poissons)</t>
  </si>
  <si>
    <t>https://www.moma.org/collection/works/62223</t>
  </si>
  <si>
    <t>https://www.moma.org/media/W1siZiIsIjE2NDMwNCJdLFsicCIsImNvbnZlcnQiLCItcmVzaXplIDEwMjR4MTAyNFx1MDAzZSJdXQ.jpg?sha=17f9fc197061d9a5</t>
  </si>
  <si>
    <t>c. 1893</t>
  </si>
  <si>
    <t>Young Woman with Black Eyes Staring at an Aquarium (Jeune femme aux yeux noirs fixant un aquarium)</t>
  </si>
  <si>
    <t>plate: 3 5/8 x 4 7/8" (9.2 x 12.4 cm); sheet: 11 x 15" (28 x 38.1 cm)</t>
  </si>
  <si>
    <t>https://www.moma.org/collection/works/62298</t>
  </si>
  <si>
    <t>https://www.moma.org/media/W1siZiIsIjE2NDA2MCJdLFsicCIsImNvbnZlcnQiLCItcmVzaXplIDEwMjR4MTAyNFx1MDAzZSJdXQ.jpg?sha=7c73b531f02826fc</t>
  </si>
  <si>
    <t>Richard Estes</t>
  </si>
  <si>
    <t>1985–87</t>
  </si>
  <si>
    <t>TV Antennae</t>
  </si>
  <si>
    <t>composition (irreg.): 16 3/16 x 36 15/16" (41.1 x 93.8 cm); sheet: 25 1/8 x 38 3/4" (63.8 x 98.4 cm)</t>
  </si>
  <si>
    <t>https://www.moma.org/collection/works/62419</t>
  </si>
  <si>
    <t>https://www.moma.org/media/W1siZiIsIjUxODU3NyJdLFsicCIsImNvbnZlcnQiLCItcmVzaXplIDEwMjR4MTAyNFx1MDAzZSJdXQ.jpg?sha=cfb46a8fffd606c6</t>
  </si>
  <si>
    <t>Screenprinted wallpaper</t>
  </si>
  <si>
    <t>Wallpaper</t>
  </si>
  <si>
    <t>Jane Hammond</t>
  </si>
  <si>
    <t>1920–21, published 1923</t>
  </si>
  <si>
    <t>Announcer (Ansager) from Figurines: The Three-Dimensional Design of the Electro-Mechanical Show Victory over the Sun (Figurinen, die plastische Gestaltung der elektro-mechanischen Schau Sieg über die Sonne)</t>
  </si>
  <si>
    <t>composition (irreg.): 13 3/4 x 11 7/8" (35 x 30.2 cm); sheet: 21 x 18" (53.3 x 45.7 cm)</t>
  </si>
  <si>
    <t>https://www.moma.org/collection/works/62894</t>
  </si>
  <si>
    <t>https://www.moma.org/media/W1siZiIsIjIxNzY2MyJdLFsicCIsImNvbnZlcnQiLCItcmVzaXplIDEwMjR4MTAyNFx1MDAzZSJdXQ.jpg?sha=524bb55402bebaca</t>
  </si>
  <si>
    <t>Belkis Ayón</t>
  </si>
  <si>
    <t>Les Mollusques</t>
  </si>
  <si>
    <t>plate: 6 15/16 x 5 3/8" (17.6 x 13.6 cm); sheet: 9 7/8 x 6 5/8" (25 x 16.8 cm)</t>
  </si>
  <si>
    <t>https://www.moma.org/collection/works/63050</t>
  </si>
  <si>
    <t>https://www.moma.org/media/W1siZiIsIjE1NDc1NiJdLFsicCIsImNvbnZlcnQiLCItcmVzaXplIDEwMjR4MTAyNFx1MDAzZSJdXQ.jpg?sha=59b8304769d0a64f</t>
  </si>
  <si>
    <t>plate: 6 15/16 x 5 3/8" (17.6 x 13.6 cm); sheet: 9 3/4 x 6 3/8" (24 x 16.2 cm)</t>
  </si>
  <si>
    <t>https://www.moma.org/collection/works/63051</t>
  </si>
  <si>
    <t>https://www.moma.org/media/W1siZiIsIjE1NDc1NyJdLFsicCIsImNvbnZlcnQiLCItcmVzaXplIDEwMjR4MTAyNFx1MDAzZSJdXQ.jpg?sha=e68b9f62aed61651</t>
  </si>
  <si>
    <t>plate: 6 15/16 x 5 3/8" (17.6 x 13.6 cm); sheet: 9 15/16 x 6 1/2" (25 x 16.6 cm)</t>
  </si>
  <si>
    <t>https://www.moma.org/collection/works/63052</t>
  </si>
  <si>
    <t>https://www.moma.org/media/W1siZiIsIjE1NTUyOSJdLFsicCIsImNvbnZlcnQiLCItcmVzaXplIDEwMjR4MTAyNFx1MDAzZSJdXQ.jpg?sha=2b6427f4957f23f1</t>
  </si>
  <si>
    <t>Shock Troops Advance under Gas (Sturmtruppe geht unter Gas vor) from The War (Der Krieg)</t>
  </si>
  <si>
    <t>Etching, aquatint, and drypoint from a portfolio of fifty etching, aquatint, and drypoints</t>
  </si>
  <si>
    <t>plate: 7 5/8 x 11 5/16" (19.3 x 28.8 cm); sheet: 13 11/16 x 18 5/8" (34.8 x 47.3 cm)</t>
  </si>
  <si>
    <t>https://www.moma.org/collection/works/63260</t>
  </si>
  <si>
    <t>https://www.moma.org/media/W1siZiIsIjExNjQ1NyJdLFsicCIsImNvbnZlcnQiLCItcmVzaXplIDEwMjR4MTAyNFx1MDAzZSJdXQ.jpg?sha=1f8aec9375510ac7</t>
  </si>
  <si>
    <t>Lens Being Bombed (Lens wird mit Bomben belegt) from The War (Der Krieg)</t>
  </si>
  <si>
    <t>Etching and drypoint from a portfolio of fifty etching, aquatint and drypoints</t>
  </si>
  <si>
    <t>plate: 11 3/4 x 9 5/8" (29.8 x 24.5 cm); sheet: 18 9/16 x 13 3/4" (47.2 x 35 cm)</t>
  </si>
  <si>
    <t>https://www.moma.org/collection/works/63263</t>
  </si>
  <si>
    <t>https://www.moma.org/media/W1siZiIsIjExNjQyOSJdLFsicCIsImNvbnZlcnQiLCItcmVzaXplIDEwMjR4MTAyNFx1MDAzZSJdXQ.jpg?sha=42fce93998010960</t>
  </si>
  <si>
    <t>c. 1897</t>
  </si>
  <si>
    <t>Aquatint and roulette</t>
  </si>
  <si>
    <t>Untitled from Flowers</t>
  </si>
  <si>
    <t>composition and sheet:  36 1/8 x 36 1/16" (91 x 91.6 cm)</t>
  </si>
  <si>
    <t>https://www.moma.org/collection/works/64278</t>
  </si>
  <si>
    <t>https://www.moma.org/media/W1siZiIsIjEyOTM1NCJdLFsicCIsImNvbnZlcnQiLCItcmVzaXplIDEwMjR4MTAyNFx1MDAzZSJdXQ.jpg?sha=ceec293cfdd5c955</t>
  </si>
  <si>
    <t>composition and sheet: 36 1/8 x 36 1/16" (91.8 x 91.6cm)</t>
  </si>
  <si>
    <t>https://www.moma.org/collection/works/64280</t>
  </si>
  <si>
    <t>https://www.moma.org/media/W1siZiIsIjEyOTM2MyJdLFsicCIsImNvbnZlcnQiLCItcmVzaXplIDEwMjR4MTAyNFx1MDAzZSJdXQ.jpg?sha=8dfe6fecd410a4d3</t>
  </si>
  <si>
    <t>https://www.moma.org/collection/works/64283</t>
  </si>
  <si>
    <t>https://www.moma.org/media/W1siZiIsIjEyOTM1NyJdLFsicCIsImNvbnZlcnQiLCItcmVzaXplIDEwMjR4MTAyNFx1MDAzZSJdXQ.jpg?sha=597e278a9fab446d</t>
  </si>
  <si>
    <t>https://www.moma.org/collection/works/64284</t>
  </si>
  <si>
    <t>https://www.moma.org/media/W1siZiIsIjEyOTM1OCJdLFsicCIsImNvbnZlcnQiLCItcmVzaXplIDEwMjR4MTAyNFx1MDAzZSJdXQ.jpg?sha=e3fbca4924f14b76</t>
  </si>
  <si>
    <t>https://www.moma.org/collection/works/64285</t>
  </si>
  <si>
    <t>https://www.moma.org/media/W1siZiIsIjEyOTM1OSJdLFsicCIsImNvbnZlcnQiLCItcmVzaXplIDEwMjR4MTAyNFx1MDAzZSJdXQ.jpg?sha=301000d6571380fd</t>
  </si>
  <si>
    <t>https://www.moma.org/collection/works/64286</t>
  </si>
  <si>
    <t>https://www.moma.org/media/W1siZiIsIjEyOTM2MCJdLFsicCIsImNvbnZlcnQiLCItcmVzaXplIDEwMjR4MTAyNFx1MDAzZSJdXQ.jpg?sha=1bec29e523586341</t>
  </si>
  <si>
    <t>Lithograph from a portfolio of twelve lithographs and lithographed cover</t>
  </si>
  <si>
    <t>Betye Saar</t>
  </si>
  <si>
    <t>Take One</t>
  </si>
  <si>
    <t>Emma Amos</t>
  </si>
  <si>
    <t>Stencil on torn-and-pasted paper</t>
  </si>
  <si>
    <t>composition (irreg.): 40 13/16 x 29 1/4" (103.7 x 74.3 cm); sheet (mount): 41 5/16 x 29 1/2" (105 x 74.9 cm)</t>
  </si>
  <si>
    <t>https://www.moma.org/collection/works/64959</t>
  </si>
  <si>
    <t>https://www.moma.org/media/W1siZiIsIjI5ODA4NSJdLFsicCIsImNvbnZlcnQiLCItcmVzaXplIDEwMjR4MTAyNFx1MDAzZSJdXQ.jpg?sha=21e179469554b3a7</t>
  </si>
  <si>
    <t>Vincent van Gogh</t>
  </si>
  <si>
    <t>Raymond Hains</t>
  </si>
  <si>
    <t>The Train</t>
  </si>
  <si>
    <t>plate: 17 11/16 x 22 1/8" (44.9 x 56.2 cm); sheet: 22 1/4 x 30 1/8" (56.5 x 76.5 cm)</t>
  </si>
  <si>
    <t>https://www.moma.org/collection/works/65232</t>
  </si>
  <si>
    <t>https://www.moma.org/media/W1siZiIsIjIxMDg4OCJdLFsicCIsImNvbnZlcnQiLCItcmVzaXplIDEwMjR4MTAyNFx1MDAzZSJdXQ.jpg?sha=0a9ae29f98148830</t>
  </si>
  <si>
    <t>The History of Her Life Written Across Her Face</t>
  </si>
  <si>
    <t>Margo Humphrey</t>
  </si>
  <si>
    <t>Lithograph with copper leaf and collage additions</t>
  </si>
  <si>
    <t>composition (irreg.): 29 15/16 x 29 5/8" (76 x 75.3 cm); sheet: 32 5/16 x 29 5/8" (82 x 75.3 cm)</t>
  </si>
  <si>
    <t>https://www.moma.org/collection/works/65285</t>
  </si>
  <si>
    <t>https://www.moma.org/media/W1siZiIsIjU3ODUzNyJdLFsicCIsImNvbnZlcnQiLCItcmVzaXplIDEwMjR4MTAyNFx1MDAzZSJdXQ.jpg?sha=eabca752aab4a8eb</t>
  </si>
  <si>
    <t>Shirley Goldfarb</t>
  </si>
  <si>
    <t>Untitled from the Ken Moody Portfolio</t>
  </si>
  <si>
    <t>Photogravure with watercolor additions</t>
  </si>
  <si>
    <t>plate: 22 9/16 x 18 13/16" (57.3 x 47.8 cm); sheet: 29 9/16 x 24 13/16" (75.1 x 63 cm)</t>
  </si>
  <si>
    <t>https://www.moma.org/collection/works/65451</t>
  </si>
  <si>
    <t>https://www.moma.org/media/W1siZiIsIjI1NDY1MSJdLFsicCIsImNvbnZlcnQiLCItcmVzaXplIDEwMjR4MTAyNFx1MDAzZSJdXQ.jpg?sha=564b968f6ce66200</t>
  </si>
  <si>
    <t>Photogravure with flocking and watercolor additions</t>
  </si>
  <si>
    <t>plate: 22 3/4 x 18 5/8" (57.8 x 47.3 cm); sheet: 29 11/16 x 24 9/16" (75.4 x 62.4 cm)</t>
  </si>
  <si>
    <t>https://www.moma.org/collection/works/65505</t>
  </si>
  <si>
    <t>https://www.moma.org/media/W1siZiIsIjI1NDY1MiJdLFsicCIsImNvbnZlcnQiLCItcmVzaXplIDEwMjR4MTAyNFx1MDAzZSJdXQ.jpg?sha=63a95b6cd1203c05</t>
  </si>
  <si>
    <t>Mieko Shiomi</t>
  </si>
  <si>
    <t>Target with Four Faces</t>
  </si>
  <si>
    <t>Self-Portrait in the Hotel (Selbst im Hotel) from Trip to Berlin 1922 (Berliner Reise 1922)</t>
  </si>
  <si>
    <t>One from a portfolio of eleven lithographs (including cover)</t>
  </si>
  <si>
    <t>composition (irreg.): 17 7/8 x 12 13/16" (45.4 x 32.6 cm); sheet: 26 7/8 x 21 1/8" (68.2 x 53.7 cm)</t>
  </si>
  <si>
    <t>https://www.moma.org/collection/works/66637</t>
  </si>
  <si>
    <t>https://www.moma.org/media/W1siZiIsIjEyNjU5NiJdLFsicCIsImNvbnZlcnQiLCItcmVzaXplIDEwMjR4MTAyNFx1MDAzZSJdXQ.jpg?sha=b2635113ae30440d</t>
  </si>
  <si>
    <t>https://www.moma.org/media/W1siZiIsIjM4MjkxMiJdLFsicCIsImNvbnZlcnQiLCItcmVzaXplIDEwMjR4MTAyNFx1MDAzZSJdXQ.jpg?sha=a508ef163bd9040b</t>
  </si>
  <si>
    <t>The Chimney Sweep (Der Schornsteinfeger) from Trip to Berlin 1922 (Berliner Reise 1922)</t>
  </si>
  <si>
    <t>composition (irreg.): 17 3/4 x 13 1/8" (45.1 x 33.4 cm); sheet (irreg.): 26 7/8 x 21 1/4" (68.2 x 54 cm)</t>
  </si>
  <si>
    <t>https://www.moma.org/collection/works/66639</t>
  </si>
  <si>
    <t>https://www.moma.org/media/W1siZiIsIjExNjQ2MiJdLFsicCIsImNvbnZlcnQiLCItcmVzaXplIDEwMjR4MTAyNFx1MDAzZSJdXQ.jpg?sha=c63145dfe9fc8cb1</t>
  </si>
  <si>
    <t>Self-Portrait with Suitcase (Selbstbildnis mit Koffer). Cover from Trip to Berlin 192 (Berliner Reise 1922)</t>
  </si>
  <si>
    <t>Lithographed cover, from a portfolio of eleven lithographs (including cover)</t>
  </si>
  <si>
    <t>composition (irreg.): 21 1/8 x 13 15/16" (53.6 x 35.4 cm); overall: 27 1/2 x 22 1/16 x 3 1/8" (69.9 x 56 x 8 cm)</t>
  </si>
  <si>
    <t>https://www.moma.org/collection/works/66640</t>
  </si>
  <si>
    <t>The Theater Lobby (Das Theaterfoyer) from Trip to Berlin 1922 (Berliner Reise 1922)</t>
  </si>
  <si>
    <t>composition (irreg.): 19 7/16 x 15 11/16" (49.3 x 39.8 cm); sheet (irreg.): 26 7/8 x 21 1/4" (68.3 x 54 cm)</t>
  </si>
  <si>
    <t>https://www.moma.org/collection/works/66641</t>
  </si>
  <si>
    <t>https://www.moma.org/media/W1siZiIsIjExNzI1NyJdLFsicCIsImNvbnZlcnQiLCItcmVzaXplIDEwMjR4MTAyNFx1MDAzZSJdXQ.jpg?sha=0d51f79ccb0dd944</t>
  </si>
  <si>
    <t>Tavern (Kaschemme) from Trip to Berlin 1922 (Berliner Reise 1922)</t>
  </si>
  <si>
    <t>composition (irreg.): 17 3/4 x 13 1/4" (45.1 x 33.7 cm); sheet: 26 3/4 x 21 1/16" (68 x 53.5 cm)</t>
  </si>
  <si>
    <t>https://www.moma.org/collection/works/66642</t>
  </si>
  <si>
    <t>https://www.moma.org/media/W1siZiIsIjExNzI1OCJdLFsicCIsImNvbnZlcnQiLCItcmVzaXplIDEwMjR4MTAyNFx1MDAzZSJdXQ.jpg?sha=ab4c93b3667b4c69</t>
  </si>
  <si>
    <t>Striptease (Nackttanz) fromTrip to Berlin 1922 (Berliner Reise 1922)</t>
  </si>
  <si>
    <t>composition (irreg.): 18 11/16 x 14 13/16" (47.4 x 37.6 cm); sheet (irreg.): 26 3/4 x 21 3/16" (68 x 53.8 cm)</t>
  </si>
  <si>
    <t>https://www.moma.org/collection/works/66643</t>
  </si>
  <si>
    <t>https://www.moma.org/media/W1siZiIsIjExNzI1OSJdLFsicCIsImNvbnZlcnQiLCItcmVzaXplIDEwMjR4MTAyNFx1MDAzZSJdXQ.jpg?sha=e89508c722905f03</t>
  </si>
  <si>
    <t>The Ice Skater (Der Schlittschuhläufer) fromTrip to Berlin 1922 (Berliner Reise 1922)</t>
  </si>
  <si>
    <t>composition (irreg.): 19 1/2 x 14 3/16" (49.5 x 36.1 cm); sheet (irreg.): 26 7/8 x 21 3/16" (68.3 x 53.8 cm)</t>
  </si>
  <si>
    <t>https://www.moma.org/collection/works/66644</t>
  </si>
  <si>
    <t>https://www.moma.org/media/W1siZiIsIjExNzI2MCJdLFsicCIsImNvbnZlcnQiLCItcmVzaXplIDEwMjR4MTAyNFx1MDAzZSJdXQ.jpg?sha=ef15c5374b722380</t>
  </si>
  <si>
    <t>The Disillusioned II (Die Enttäuschten II) from Trip to Berlin 1922 (Berliner Reise 1922)</t>
  </si>
  <si>
    <t>composition (irreg.): 18 3/4 x 15 3/16" (47.6 x 38.6 cm); sheet (irreg.): 26 15/16 x 21 1/8" (68.4 x 53.7 cm)</t>
  </si>
  <si>
    <t>https://www.moma.org/collection/works/66645</t>
  </si>
  <si>
    <t>https://www.moma.org/media/W1siZiIsIjExNzI2MSJdLFsicCIsImNvbnZlcnQiLCItcmVzaXplIDEwMjR4MTAyNFx1MDAzZSJdXQ.jpg?sha=4d86a98277cead6f</t>
  </si>
  <si>
    <t>The Disillusioned I (Die Enttäuschten I) from Trip to Berlin 1922 (Berliner Reise 1922)</t>
  </si>
  <si>
    <t>composition (irreg.): 19 1/4 x 14 5/8" (48.9 x 37.2 cm); sheet: 26 3/4 x 21 1/16" (68 x 53.5 cm)</t>
  </si>
  <si>
    <t>https://www.moma.org/collection/works/66646</t>
  </si>
  <si>
    <t>https://www.moma.org/media/W1siZiIsIjExNjQ2MyJdLFsicCIsImNvbnZlcnQiLCItcmVzaXplIDEwMjR4MTAyNFx1MDAzZSJdXQ.jpg?sha=1be6da934151a862</t>
  </si>
  <si>
    <t>Night (Die Nacht) from Trip to Berlin 1922 (Berliner Reise 1922)</t>
  </si>
  <si>
    <t>composition (irreg.): 17 15/16 x 14" (45.6 x 35.5 cm); sheet: 26 7/8 x 21 3/16" (68.3 x 53.8 cm)</t>
  </si>
  <si>
    <t>https://www.moma.org/collection/works/66647</t>
  </si>
  <si>
    <t>https://www.moma.org/media/W1siZiIsIjExNjQ2NCJdLFsicCIsImNvbnZlcnQiLCItcmVzaXplIDEwMjR4MTAyNFx1MDAzZSJdXQ.jpg?sha=569252219a2c40f2</t>
  </si>
  <si>
    <t>The Beggars (Die Bettler) from Trip to Berlin 1922 (Berliner Reise 1922)</t>
  </si>
  <si>
    <t>composition (irreg.): 18 3/8 x 13 1/8" (46.7 x 33.4 cm); sheet (irreg.): 26 15/16 x 21 1/16" (68.5 x 53.5 cm)</t>
  </si>
  <si>
    <t>https://www.moma.org/collection/works/66648</t>
  </si>
  <si>
    <t>https://www.moma.org/media/W1siZiIsIjExNjQ2NSJdLFsicCIsImNvbnZlcnQiLCItcmVzaXplIDEwMjR4MTAyNFx1MDAzZSJdXQ.jpg?sha=11c4cd181b74b68d</t>
  </si>
  <si>
    <t>The Little Laundry Girl (La petite blanchisseuse)</t>
  </si>
  <si>
    <t>Lithograph from a portfolio by various artists</t>
  </si>
  <si>
    <t>composition: 11 5/8 x 7 7/8" (29.5 x 20 cm); sheet: 22 1/2 x 16 5/8" (57.2 x 42.3 cm)</t>
  </si>
  <si>
    <t>https://www.moma.org/collection/works/66744</t>
  </si>
  <si>
    <t>https://www.moma.org/media/W1siZiIsIjIxMTA0MiJdLFsicCIsImNvbnZlcnQiLCItcmVzaXplIDEwMjR4MTAyNFx1MDAzZSJdXQ.jpg?sha=d1f4a6c5c3937c43</t>
  </si>
  <si>
    <t>Luchita Hurtado</t>
  </si>
  <si>
    <t xml:space="preserve">composition and sheet: 21 5/8 × 30 3/16" (54.9 × 76.7 cm)_x000D_
</t>
  </si>
  <si>
    <t>https://www.moma.org/collection/works/66753</t>
  </si>
  <si>
    <t>https://www.moma.org/media/W1siZiIsIjQ5NjU5OSJdLFsicCIsImNvbnZlcnQiLCItcmVzaXplIDEwMjR4MTAyNFx1MDAzZSJdXQ.jpg?sha=e16e1e7b17963050</t>
  </si>
  <si>
    <t xml:space="preserve">composition and sheet: 30 1/16 × 22 1/16" (76.3 × 56 cm)_x000D_
</t>
  </si>
  <si>
    <t>https://www.moma.org/collection/works/66785</t>
  </si>
  <si>
    <t>https://www.moma.org/media/W1siZiIsIjQ5NjYwMCJdLFsicCIsImNvbnZlcnQiLCItcmVzaXplIDEwMjR4MTAyNFx1MDAzZSJdXQ.jpg?sha=07014e94a94a9ec3</t>
  </si>
  <si>
    <t>Young Woman on Balcony, Looking at Parakeets (Jeune femme au balcon, observant des perruches)</t>
  </si>
  <si>
    <t>plate: 9 3/8 x 6 9/16" (23.8 x 16.7 cm); sheet: 14 9/16 x 11 1/8" (37 x 28.3 cm)</t>
  </si>
  <si>
    <t>https://www.moma.org/collection/works/67167</t>
  </si>
  <si>
    <t>https://www.moma.org/media/W1siZiIsIjE2NDE1MSJdLFsicCIsImNvbnZlcnQiLCItcmVzaXplIDEwMjR4MTAyNFx1MDAzZSJdXQ.jpg?sha=e7244d9272ba705a</t>
  </si>
  <si>
    <t>Grapes</t>
  </si>
  <si>
    <t>Cigar Box</t>
  </si>
  <si>
    <t>Multiple of wood, canvas, paper, and plexiglass, with screenprint, paint, and collage additions</t>
  </si>
  <si>
    <t>overall (open): 13 3/16 × 15 15/16 × 13 7/8" (33.5 × 40.5 × 35.3 cm)</t>
  </si>
  <si>
    <t>https://www.moma.org/collection/works/67580</t>
  </si>
  <si>
    <t>https://www.moma.org/media/W1siZiIsIjIxMTE1MSJdLFsicCIsImNvbnZlcnQiLCItcmVzaXplIDEwMjR4MTAyNFx1MDAzZSJdXQ.jpg?sha=6b9d3dd2216d7af8</t>
  </si>
  <si>
    <t>plate: 19 5/8 x 13 1/2" (49.8 x 34.3cm); sheet: 28 3/4 x 22 1/4" (73.1 x 56.5cm)</t>
  </si>
  <si>
    <t>https://www.moma.org/collection/works/68107</t>
  </si>
  <si>
    <t>https://www.moma.org/media/W1siZiIsIjI0OTQ4OCJdLFsicCIsImNvbnZlcnQiLCItcmVzaXplIDEwMjR4MTAyNFx1MDAzZSJdXQ.jpg?sha=935f3428fc330c07</t>
  </si>
  <si>
    <t>One from a portfolio of ten pochoirs</t>
  </si>
  <si>
    <t>Dragonfly from Revolving Doors</t>
  </si>
  <si>
    <t>composition (irreg.): 15 13/16 x 5 11/16" (40.1 x 14.5 cm); sheet: 22 1/16 x 14 15/16" (56 x 37.9 cm)</t>
  </si>
  <si>
    <t>https://www.moma.org/collection/works/68232</t>
  </si>
  <si>
    <t>https://www.moma.org/media/W1siZiIsIjIxODUyNiJdLFsicCIsImNvbnZlcnQiLCItcmVzaXplIDEwMjR4MTAyNFx1MDAzZSJdXQ.jpg?sha=ce96dc37c6e3874d</t>
  </si>
  <si>
    <t>Concrete Mixer from Revolving Doors</t>
  </si>
  <si>
    <t>composition (irreg.): 20 1/2 x 10 3/16" (52 x 25.8 cm); sheet: 21 5/8 x 15" (55 x 38.1 cm)</t>
  </si>
  <si>
    <t>https://www.moma.org/collection/works/68240</t>
  </si>
  <si>
    <t>https://www.moma.org/media/W1siZiIsIjIxODUzNSJdLFsicCIsImNvbnZlcnQiLCItcmVzaXplIDEwMjR4MTAyNFx1MDAzZSJdXQ.jpg?sha=ef59e854740bddde</t>
  </si>
  <si>
    <t>1975, published 1976</t>
  </si>
  <si>
    <t>One lithograph from a portfolio of six lithographs, five screenprints and one aquatint</t>
  </si>
  <si>
    <t>Come Sunday from 1776 USA 1976 Bicentennial Prints</t>
  </si>
  <si>
    <t>composition and sheet: 27 7/8 x 21 1/2" (70.8 x 54.6cm)</t>
  </si>
  <si>
    <t>https://www.moma.org/collection/works/68742</t>
  </si>
  <si>
    <t>https://www.moma.org/media/W1siZiIsIjM0Mzc5OCJdLFsicCIsImNvbnZlcnQiLCItcmVzaXplIDEwMjR4MTAyNFx1MDAzZSJdXQ.jpg?sha=f2501fb1eb09235a</t>
  </si>
  <si>
    <t>Plate 7 of 9, from the illustrated book, He Disappeared into Complete Silence</t>
  </si>
  <si>
    <t>plate: 7 × 5 7/16" (17.8 × 13.8 cm); sheet: 13 × 10" (33 × 25.4 cm)</t>
  </si>
  <si>
    <t>https://www.moma.org/collection/works/69068</t>
  </si>
  <si>
    <t>https://www.moma.org/media/W1siZiIsIjE1ODM1NyJdLFsicCIsImNvbnZlcnQiLCItcmVzaXplIDEwMjR4MTAyNFx1MDAzZSJdXQ.jpg?sha=1a0ce2c62da00bd1</t>
  </si>
  <si>
    <t>Marta Minujín</t>
  </si>
  <si>
    <t>1998-1999</t>
  </si>
  <si>
    <t>Lee Lozano</t>
  </si>
  <si>
    <t>On Kawara</t>
  </si>
  <si>
    <t>La Monte Young</t>
  </si>
  <si>
    <t>Yoko Ono</t>
  </si>
  <si>
    <t>John Giorno</t>
  </si>
  <si>
    <t>Ray Eames</t>
  </si>
  <si>
    <t>Worm</t>
  </si>
  <si>
    <t>Photogravure, etching, aquatint with cut-outs and collage</t>
  </si>
  <si>
    <t>composition (irreg.) and sheet: 61 5/8 x 42 5/8" (156.5 x 108.3 cm)</t>
  </si>
  <si>
    <t>https://www.moma.org/collection/works/69837</t>
  </si>
  <si>
    <t>https://www.moma.org/media/W1siZiIsIjUyNzcwMiJdLFsicCIsImNvbnZlcnQiLCItcmVzaXplIDEwMjR4MTAyNFx1MDAzZSJdXQ.jpg?sha=41f5af1c19f5ca5a</t>
  </si>
  <si>
    <t>Fourth Stone</t>
  </si>
  <si>
    <t>composition (irreg.): 38 3/16 x 29 3/16" (97 x 74.2 cm); sheet: 41 9/16 x 29 3/4" (105.6 x 75.6 cm)</t>
  </si>
  <si>
    <t>https://www.moma.org/collection/works/70094</t>
  </si>
  <si>
    <t>https://www.moma.org/media/W1siZiIsIjE3Njk5MSJdLFsicCIsImNvbnZlcnQiLCItcmVzaXplIDEwMjR4MTAyNFx1MDAzZSJdXQ.jpg?sha=ec4ceb94826d810a</t>
  </si>
  <si>
    <t>Rudolf Belling</t>
  </si>
  <si>
    <t>1996–97</t>
  </si>
  <si>
    <t>Renée Sintenis</t>
  </si>
  <si>
    <t>Bear</t>
  </si>
  <si>
    <t>Jaune Quick-to-see Smith</t>
  </si>
  <si>
    <t>The Two Sisters-in-Law (Les deux belles-soeurs) from Landscapes and Interiors (Paysages et intérieurs)</t>
  </si>
  <si>
    <t>composition: 14 1/2 x 11 9/16" (36.8 x 29.4 cm); sheet: 15 1/8 x 12 3/8" (38.4 x 31.5 cm)</t>
  </si>
  <si>
    <t>https://www.moma.org/collection/works/71674</t>
  </si>
  <si>
    <t>https://www.moma.org/media/W1siZiIsIjE3Nzg1MyJdLFsicCIsImNvbnZlcnQiLCItcmVzaXplIDEwMjR4MTAyNFx1MDAzZSJdXQ.jpg?sha=f90a444d859f66dc</t>
  </si>
  <si>
    <t>The Avenue (L'Avenue) from Landscapes and Interiors (Paysages et intérieurs)</t>
  </si>
  <si>
    <t>composition (irreg.): 12 1/4 x 16 5/16" (31.1 x 41.4 cm); sheet: 12 5/8 x 17 5/16" (32 x 44 cm)</t>
  </si>
  <si>
    <t>https://www.moma.org/collection/works/71676</t>
  </si>
  <si>
    <t>https://www.moma.org/media/W1siZiIsIjIwOTEzMyJdLFsicCIsImNvbnZlcnQiLCItcmVzaXplIDEwMjR4MTAyNFx1MDAzZSJdXQ.jpg?sha=118e665354cb379c</t>
  </si>
  <si>
    <t>Windows</t>
  </si>
  <si>
    <t>Judy Chicago</t>
  </si>
  <si>
    <t>Mary Heilmann</t>
  </si>
  <si>
    <t>No. 10</t>
  </si>
  <si>
    <t>Under the Horse-Chestnut Tree</t>
  </si>
  <si>
    <t>Mary Cassatt</t>
  </si>
  <si>
    <t>1896–97</t>
  </si>
  <si>
    <t>plate: 15 15/16 x 11 5/16" (40.5 x 28.7 cm); sheet: 19 11/16 x 15 3/8" (50 x 39 cm)</t>
  </si>
  <si>
    <t>https://www.moma.org/collection/works/72949</t>
  </si>
  <si>
    <t>https://www.moma.org/media/W1siZiIsIjIyNDE5MiJdLFsicCIsImNvbnZlcnQiLCItcmVzaXplIDEwMjR4MTAyNFx1MDAzZSJdXQ.jpg?sha=3e4855c3d7477881</t>
  </si>
  <si>
    <t>Glenn O. Coleman</t>
  </si>
  <si>
    <t>Coenties Slip</t>
  </si>
  <si>
    <t>Comp. 13 5/16 x 16 13/16" (33.8 x 42.8 cm)</t>
  </si>
  <si>
    <t>https://www.moma.org/collection/works/73480</t>
  </si>
  <si>
    <t>https://www.moma.org/media/W1siZiIsIjI2MjQ3MCJdLFsicCIsImNvbnZlcnQiLCItcmVzaXplIDEwMjR4MTAyNFx1MDAzZSJdXQ.jpg?sha=f915a909019ff280</t>
  </si>
  <si>
    <t>The Tree</t>
  </si>
  <si>
    <t>Clyfford Still</t>
  </si>
  <si>
    <t>American Landscape</t>
  </si>
  <si>
    <t>Konrad Klapheck</t>
  </si>
  <si>
    <t>The Bather</t>
  </si>
  <si>
    <t>Ram</t>
  </si>
  <si>
    <t>The Park</t>
  </si>
  <si>
    <t>Kabuki</t>
  </si>
  <si>
    <t>Octavio Paz</t>
  </si>
  <si>
    <t>50 x 38 1/8" (127 x 96.8 cm)</t>
  </si>
  <si>
    <t>https://www.moma.org/collection/works/78296</t>
  </si>
  <si>
    <t>https://www.moma.org/media/W1siZiIsIjQ0NjA2NyJdLFsicCIsImNvbnZlcnQiLCItcmVzaXplIDEwMjR4MTAyNFx1MDAzZSJdXQ.jpg?sha=c6bd692fa0fe0685</t>
  </si>
  <si>
    <t>Composition in White, Black, and Red</t>
  </si>
  <si>
    <t>Paris 1936</t>
  </si>
  <si>
    <t>40 1/4 x 41" (102.2 x 104.1 cm)</t>
  </si>
  <si>
    <t>https://www.moma.org/collection/works/78310</t>
  </si>
  <si>
    <t>https://www.moma.org/media/W1siZiIsIjI2NTc5NiJdLFsicCIsImNvbnZlcnQiLCItcmVzaXplIDEwMjR4MTAyNFx1MDAzZSJdXQ.jpg?sha=5be41d1b44a043ed</t>
  </si>
  <si>
    <t>Girl before a Mirror</t>
  </si>
  <si>
    <t>Paris, March 14, 1932</t>
  </si>
  <si>
    <t>64 x 51 1/4" (162.3 x 130.2 cm)</t>
  </si>
  <si>
    <t>https://www.moma.org/collection/works/78311</t>
  </si>
  <si>
    <t>https://www.moma.org/media/W1siZiIsIjIwMzk0MCJdLFsicCIsImNvbnZlcnQiLCItcmVzaXplIDEwMjR4MTAyNFx1MDAzZSJdXQ.jpg?sha=ce18fbf31c41a4f0</t>
  </si>
  <si>
    <t>Oil on wood</t>
  </si>
  <si>
    <t>31 3/8 x 20 3/8" (79.6 x 51.7 cm)</t>
  </si>
  <si>
    <t>https://www.moma.org/collection/works/78323</t>
  </si>
  <si>
    <t>https://www.moma.org/media/W1siZiIsIjE1MTI0OCJdLFsicCIsImNvbnZlcnQiLCItcmVzaXplIDEwMjR4MTAyNFx1MDAzZSJdXQ.jpg?sha=37537645a1b79b4d</t>
  </si>
  <si>
    <t>Dr. Mayer-Hermann</t>
  </si>
  <si>
    <t>Berlin 1926</t>
  </si>
  <si>
    <t>Oil and tempera on wood</t>
  </si>
  <si>
    <t>58 3/4 x 39" (149.2 x 99.1 cm)</t>
  </si>
  <si>
    <t>https://www.moma.org/collection/works/78331</t>
  </si>
  <si>
    <t>https://www.moma.org/media/W1siZiIsIjE1MTMxNSJdLFsicCIsImNvbnZlcnQiLCItcmVzaXplIDEwMjR4MTAyNFx1MDAzZSJdXQ.jpg?sha=c7b223f066353134</t>
  </si>
  <si>
    <t>Self-Portrait with Cropped Hair</t>
  </si>
  <si>
    <t>Frida Kahlo</t>
  </si>
  <si>
    <t>https://www.moma.org/collection/works/78333</t>
  </si>
  <si>
    <t>https://www.moma.org/media/W1siZiIsIjQ5NDA4NSJdLFsicCIsImNvbnZlcnQiLCItcmVzaXplIDEwMjR4MTAyNFx1MDAzZSJdXQ.jpg?sha=ad6709f30ad309d1</t>
  </si>
  <si>
    <t>Doorstop</t>
  </si>
  <si>
    <t>Oil on canvas with light bulbs</t>
  </si>
  <si>
    <t>60 1/8" x 6' 11 7/8" x 16 3/4"  (152.6 x 213 x 42.5 cm)</t>
  </si>
  <si>
    <t>https://www.moma.org/collection/works/78342</t>
  </si>
  <si>
    <t>https://www.moma.org/media/W1siZiIsIjIyNjYzMyJdLFsicCIsImNvbnZlcnQiLCItcmVzaXplIDEwMjR4MTAyNFx1MDAzZSJdXQ.jpg?sha=be00e0f4615331dd</t>
  </si>
  <si>
    <t>I See Again in Memory My Dear Udnie</t>
  </si>
  <si>
    <t>Paris, June - July 1914</t>
  </si>
  <si>
    <t>8' 2 1/2" x 6' 6 1/4" (250.2 x 198.8 cm)</t>
  </si>
  <si>
    <t>https://www.moma.org/collection/works/78348</t>
  </si>
  <si>
    <t>https://www.moma.org/media/W1siZiIsIjI0MzI0MiJdLFsicCIsImNvbnZlcnQiLCItcmVzaXplIDEwMjR4MTAyNFx1MDAzZSJdXQ.jpg?sha=3eab33830c91b482</t>
  </si>
  <si>
    <t>Oil and pencil on canvas</t>
  </si>
  <si>
    <t>6 x 6' (182.8 x 182.8 cm)</t>
  </si>
  <si>
    <t>https://www.moma.org/collection/works/78361</t>
  </si>
  <si>
    <t>https://www.moma.org/media/W1siZiIsIjI0ODYzOCJdLFsicCIsImNvbnZlcnQiLCItcmVzaXplIDEwMjR4MTAyNFx1MDAzZSJdXQ.jpg?sha=6a94d1ae44f0fbcf</t>
  </si>
  <si>
    <t>Departure</t>
  </si>
  <si>
    <t>Frankfurt 1932, Berlin 1933-35</t>
  </si>
  <si>
    <t>Oil on canvas, three panels</t>
  </si>
  <si>
    <t>Side panels 7' 3/4" x 39 1/4" (215.3 x 99.7 cm), center panel 7' 3/4" x 45 3/8" (215.3 x 115.2 cm)</t>
  </si>
  <si>
    <t>https://www.moma.org/collection/works/78367</t>
  </si>
  <si>
    <t>https://www.moma.org/media/W1siZiIsIjMxMTkxMyJdLFsicCIsImNvbnZlcnQiLCItcmVzaXplIDEwMjR4MTAyNFx1MDAzZSJdXQ.jpg?sha=d077b03f945273d9</t>
  </si>
  <si>
    <t>L'Estaque</t>
  </si>
  <si>
    <t>Ibrahim El-Salahi</t>
  </si>
  <si>
    <t>One: Number 31, 1950</t>
  </si>
  <si>
    <t>Oil and enamel paint on canvas</t>
  </si>
  <si>
    <t>8' 10" x 17' 5 5/8" (269.5 x 530.8 cm)</t>
  </si>
  <si>
    <t>https://www.moma.org/collection/works/78386</t>
  </si>
  <si>
    <t>https://www.moma.org/media/W1siZiIsIjQ3ODMxNyJdLFsicCIsImNvbnZlcnQiLCItcmVzaXplIDEwMjR4MTAyNFx1MDAzZSJdXQ.jpg?sha=8e1103091f54a82d</t>
  </si>
  <si>
    <t>Oil on canvas in artist's frame</t>
  </si>
  <si>
    <t>Encaustic on newspaper and cloth over canvas surmounted by four tinted-plaster faces in wood box with hinged front</t>
  </si>
  <si>
    <t>Overall, with box open, 33 5/8 x 26 x 3" (85.3 x 66 x 7.6 cm); canvas 26 x 26" (66 x 66 cm); box (closed) 3 3/4 x 26 x 3 1/2" (9.5 x 66 x 8.8 cm)</t>
  </si>
  <si>
    <t>https://www.moma.org/collection/works/78393</t>
  </si>
  <si>
    <t>https://www.moma.org/media/W1siZiIsIjUxODAzMiJdLFsicCIsImNvbnZlcnQiLCItcmVzaXplIDEwMjR4MTAyNFx1MDAzZSJdXQ.jpg?sha=1e6d1e8ce98e3ba3</t>
  </si>
  <si>
    <t>Oil and charcoal on canvas</t>
  </si>
  <si>
    <t>Running White</t>
  </si>
  <si>
    <t>7' 4" x 68" (223.6 x 172.2 cm)</t>
  </si>
  <si>
    <t>https://www.moma.org/collection/works/78403</t>
  </si>
  <si>
    <t>https://www.moma.org/media/W1siZiIsIjE1MTUzOCJdLFsicCIsImNvbnZlcnQiLCItcmVzaXplIDEwMjR4MTAyNFx1MDAzZSJdXQ.jpg?sha=e466a1c82d9d7bbf</t>
  </si>
  <si>
    <t>43 1/2 x 43 1/2" (110.4 x 110.4 cm)</t>
  </si>
  <si>
    <t>https://www.moma.org/collection/works/78411</t>
  </si>
  <si>
    <t>https://www.moma.org/media/W1siZiIsIjQ1ODAxOCJdLFsicCIsImNvbnZlcnQiLCItcmVzaXplIDEwMjR4MTAyNFx1MDAzZSJdXQ.jpg?sha=ec79aee7b048b801</t>
  </si>
  <si>
    <t>Exit the Ballets Russes</t>
  </si>
  <si>
    <t>53 3/4 x 39 1/2" (136.5 x 100.3 cm)</t>
  </si>
  <si>
    <t>https://www.moma.org/collection/works/78420</t>
  </si>
  <si>
    <t>https://www.moma.org/media/W1siZiIsIjQ3ODMxMyJdLFsicCIsImNvbnZlcnQiLCItcmVzaXplIDEwMjR4MTAyNFx1MDAzZSJdXQ.jpg?sha=4a023173c6bcfe59</t>
  </si>
  <si>
    <t>Night Fishing at Antibes</t>
  </si>
  <si>
    <t>Antibes, August 1939</t>
  </si>
  <si>
    <t>6' 9" x 11' 4" (205.8 x 345.4 cm)</t>
  </si>
  <si>
    <t>https://www.moma.org/collection/works/78433</t>
  </si>
  <si>
    <t>https://www.moma.org/media/W1siZiIsIjE1MTAyMyJdLFsicCIsImNvbnZlcnQiLCItcmVzaXplIDEwMjR4MTAyNFx1MDAzZSJdXQ.jpg?sha=6da3bf62103a09e7</t>
  </si>
  <si>
    <t>Gray Relief on Black</t>
  </si>
  <si>
    <t>Latex paint with marble dust on canvas</t>
  </si>
  <si>
    <t>6' 4 5/8" x 67" (194.6 x 170 cm)</t>
  </si>
  <si>
    <t>https://www.moma.org/collection/works/78435</t>
  </si>
  <si>
    <t>https://www.moma.org/media/W1siZiIsIjUxODE5NiJdLFsicCIsImNvbnZlcnQiLCItcmVzaXplIDEwMjR4MTAyNFx1MDAzZSJdXQ.jpg?sha=63786b1dcb2b4200</t>
  </si>
  <si>
    <t>Painterly Architectonic</t>
  </si>
  <si>
    <t>31 1/2 x 38 5/8" (80 x 98 cm)</t>
  </si>
  <si>
    <t>https://www.moma.org/collection/works/78444</t>
  </si>
  <si>
    <t>https://www.moma.org/media/W1siZiIsIjI0MjMyMSJdLFsicCIsImNvbnZlcnQiLCItcmVzaXplIDEwMjR4MTAyNFx1MDAzZSJdXQ.jpg?sha=ff2c40ebbee73fad</t>
  </si>
  <si>
    <t>Personage, with Yellow Ochre and White</t>
  </si>
  <si>
    <t>6' x 54" (182.8 x 137 cm)</t>
  </si>
  <si>
    <t>https://www.moma.org/collection/works/78450</t>
  </si>
  <si>
    <t>https://www.moma.org/media/W1siZiIsIjE1MTA0OCJdLFsicCIsImNvbnZlcnQiLCItcmVzaXplIDEwMjR4MTAyNFx1MDAzZSJdXQ.jpg?sha=c871b532579ad534</t>
  </si>
  <si>
    <t>Pines and Rocks (Fontainebleau?)</t>
  </si>
  <si>
    <t>32 x 25 3/4" (81.3 x 65.4 cm)</t>
  </si>
  <si>
    <t>https://www.moma.org/collection/works/78454</t>
  </si>
  <si>
    <t>https://www.moma.org/media/W1siZiIsIjQ3NjkwMiJdLFsicCIsImNvbnZlcnQiLCItcmVzaXplIDEwMjR4MTAyNFx1MDAzZSJdXQ.jpg?sha=7905968f6c7bd0f1</t>
  </si>
  <si>
    <t>Still Life with Ginger Jar, Sugar Bowl, and Oranges</t>
  </si>
  <si>
    <t>1902-06</t>
  </si>
  <si>
    <t>23 7/8 x 28 7/8" (60.6 x 73.3 cm)</t>
  </si>
  <si>
    <t>https://www.moma.org/collection/works/78469</t>
  </si>
  <si>
    <t>https://www.moma.org/media/W1siZiIsIjQ2ODMxNCJdLFsicCIsImNvbnZlcnQiLCItcmVzaXplIDEwMjR4MTAyNFx1MDAzZSJdXQ.jpg?sha=034f552a2a019789</t>
  </si>
  <si>
    <t>No. 16 (Red, Brown, and Black)</t>
  </si>
  <si>
    <t>8' 10 5/8" x 9' 9 1/4" (270.8 x 297.8 cm)</t>
  </si>
  <si>
    <t>https://www.moma.org/collection/works/78485</t>
  </si>
  <si>
    <t>https://www.moma.org/media/W1siZiIsIjE1MTExMiJdLFsicCIsImNvbnZlcnQiLCItcmVzaXplIDEwMjR4MTAyNFx1MDAzZSJdXQ.jpg?sha=2c6cc055f7bc8fa7</t>
  </si>
  <si>
    <t>1895-98</t>
  </si>
  <si>
    <t>27 x 36 1/2" (68.6 x 92.7 cm)</t>
  </si>
  <si>
    <t>https://www.moma.org/collection/works/78486</t>
  </si>
  <si>
    <t>https://www.moma.org/media/W1siZiIsIjQ1NzQ0OSJdLFsicCIsImNvbnZlcnQiLCItcmVzaXplIDEwMjR4MTAyNFx1MDAzZSJdXQ.jpg?sha=cbabe6f201d42192</t>
  </si>
  <si>
    <t>59 1/4" x 6' 4 3/4" (150.5 x 195 cm)</t>
  </si>
  <si>
    <t>https://www.moma.org/collection/works/78497</t>
  </si>
  <si>
    <t>https://www.moma.org/media/W1siZiIsIjE3NTk4MyJdLFsicCIsImNvbnZlcnQiLCItcmVzaXplIDEwMjR4MTAyNFx1MDAzZSJdXQ.jpg?sha=6c3b148543befd50</t>
  </si>
  <si>
    <t>Family Picture</t>
  </si>
  <si>
    <t>Frankfurt 1920</t>
  </si>
  <si>
    <t>25 5/8 x 39 3/4" (65.1 x 100.9 cm)</t>
  </si>
  <si>
    <t>https://www.moma.org/collection/works/78507</t>
  </si>
  <si>
    <t>https://www.moma.org/media/W1siZiIsIjE1MTE3OSJdLFsicCIsImNvbnZlcnQiLCItcmVzaXplIDEwMjR4MTAyNFx1MDAzZSJdXQ.jpg?sha=ba5c7f11be367c93</t>
  </si>
  <si>
    <t>57 1/2 x 44 5/8" (145.8 x 113.3 cm)</t>
  </si>
  <si>
    <t>https://www.moma.org/collection/works/78512</t>
  </si>
  <si>
    <t>https://www.moma.org/media/W1siZiIsIjE3MTQwMyJdLFsicCIsImNvbnZlcnQiLCItcmVzaXplIDEwMjR4MTAyNFx1MDAzZSJdXQ.jpg?sha=9a414b05197bcdb3</t>
  </si>
  <si>
    <t>The World War had caused a great shortage in Northern industry and also citizens of foreign countries were returning home</t>
  </si>
  <si>
    <t>1940-41</t>
  </si>
  <si>
    <t>Casein tempera on hardboard</t>
  </si>
  <si>
    <t>https://www.moma.org/collection/works/78526</t>
  </si>
  <si>
    <t>https://www.moma.org/media/W1siZiIsIjMwNTAxNiJdLFsicCIsImNvbnZlcnQiLCItcmVzaXplIDEwMjR4MTAyNFx1MDAzZSJdXQ.jpg?sha=dcabe3815220c864</t>
  </si>
  <si>
    <t>In many of the communities the Negro press was read continually because of its attitude and its encouragement of the movement</t>
  </si>
  <si>
    <t>https://www.moma.org/collection/works/78528</t>
  </si>
  <si>
    <t>https://www.moma.org/media/W1siZiIsIjMwNTAxNyJdLFsicCIsImNvbnZlcnQiLCItcmVzaXplIDEwMjR4MTAyNFx1MDAzZSJdXQ.jpg?sha=e0f176271f83c5e0</t>
  </si>
  <si>
    <t>Another of the social causes of the migrants' leaving was that at times they did not feel safe, or it was not the best thing to be found on the streets late at night. They were arrested on the slightest provocation</t>
  </si>
  <si>
    <t>https://www.moma.org/collection/works/78529</t>
  </si>
  <si>
    <t>https://www.moma.org/media/W1siZiIsIjMwNTAxOCJdLFsicCIsImNvbnZlcnQiLCItcmVzaXplIDEwMjR4MTAyNFx1MDAzZSJdXQ.jpg?sha=07be91762bd01f3d</t>
  </si>
  <si>
    <t>Child labor and a lack of education was one of the other reasons for people wishing to leave their homes</t>
  </si>
  <si>
    <t>https://www.moma.org/collection/works/78530</t>
  </si>
  <si>
    <t>https://www.moma.org/media/W1siZiIsIjMxMDMxOSJdLFsicCIsImNvbnZlcnQiLCItcmVzaXplIDEwMjR4MTAyNFx1MDAzZSJdXQ.jpg?sha=701f977259a9564d</t>
  </si>
  <si>
    <t>And people all over the South began to discuss this great movement</t>
  </si>
  <si>
    <t>https://www.moma.org/collection/works/78531</t>
  </si>
  <si>
    <t>https://www.moma.org/media/W1siZiIsIjMwNTAxOSJdLFsicCIsImNvbnZlcnQiLCItcmVzaXplIDEwMjR4MTAyNFx1MDAzZSJdXQ.jpg?sha=6746fc5c0c9ce2e7</t>
  </si>
  <si>
    <t>The labor agent who had been sent South by Northern industry was a very familiar person in the Negro counties</t>
  </si>
  <si>
    <t>https://www.moma.org/collection/works/78532</t>
  </si>
  <si>
    <t>https://www.moma.org/media/W1siZiIsIjMxMTg5OCJdLFsicCIsImNvbnZlcnQiLCItcmVzaXplIDEwMjR4MTAyNFx1MDAzZSJdXQ.jpg?sha=acec99e68c0581d9</t>
  </si>
  <si>
    <t>In every home people who had not gone North met and tried to decide if they should go North or not</t>
  </si>
  <si>
    <t>https://www.moma.org/collection/works/78533</t>
  </si>
  <si>
    <t>https://www.moma.org/media/W1siZiIsIjMwNTAyMCJdLFsicCIsImNvbnZlcnQiLCItcmVzaXplIDEwMjR4MTAyNFx1MDAzZSJdXQ.jpg?sha=58ce4a0a98f2da04</t>
  </si>
  <si>
    <t>The railroad stations in the South were crowded with people leaving for the North</t>
  </si>
  <si>
    <t>https://www.moma.org/collection/works/78534</t>
  </si>
  <si>
    <t>https://www.moma.org/media/W1siZiIsIjMwNTAyMSJdLFsicCIsImNvbnZlcnQiLCItcmVzaXplIDEwMjR4MTAyNFx1MDAzZSJdXQ.jpg?sha=699fb0e772e7bae8</t>
  </si>
  <si>
    <t>The Negro press was also influential in urging the people to leave the South</t>
  </si>
  <si>
    <t>https://www.moma.org/collection/works/78535</t>
  </si>
  <si>
    <t>https://www.moma.org/media/W1siZiIsIjMwNTAyMiJdLFsicCIsImNvbnZlcnQiLCItcmVzaXplIDEwMjR4MTAyNFx1MDAzZSJdXQ.jpg?sha=a77f03c957c05732</t>
  </si>
  <si>
    <t>They arrived in great numbers into Chicago, the gateway of the West</t>
  </si>
  <si>
    <t>https://www.moma.org/collection/works/78536</t>
  </si>
  <si>
    <t>https://www.moma.org/media/W1siZiIsIjMwNTAyMyJdLFsicCIsImNvbnZlcnQiLCItcmVzaXplIDEwMjR4MTAyNFx1MDAzZSJdXQ.jpg?sha=cdbcc64c559b9d25</t>
  </si>
  <si>
    <t>They also worked in large numbers on the railroad</t>
  </si>
  <si>
    <t>https://www.moma.org/collection/works/78537</t>
  </si>
  <si>
    <t>https://www.moma.org/media/W1siZiIsIjMwNTAyNCJdLFsicCIsImNvbnZlcnQiLCItcmVzaXplIDEwMjR4MTAyNFx1MDAzZSJdXQ.jpg?sha=c66c12a5eaa54bc0</t>
  </si>
  <si>
    <t>The Negro was the largest source of labor to be found after all others had been exhausted</t>
  </si>
  <si>
    <t>https://www.moma.org/collection/works/78538</t>
  </si>
  <si>
    <t>https://www.moma.org/media/W1siZiIsIjMwNTAyNSJdLFsicCIsImNvbnZlcnQiLCItcmVzaXplIDEwMjR4MTAyNFx1MDAzZSJdXQ.jpg?sha=7d7e35ecd55f2365</t>
  </si>
  <si>
    <t>The migrants arrived in great numbers</t>
  </si>
  <si>
    <t>https://www.moma.org/collection/works/78539</t>
  </si>
  <si>
    <t>https://www.moma.org/media/W1siZiIsIjMxNzIxMSJdLFsicCIsImNvbnZlcnQiLCItcmVzaXplIDEwMjR4MTAyNFx1MDAzZSJdXQ.jpg?sha=0042e3d970ec1e3a</t>
  </si>
  <si>
    <t>They also made it very difficult for migrants leaving the South. They often went to railroad stations and arrested the Negroes wholesale, which in turn made them miss their train</t>
  </si>
  <si>
    <t>https://www.moma.org/collection/works/78540</t>
  </si>
  <si>
    <t>https://www.moma.org/media/W1siZiIsIjMxNzIxNSJdLFsicCIsImNvbnZlcnQiLCItcmVzaXplIDEwMjR4MTAyNFx1MDAzZSJdXQ.jpg?sha=01dbb21026f8de56</t>
  </si>
  <si>
    <t>Living conditions were better in the North</t>
  </si>
  <si>
    <t>https://www.moma.org/collection/works/78541</t>
  </si>
  <si>
    <t>https://www.moma.org/media/W1siZiIsIjMxNzIxMiJdLFsicCIsImNvbnZlcnQiLCItcmVzaXplIDEwMjR4MTAyNFx1MDAzZSJdXQ.jpg?sha=55bf999418584327</t>
  </si>
  <si>
    <t>Industries attempted to board their labor in quarters that were oftentimes very unhealthy. Labor camps were numerous</t>
  </si>
  <si>
    <t>https://www.moma.org/collection/works/78542</t>
  </si>
  <si>
    <t>https://www.moma.org/media/W1siZiIsIjMwNTAyNiJdLFsicCIsImNvbnZlcnQiLCItcmVzaXplIDEwMjR4MTAyNFx1MDAzZSJdXQ.jpg?sha=84825516dfe068ae</t>
  </si>
  <si>
    <t>Housing for the Negroes was a very difficult problem</t>
  </si>
  <si>
    <t>https://www.moma.org/collection/works/78543</t>
  </si>
  <si>
    <t>https://www.moma.org/media/W1siZiIsIjMxMTg5OSJdLFsicCIsImNvbnZlcnQiLCItcmVzaXplIDEwMjR4MTAyNFx1MDAzZSJdXQ.jpg?sha=5a62277c0ff9bb1d</t>
  </si>
  <si>
    <t>Race riots were very numerous all over the North because of the antagonism that was caused between the Negro and white workers. Many of these riots occurred because the Negro was used as a strike breaker in many of the Northern industries</t>
  </si>
  <si>
    <t>https://www.moma.org/collection/works/78544</t>
  </si>
  <si>
    <t>https://www.moma.org/media/W1siZiIsIjMwNTAyNyJdLFsicCIsImNvbnZlcnQiLCItcmVzaXplIDEwMjR4MTAyNFx1MDAzZSJdXQ.jpg?sha=4aee13d9a388d0cf</t>
  </si>
  <si>
    <t>One of the largest race riots occurred in East St. Louis</t>
  </si>
  <si>
    <t>https://www.moma.org/collection/works/78545</t>
  </si>
  <si>
    <t>https://www.moma.org/media/W1siZiIsIjMxMTkwMCJdLFsicCIsImNvbnZlcnQiLCItcmVzaXplIDEwMjR4MTAyNFx1MDAzZSJdXQ.jpg?sha=7af3b3ff323701d2</t>
  </si>
  <si>
    <t>One of the main forms of social and recreational activities in which the migrants indulged occurred in the church</t>
  </si>
  <si>
    <t>https://www.moma.org/collection/works/78546</t>
  </si>
  <si>
    <t>https://www.moma.org/media/W1siZiIsIjMwNTAyOCJdLFsicCIsImNvbnZlcnQiLCItcmVzaXplIDEwMjR4MTAyNFx1MDAzZSJdXQ.jpg?sha=624a1079a3e94380</t>
  </si>
  <si>
    <t>Among one of the last groups to leave the South was the Negro professional who was forced to follow his clientele to make a living</t>
  </si>
  <si>
    <t>https://www.moma.org/collection/works/78547</t>
  </si>
  <si>
    <t>https://www.moma.org/media/W1siZiIsIjMxMTkwMSJdLFsicCIsImNvbnZlcnQiLCItcmVzaXplIDEwMjR4MTAyNFx1MDAzZSJdXQ.jpg?sha=6526a0d4f5e53a98</t>
  </si>
  <si>
    <t>In the North the Negro had better educational facilities</t>
  </si>
  <si>
    <t>https://www.moma.org/collection/works/78548</t>
  </si>
  <si>
    <t>https://www.moma.org/media/W1siZiIsIjMwNTAyOSJdLFsicCIsImNvbnZlcnQiLCItcmVzaXplIDEwMjR4MTAyNFx1MDAzZSJdXQ.jpg?sha=8a367d3e4d29d3a5</t>
  </si>
  <si>
    <t>The trains were packed continually with migrants</t>
  </si>
  <si>
    <t>https://www.moma.org/collection/works/78549</t>
  </si>
  <si>
    <t>https://www.moma.org/media/W1siZiIsIjMxMTkwMiJdLFsicCIsImNvbnZlcnQiLCItcmVzaXplIDEwMjR4MTAyNFx1MDAzZSJdXQ.jpg?sha=4019af136f4c0d27</t>
  </si>
  <si>
    <t>And the migrants kept coming</t>
  </si>
  <si>
    <t>https://www.moma.org/collection/works/78550</t>
  </si>
  <si>
    <t>https://www.moma.org/media/W1siZiIsIjMxNzIxMyJdLFsicCIsImNvbnZlcnQiLCItcmVzaXplIDEwMjR4MTAyNFx1MDAzZSJdXQ.jpg?sha=45758e0d94853f1e</t>
  </si>
  <si>
    <t>They did not always leave because they were promised work in the North. Many of them left because of Southern conditions, one of them being great floods that ruined the crops, and therefore they were unable to make a living where they were</t>
  </si>
  <si>
    <t>https://www.moma.org/collection/works/78551</t>
  </si>
  <si>
    <t>https://www.moma.org/media/W1siZiIsIjMwNTAzMCJdLFsicCIsImNvbnZlcnQiLCItcmVzaXplIDEwMjR4MTAyNFx1MDAzZSJdXQ.jpg?sha=c4997a4bee613015</t>
  </si>
  <si>
    <t>They were very poor</t>
  </si>
  <si>
    <t>https://www.moma.org/collection/works/78552</t>
  </si>
  <si>
    <t>https://www.moma.org/media/W1siZiIsIjMwNTAzMSJdLFsicCIsImNvbnZlcnQiLCItcmVzaXplIDEwMjR4MTAyNFx1MDAzZSJdXQ.jpg?sha=9f66d9b8473cf9ef</t>
  </si>
  <si>
    <t>The railroad stations were at times so over-packed with people leaving that special guards had to be called in to keep order</t>
  </si>
  <si>
    <t>https://www.moma.org/collection/works/78553</t>
  </si>
  <si>
    <t>https://www.moma.org/media/W1siZiIsIjMwNTAzMiJdLFsicCIsImNvbnZlcnQiLCItcmVzaXplIDEwMjR4MTAyNFx1MDAzZSJdXQ.jpg?sha=b6abd790d4a42282</t>
  </si>
  <si>
    <t>Among the social conditions that existed which was partly the cause of the migration was the injustice done to the Negroes in the courts</t>
  </si>
  <si>
    <t>https://www.moma.org/collection/works/78554</t>
  </si>
  <si>
    <t>https://www.moma.org/media/W1siZiIsIjE1MTIyNSJdLFsicCIsImNvbnZlcnQiLCItcmVzaXplIDEwMjR4MTAyNFx1MDAzZSJdXQ.jpg?sha=2b140cd6f4e49925</t>
  </si>
  <si>
    <t>Although the Negro was used to lynching, he found this an opportune time for him to leave where one had occurred</t>
  </si>
  <si>
    <t>https://www.moma.org/collection/works/78555</t>
  </si>
  <si>
    <t>https://www.moma.org/media/W1siZiIsIjMxNzIxNCJdLFsicCIsImNvbnZlcnQiLCItcmVzaXplIDEwMjR4MTAyNFx1MDAzZSJdXQ.jpg?sha=e642f3885dc21e72</t>
  </si>
  <si>
    <t>The migration gained in momentum</t>
  </si>
  <si>
    <t>https://www.moma.org/collection/works/78556</t>
  </si>
  <si>
    <t>https://www.moma.org/media/W1siZiIsIjMxNzIxNiJdLFsicCIsImNvbnZlcnQiLCItcmVzaXplIDEwMjR4MTAyNFx1MDAzZSJdXQ.jpg?sha=2cb7c3fc5c1db227</t>
  </si>
  <si>
    <t>Kenneth Fearing</t>
  </si>
  <si>
    <t>30 1/8 x 26" (76.5 x 66 cm)</t>
  </si>
  <si>
    <t>https://www.moma.org/collection/works/78559</t>
  </si>
  <si>
    <t>https://www.moma.org/media/W1siZiIsIjQ1NjM4NyJdLFsicCIsImNvbnZlcnQiLCItcmVzaXplIDEwMjR4MTAyNFx1MDAzZSJdXQ.jpg?sha=f748bc1cbfe38a7c</t>
  </si>
  <si>
    <t>Oil and wax on canvas</t>
  </si>
  <si>
    <t>26 1/8 x 40 1/8" (66.4 x 101.9 cm)</t>
  </si>
  <si>
    <t>https://www.moma.org/collection/works/78565</t>
  </si>
  <si>
    <t>https://www.moma.org/media/W1siZiIsIjIwODA0NyJdLFsicCIsImNvbnZlcnQiLCItcmVzaXplIDEwMjR4MTAyNFx1MDAzZSJdXQ.jpg?sha=5334217be909340b</t>
  </si>
  <si>
    <t>The Wine Press</t>
  </si>
  <si>
    <t>32 1/4 x 24 1/4" (81.9 x 61.6 cm)</t>
  </si>
  <si>
    <t>https://www.moma.org/collection/works/78571</t>
  </si>
  <si>
    <t>https://www.moma.org/media/W1siZiIsIjE3Njc1NSJdLFsicCIsImNvbnZlcnQiLCItcmVzaXplIDEwMjR4MTAyNFx1MDAzZSJdXQ.jpg?sha=9c68561a597252c3</t>
  </si>
  <si>
    <t>Rayonist Composition: Domination of Red</t>
  </si>
  <si>
    <t>1912-13 (dated on painting 1911)</t>
  </si>
  <si>
    <t>20 3/4 x 28 1/2" (52.7 x 72.4 cm)</t>
  </si>
  <si>
    <t>https://www.moma.org/collection/works/78586</t>
  </si>
  <si>
    <t>https://www.moma.org/media/W1siZiIsIjI0MzI0MyJdLFsicCIsImNvbnZlcnQiLCItcmVzaXplIDEwMjR4MTAyNFx1MDAzZSJdXQ.jpg?sha=4586db1a87d7f2ce</t>
  </si>
  <si>
    <t>7' 6 3/8" x 57 1/8" (229.6 x 145.1 cm)</t>
  </si>
  <si>
    <t>https://www.moma.org/collection/works/78594</t>
  </si>
  <si>
    <t>https://www.moma.org/media/W1siZiIsIjE3OTMzMiJdLFsicCIsImNvbnZlcnQiLCItcmVzaXplIDEwMjR4MTAyNFx1MDAzZSJdXQ.jpg?sha=9cc4b30989d481b2</t>
  </si>
  <si>
    <t>Still Life with Three Puppies</t>
  </si>
  <si>
    <t>36 1/8 x 24 5/8" (91.8 x 62.6 cm)</t>
  </si>
  <si>
    <t>https://www.moma.org/collection/works/78616</t>
  </si>
  <si>
    <t>https://www.moma.org/media/W1siZiIsIjE1MTM0NiJdLFsicCIsImNvbnZlcnQiLCItcmVzaXplIDEwMjR4MTAyNFx1MDAzZSJdXQ.jpg?sha=e807ccb559dd75e0</t>
  </si>
  <si>
    <t>The Poet Max Herrmann-Neisse</t>
  </si>
  <si>
    <t>23 3/8 x 29 1/8" (59.4 x 74 cm)</t>
  </si>
  <si>
    <t>https://www.moma.org/collection/works/78619</t>
  </si>
  <si>
    <t>https://www.moma.org/media/W1siZiIsIjE1NzQ3MSJdLFsicCIsImNvbnZlcnQiLCItcmVzaXplIDEwMjR4MTAyNFx1MDAzZSJdXQ.jpg?sha=f12aa0242b13d16a</t>
  </si>
  <si>
    <t>Mural Painting</t>
  </si>
  <si>
    <t>71 x 31 1/4" (180.3 x 79.2 cm)</t>
  </si>
  <si>
    <t>https://www.moma.org/collection/works/78620</t>
  </si>
  <si>
    <t>https://www.moma.org/media/W1siZiIsIjE1MTM0OCJdLFsicCIsImNvbnZlcnQiLCItcmVzaXplIDEwMjR4MTAyNFx1MDAzZSJdXQ.jpg?sha=de8457eac2f9d7f5</t>
  </si>
  <si>
    <t>Three Musicians</t>
  </si>
  <si>
    <t>Fontainebleau, summer 1921</t>
  </si>
  <si>
    <t>6' 7" x 7' 3 3/4" (200.7 x 222.9 cm)</t>
  </si>
  <si>
    <t>https://www.moma.org/collection/works/78630</t>
  </si>
  <si>
    <t>https://www.moma.org/media/W1siZiIsIjUzNzgyNCJdLFsicCIsImNvbnZlcnQiLCItcmVzaXplIDEwMjR4MTAyNFx1MDAzZSJdXQ.jpg?sha=5592e55349c6f551</t>
  </si>
  <si>
    <t>6' 6 1/8" x 6' 1 3/4" (198.4 x 187.6 cm)</t>
  </si>
  <si>
    <t>https://www.moma.org/collection/works/78639</t>
  </si>
  <si>
    <t>https://www.moma.org/media/W1siZiIsIjIxMDE1MSJdLFsicCIsImNvbnZlcnQiLCItcmVzaXplIDEwMjR4MTAyNFx1MDAzZSJdXQ.jpg?sha=b8dc8f7b07100cea</t>
  </si>
  <si>
    <t>Acrylic on canvas</t>
  </si>
  <si>
    <t>DEC. 17, 1979</t>
  </si>
  <si>
    <t>18 3/16 × 24 3/8" (46.2 × 61.7 cm), box 2 × 25 × 18 3/4" (5.1 × 63.5 × 47.6 cm)</t>
  </si>
  <si>
    <t>https://www.moma.org/collection/works/78644</t>
  </si>
  <si>
    <t>https://www.moma.org/media/W1siZiIsIjE1MTQyMSJdLFsicCIsImNvbnZlcnQiLCItcmVzaXplIDEwMjR4MTAyNFx1MDAzZSJdXQ.jpg?sha=598d101ea70c715f</t>
  </si>
  <si>
    <t>DEC. 18, 1979</t>
  </si>
  <si>
    <t>18 1/4 × 24 1/4" (46.3 × 61.6 cm), box 2 × 25 × 18 3/4" (5.1 × 63.5 × 47.6 cm)</t>
  </si>
  <si>
    <t>https://www.moma.org/collection/works/78647</t>
  </si>
  <si>
    <t>https://www.moma.org/media/W1siZiIsIjE1MTQyOCJdLFsicCIsImNvbnZlcnQiLCItcmVzaXplIDEwMjR4MTAyNFx1MDAzZSJdXQ.jpg?sha=ea70c013c9c61e5c</t>
  </si>
  <si>
    <t>Lake George, Coat and Red</t>
  </si>
  <si>
    <t>27 3/8 x 23 1/4" (69.6 x 59 cm)</t>
  </si>
  <si>
    <t>https://www.moma.org/collection/works/78656</t>
  </si>
  <si>
    <t>https://www.moma.org/media/W1siZiIsIjE1MTQ0NCJdLFsicCIsImNvbnZlcnQiLCItcmVzaXplIDEwMjR4MTAyNFx1MDAzZSJdXQ.jpg?sha=54e49af3f1beeec5</t>
  </si>
  <si>
    <t>Evening Storm, Schoodic, Maine</t>
  </si>
  <si>
    <t>https://www.moma.org/collection/works/78658</t>
  </si>
  <si>
    <t>https://www.moma.org/media/W1siZiIsIjIzNDkwMiJdLFsicCIsImNvbnZlcnQiLCItcmVzaXplIDEwMjR4MTAyNFx1MDAzZSJdXQ.jpg?sha=5fa37ca79c760a13</t>
  </si>
  <si>
    <t>Robert Colescott</t>
  </si>
  <si>
    <t>Broadway Boogie Woogie</t>
  </si>
  <si>
    <t>50 x 50" (127 x 127 cm)</t>
  </si>
  <si>
    <t>https://www.moma.org/collection/works/78682</t>
  </si>
  <si>
    <t>https://www.moma.org/media/W1siZiIsIjQ3NzIxMiJdLFsicCIsImNvbnZlcnQiLCItcmVzaXplIDEwMjR4MTAyNFx1MDAzZSJdXQ.jpg?sha=b816d329e6296b3a</t>
  </si>
  <si>
    <t>Oil and cord on canvas</t>
  </si>
  <si>
    <t>Number 1A, 1948</t>
  </si>
  <si>
    <t>68" x 8' 8" (172.7 x 264.2 cm)</t>
  </si>
  <si>
    <t>https://www.moma.org/collection/works/78699</t>
  </si>
  <si>
    <t>https://www.moma.org/media/W1siZiIsIjQ3NzIxMyJdLFsicCIsImNvbnZlcnQiLCItcmVzaXplIDEwMjR4MTAyNFx1MDAzZSJdXQ.jpg?sha=5014d1076198cf17</t>
  </si>
  <si>
    <t>The Reservoir, Horta de Ebro</t>
  </si>
  <si>
    <t>Horta de Sant Joan, summer 1909</t>
  </si>
  <si>
    <t>24 1/8 x 20 1/8" (61.5 x 51.1 cm)</t>
  </si>
  <si>
    <t>https://www.moma.org/collection/works/78718</t>
  </si>
  <si>
    <t>https://www.moma.org/media/W1siZiIsIjE1MTUwMiJdLFsicCIsImNvbnZlcnQiLCItcmVzaXplIDEwMjR4MTAyNFx1MDAzZSJdXQ.jpg?sha=a15c44c8fe832ba5</t>
  </si>
  <si>
    <t>Oil on canvas, two panels</t>
  </si>
  <si>
    <t>Interior with a Violin Case</t>
  </si>
  <si>
    <t>Nice, winter 1918-19</t>
  </si>
  <si>
    <t>28 3/4 x 23 5/8" (73 x 60 cm)</t>
  </si>
  <si>
    <t>https://www.moma.org/collection/works/78735</t>
  </si>
  <si>
    <t>https://www.moma.org/media/W1siZiIsIjUxMTg2NyJdLFsicCIsImNvbnZlcnQiLCItcmVzaXplIDEwMjR4MTAyNFx1MDAzZSJdXQ.jpg?sha=3585bb45db1df05a</t>
  </si>
  <si>
    <t>The Anxious Journey</t>
  </si>
  <si>
    <t>Paris, spring-summer 1913</t>
  </si>
  <si>
    <t>29 1/4 x 42" (74.3 x 106.7 cm)</t>
  </si>
  <si>
    <t>https://www.moma.org/collection/works/78736</t>
  </si>
  <si>
    <t>https://www.moma.org/media/W1siZiIsIjQ1NjM5MCJdLFsicCIsImNvbnZlcnQiLCItcmVzaXplIDEwMjR4MTAyNFx1MDAzZSJdXQ.jpg?sha=89eadbd49cd2e4ae</t>
  </si>
  <si>
    <t>Anna Zborowska</t>
  </si>
  <si>
    <t>51 1/4 x 32" (130.2 x 81.3 cm)</t>
  </si>
  <si>
    <t>https://www.moma.org/collection/works/78737</t>
  </si>
  <si>
    <t>https://www.moma.org/media/W1siZiIsIjE1MTUxOSJdLFsicCIsImNvbnZlcnQiLCItcmVzaXplIDEwMjR4MTAyNFx1MDAzZSJdXQ.jpg?sha=55a66f5d1d257b5e</t>
  </si>
  <si>
    <t>The Nostalgia of the Infinite</t>
  </si>
  <si>
    <t>Paris 1912-13? (dated on painting 1911)</t>
  </si>
  <si>
    <t>53 1/4 x 25 1/2" (135.2 x 64.8 cm)</t>
  </si>
  <si>
    <t>https://www.moma.org/collection/works/78738</t>
  </si>
  <si>
    <t>https://www.moma.org/media/W1siZiIsIjQ1NjM5MiJdLFsicCIsImNvbnZlcnQiLCItcmVzaXplIDEwMjR4MTAyNFx1MDAzZSJdXQ.jpg?sha=fd3d47fbdbbe4777</t>
  </si>
  <si>
    <t>Agony</t>
  </si>
  <si>
    <t>40 x 50 1/2" (101.6 x 128.3 cm)</t>
  </si>
  <si>
    <t>https://www.moma.org/collection/works/78740</t>
  </si>
  <si>
    <t>https://www.moma.org/media/W1siZiIsIjIwNTMxOCJdLFsicCIsImNvbnZlcnQiLCItcmVzaXplIDEwMjR4MTAyNFx1MDAzZSJdXQ.jpg?sha=ce4160590c47edb0</t>
  </si>
  <si>
    <t>Green Still Life</t>
  </si>
  <si>
    <t>Avignon, summer 1914</t>
  </si>
  <si>
    <t>23 1/2 x 31 1/4" (59.7 x 79.4 cm)</t>
  </si>
  <si>
    <t>https://www.moma.org/collection/works/78748</t>
  </si>
  <si>
    <t>https://www.moma.org/media/W1siZiIsIjQ2NzQ4OCJdLFsicCIsImNvbnZlcnQiLCItcmVzaXplIDEwMjR4MTAyNFx1MDAzZSJdXQ.jpg?sha=448c2195990ea93a</t>
  </si>
  <si>
    <t>The Charnel House</t>
  </si>
  <si>
    <t>Paris, 1944-45</t>
  </si>
  <si>
    <t>6' 6 5/8" x 8' 2 1/2" (199.8 x 250.1 cm)</t>
  </si>
  <si>
    <t>https://www.moma.org/collection/works/78752</t>
  </si>
  <si>
    <t>https://www.moma.org/media/W1siZiIsIjQ1NjM5MyJdLFsicCIsImNvbnZlcnQiLCItcmVzaXplIDEwMjR4MTAyNFx1MDAzZSJdXQ.jpg?sha=9c3f0616053b58b0</t>
  </si>
  <si>
    <t>The Hunter (Catalan Landscape)</t>
  </si>
  <si>
    <t>Montroig, July 1923-winter 1924</t>
  </si>
  <si>
    <t>25 1/2 x 39 1/2" (64.8 x 100.3 cm)</t>
  </si>
  <si>
    <t>https://www.moma.org/collection/works/78756</t>
  </si>
  <si>
    <t>https://www.moma.org/media/W1siZiIsIjEyNDkzMyJdLFsicCIsImNvbnZlcnQiLCItcmVzaXplIDEwMjR4MTAyNFx1MDAzZSJdXQ.jpg?sha=b19dc20185921566</t>
  </si>
  <si>
    <t>Number 40</t>
  </si>
  <si>
    <t>Forrest Bess</t>
  </si>
  <si>
    <t>Oil on canvas with wood frame</t>
  </si>
  <si>
    <t>10 1/2 x 13 1/2" (26.7 x 34.3 cm)</t>
  </si>
  <si>
    <t>https://www.moma.org/collection/works/78762</t>
  </si>
  <si>
    <t>https://www.moma.org/media/W1siZiIsIjI1NjQ2MiJdLFsicCIsImNvbnZlcnQiLCItcmVzaXplIDEwMjR4MTAyNFx1MDAzZSJdXQ.jpg?sha=2cc27aa38bd8013e</t>
  </si>
  <si>
    <t>My Grandparents, My Parents, and I</t>
  </si>
  <si>
    <t>Oil and tempera on zinc</t>
  </si>
  <si>
    <t>12 1/8 x 13 5/8" (30.7 x 34.5 cm)</t>
  </si>
  <si>
    <t>https://www.moma.org/collection/works/78784</t>
  </si>
  <si>
    <t>https://www.moma.org/media/W1siZiIsIjQ3NTU1MiJdLFsicCIsImNvbnZlcnQiLCItcmVzaXplIDEwMjR4MTAyNFx1MDAzZSJdXQ.jpg?sha=ec510f0cceacae32</t>
  </si>
  <si>
    <t>Road near L'Estaque</t>
  </si>
  <si>
    <t>L'Estaque, late summer 1908</t>
  </si>
  <si>
    <t>https://www.moma.org/collection/works/78787</t>
  </si>
  <si>
    <t>https://www.moma.org/media/W1siZiIsIjE1MDk0NSJdLFsicCIsImNvbnZlcnQiLCItcmVzaXplIDEwMjR4MTAyNFx1MDAzZSJdXQ.jpg?sha=3408b31f82138edc</t>
  </si>
  <si>
    <t>Sculpture</t>
  </si>
  <si>
    <t>1954-55  (dated on reverse 1954)</t>
  </si>
  <si>
    <t>Encaustic, oil, and collage on fabric mounted on plywood, three panels</t>
  </si>
  <si>
    <t>42 1/4 x 60 5/8" (107.3 x 153.8 cm)</t>
  </si>
  <si>
    <t>https://www.moma.org/collection/works/78805</t>
  </si>
  <si>
    <t>https://www.moma.org/media/W1siZiIsIjQ2NzUxNiJdLFsicCIsImNvbnZlcnQiLCItcmVzaXplIDEwMjR4MTAyNFx1MDAzZSJdXQ.jpg?sha=5d5d90c836f20622</t>
  </si>
  <si>
    <t>The Silent Valley of Sunrise</t>
  </si>
  <si>
    <t>Oil and casein on canvas</t>
  </si>
  <si>
    <t>58 1/8 x 42" (147.5 x 106.5 cm)</t>
  </si>
  <si>
    <t>https://www.moma.org/collection/works/78841</t>
  </si>
  <si>
    <t>https://www.moma.org/media/W1siZiIsIjUxODE5MiJdLFsicCIsImNvbnZlcnQiLCItcmVzaXplIDEwMjR4MTAyNFx1MDAzZSJdXQ.jpg?sha=1ab082f404504a2a</t>
  </si>
  <si>
    <t>Non-Objective Painting no. 80 (Black on Black)</t>
  </si>
  <si>
    <t>Oil and bitumen on canvas</t>
  </si>
  <si>
    <t>32 1/4 x 31 1/4" (81.9 x 79.4 cm)</t>
  </si>
  <si>
    <t>https://www.moma.org/collection/works/78848</t>
  </si>
  <si>
    <t>https://www.moma.org/media/W1siZiIsIjI5MjM2MSJdLFsicCIsImNvbnZlcnQiLCItcmVzaXplIDEwMjR4MTAyNFx1MDAzZSJdXQ.jpg?sha=321ae02649a3d6b5</t>
  </si>
  <si>
    <t>Ahmed Yacoubi</t>
  </si>
  <si>
    <t>Icebox Number 9</t>
  </si>
  <si>
    <t>62 7/8" x 6' 3" (158.7 x 190.5 cm)</t>
  </si>
  <si>
    <t>https://www.moma.org/collection/works/78886</t>
  </si>
  <si>
    <t>https://www.moma.org/media/W1siZiIsIjUyODUxNSJdLFsicCIsImNvbnZlcnQiLCItcmVzaXplIDEwMjR4MTAyNFx1MDAzZSJdXQ.jpg?sha=3a6b5abd1092ccfb</t>
  </si>
  <si>
    <t>The Piano Lesson</t>
  </si>
  <si>
    <t>Issy-les-Moulineaux, late summer 1916</t>
  </si>
  <si>
    <t>8' 1/2" x 6' 11 3/4" (245.1 x 212.7 cm)</t>
  </si>
  <si>
    <t>https://www.moma.org/collection/works/78908</t>
  </si>
  <si>
    <t>https://www.moma.org/media/W1siZiIsIjMzMDYxMCJdLFsicCIsImNvbnZlcnQiLCItcmVzaXplIDEwMjR4MTAyNFx1MDAzZSJdXQ.jpg?sha=5251896e73df6bfd</t>
  </si>
  <si>
    <t>Port-en-Bessin, Entrance to the Harbor</t>
  </si>
  <si>
    <t>21 5/8 x 25 5/8" (54.9 x 65.1 cm)</t>
  </si>
  <si>
    <t>https://www.moma.org/collection/works/78912</t>
  </si>
  <si>
    <t>https://www.moma.org/media/W1siZiIsIjE1MTAwOCJdLFsicCIsImNvbnZlcnQiLCItcmVzaXplIDEwMjR4MTAyNFx1MDAzZSJdXQ.jpg?sha=12c0db3a8671e8bb</t>
  </si>
  <si>
    <t>Frank Bowling</t>
  </si>
  <si>
    <t>The Glory of the Kings</t>
  </si>
  <si>
    <t>Erol (Erol Akyavas)</t>
  </si>
  <si>
    <t>1959?</t>
  </si>
  <si>
    <t>48" x 7' 1/4" (121.8 x 214 cm)</t>
  </si>
  <si>
    <t>https://www.moma.org/collection/works/78928</t>
  </si>
  <si>
    <t>https://www.moma.org/media/W1siZiIsIjIwODI4MCJdLFsicCIsImNvbnZlcnQiLCItcmVzaXplIDEwMjR4MTAyNFx1MDAzZSJdXQ.jpg?sha=4eb1d39548520090</t>
  </si>
  <si>
    <t>Still Life with Flowers</t>
  </si>
  <si>
    <t>44 1/8 x 27 5/8" (112.1 x 70.2 cm)</t>
  </si>
  <si>
    <t>https://www.moma.org/collection/works/78930</t>
  </si>
  <si>
    <t>https://www.moma.org/media/W1siZiIsIjE2MDUyNyJdLFsicCIsImNvbnZlcnQiLCItcmVzaXplIDEwMjR4MTAyNFx1MDAzZSJdXQ.jpg?sha=0b5ef88136e7b7e7</t>
  </si>
  <si>
    <t>https://www.moma.org/collection/works/78933</t>
  </si>
  <si>
    <t>https://www.moma.org/media/W1siZiIsIjIxMDM3MiJdLFsicCIsImNvbnZlcnQiLCItcmVzaXplIDEwMjR4MTAyNFx1MDAzZSJdXQ.jpg?sha=df33c90d598ba3ba</t>
  </si>
  <si>
    <t>Composition 9</t>
  </si>
  <si>
    <t>Manolo Millares</t>
  </si>
  <si>
    <t>Whiting and lampblack on burlap and string</t>
  </si>
  <si>
    <t>27 5/8 x 53 1/4" (70.2 x 135.3 cm)</t>
  </si>
  <si>
    <t>https://www.moma.org/collection/works/78946</t>
  </si>
  <si>
    <t>https://www.moma.org/media/W1siZiIsIjE3MTkzMCJdLFsicCIsImNvbnZlcnQiLCItcmVzaXplIDEwMjR4MTAyNFx1MDAzZSJdXQ.jpg?sha=8eede540c4606e6e</t>
  </si>
  <si>
    <t>Abraham Lincoln, the Great Emancipator, Pardons the Sentry</t>
  </si>
  <si>
    <t>Horace Pippin</t>
  </si>
  <si>
    <t>24 x 30" (60.9 x 76.2 cm)</t>
  </si>
  <si>
    <t>https://www.moma.org/collection/works/78973</t>
  </si>
  <si>
    <t>https://www.moma.org/media/W1siZiIsIjQzMDU3MCJdLFsicCIsImNvbnZlcnQiLCItcmVzaXplIDEwMjR4MTAyNFx1MDAzZSJdXQ.jpg?sha=f89fd57184f7bdea</t>
  </si>
  <si>
    <t>I and the Village</t>
  </si>
  <si>
    <t>6' 3 5/8" x 59 5/8" (192.1 x 151.4 cm)</t>
  </si>
  <si>
    <t>https://www.moma.org/collection/works/78984</t>
  </si>
  <si>
    <t>https://www.moma.org/media/W1siZiIsIjQ2NzUzMSJdLFsicCIsImNvbnZlcnQiLCItcmVzaXplIDEwMjR4MTAyNFx1MDAzZSJdXQ.jpg?sha=478ca572ac97e265</t>
  </si>
  <si>
    <t>Still Life with Liqueur Bottle</t>
  </si>
  <si>
    <t>Horta de San Joan, August 1909</t>
  </si>
  <si>
    <t>32 1/8 x 25 3/4" (81.6 x 65.4 cm)</t>
  </si>
  <si>
    <t>https://www.moma.org/collection/works/78986</t>
  </si>
  <si>
    <t>https://www.moma.org/media/W1siZiIsIjE1MTAzNyJdLFsicCIsImNvbnZlcnQiLCItcmVzaXplIDEwMjR4MTAyNFx1MDAzZSJdXQ.jpg?sha=afc6d39908619b0c</t>
  </si>
  <si>
    <t>To Be Looked at (from the Other Side of the Glass) with One Eye, Close to, for Almost an Hour</t>
  </si>
  <si>
    <t>Buenos Aires 1918</t>
  </si>
  <si>
    <t>Oil, silver leaf, lead wire, and magnifying lens on glass (cracked), mounted between panes of glass in a standing metal frame, 20 1/8 x 16 1/4 x 1 1/2" (51 x 41.2 x 3.7 cm), on painted wood base, 1 7/8 x 17 7/8 x 4 1/2" (4.8 x 45.3 x 11.4 cm)</t>
  </si>
  <si>
    <t>Overall 22" (55.8 cm) high</t>
  </si>
  <si>
    <t>https://www.moma.org/collection/works/78993</t>
  </si>
  <si>
    <t>https://www.moma.org/media/W1siZiIsIjI0MzI3MyJdLFsicCIsImNvbnZlcnQiLCItcmVzaXplIDEwMjR4MTAyNFx1MDAzZSJdXQ.jpg?sha=c118b65ec9023730</t>
  </si>
  <si>
    <t>Composition with Red, Blue, Black, Yellow, and Gray</t>
  </si>
  <si>
    <t>29 7/8 x 20 5/8" (76 x 52.4 cm)</t>
  </si>
  <si>
    <t>https://www.moma.org/collection/works/79002</t>
  </si>
  <si>
    <t>https://www.moma.org/media/W1siZiIsIjI2NTczOCJdLFsicCIsImNvbnZlcnQiLCItcmVzaXplIDEwMjR4MTAyNFx1MDAzZSJdXQ.jpg?sha=4208b485218b43bc</t>
  </si>
  <si>
    <t>The Persistence of Memory</t>
  </si>
  <si>
    <t>9 1/2 x 13" (24.1 x 33 cm)</t>
  </si>
  <si>
    <t>https://www.moma.org/collection/works/79018</t>
  </si>
  <si>
    <t>https://www.moma.org/media/W1siZiIsIjM4NjQ3MCJdLFsicCIsImNvbnZlcnQiLCItcmVzaXplIDEwMjR4MTAyNFx1MDAzZSJdXQ.jpg?sha=fedd8615f8cd03f3</t>
  </si>
  <si>
    <t>The Vases</t>
  </si>
  <si>
    <t>51 3/8 x 38 3/8" (130.5 x 97.5 cm)</t>
  </si>
  <si>
    <t>https://www.moma.org/collection/works/79028</t>
  </si>
  <si>
    <t>https://www.moma.org/media/W1siZiIsIjE1MTA1NCJdLFsicCIsImNvbnZlcnQiLCItcmVzaXplIDEwMjR4MTAyNFx1MDAzZSJdXQ.jpg?sha=2f04c7ca757b360f</t>
  </si>
  <si>
    <t>24 x 31" (61 x 78.8 cm)</t>
  </si>
  <si>
    <t>https://www.moma.org/collection/works/79032</t>
  </si>
  <si>
    <t>https://www.moma.org/media/W1siZiIsIjE1NzA4NiJdLFsicCIsImNvbnZlcnQiLCItcmVzaXplIDEwMjR4MTAyNFx1MDAzZSJdXQ.jpg?sha=9293f0b2fed56213</t>
  </si>
  <si>
    <t>Propellers</t>
  </si>
  <si>
    <t>31 7/8 x 25 3/4" (80.9 x 65.4 cm)</t>
  </si>
  <si>
    <t>https://www.moma.org/collection/works/79039</t>
  </si>
  <si>
    <t>https://www.moma.org/media/W1siZiIsIjQwMjg3MSJdLFsicCIsImNvbnZlcnQiLCItcmVzaXplIDEwMjR4MTAyNFx1MDAzZSJdXQ.jpg?sha=2f644f012f989b09</t>
  </si>
  <si>
    <t>Man with a Guitar</t>
  </si>
  <si>
    <t>Céret, summer 1911-early 1912</t>
  </si>
  <si>
    <t>45 3/4 x 31 7/8" (116.2 x 80.9 cm)</t>
  </si>
  <si>
    <t>https://www.moma.org/collection/works/79048</t>
  </si>
  <si>
    <t>https://www.moma.org/media/W1siZiIsIjQzODQ0NiJdLFsicCIsImNvbnZlcnQiLCItcmVzaXplIDEwMjR4MTAyNFx1MDAzZSJdXQ.jpg?sha=b5b124486e4eef8c</t>
  </si>
  <si>
    <t>Tableau I: Lozenge with Four Lines and Gray</t>
  </si>
  <si>
    <t>46 1/8 × 45 1/2" (117.2 × 115.6 cm)</t>
  </si>
  <si>
    <t>https://www.moma.org/collection/works/79059</t>
  </si>
  <si>
    <t>https://www.moma.org/media/W1siZiIsIjI2NTczOSJdLFsicCIsImNvbnZlcnQiLCItcmVzaXplIDEwMjR4MTAyNFx1MDAzZSJdXQ.jpg?sha=ed964188249680e4</t>
  </si>
  <si>
    <t>Three Women</t>
  </si>
  <si>
    <t>6' 1/4" x 8' 3" (183.5 x 251.5 cm)</t>
  </si>
  <si>
    <t>https://www.moma.org/collection/works/79078</t>
  </si>
  <si>
    <t>https://www.moma.org/media/W1siZiIsIjM5NTgyOSJdLFsicCIsImNvbnZlcnQiLCItcmVzaXplIDEwMjR4MTAyNFx1MDAzZSJdXQ.jpg?sha=a0a4d362a4b3c35c</t>
  </si>
  <si>
    <t>Oil and enamel on canvas</t>
  </si>
  <si>
    <t>Avrutun</t>
  </si>
  <si>
    <t>Oil and wax on canvas, two panels</t>
  </si>
  <si>
    <t>6' x 36" (182.9 x  91.4 cm)</t>
  </si>
  <si>
    <t>https://www.moma.org/collection/works/79083</t>
  </si>
  <si>
    <t>https://www.moma.org/media/W1siZiIsIjUyNzQ2NyJdLFsicCIsImNvbnZlcnQiLCItcmVzaXplIDEwMjR4MTAyNFx1MDAzZSJdXQ.jpg?sha=ccc0c80df41afbf0</t>
  </si>
  <si>
    <t>Boy in a Red Vest</t>
  </si>
  <si>
    <t>1888-90</t>
  </si>
  <si>
    <t>32 x 25 5/8" (81.2 x 65 cm)</t>
  </si>
  <si>
    <t>https://www.moma.org/collection/works/79086</t>
  </si>
  <si>
    <t>https://www.moma.org/media/W1siZiIsIjQ1NTQ2NiJdLFsicCIsImNvbnZlcnQiLCItcmVzaXplIDEwMjR4MTAyNFx1MDAzZSJdXQ.jpg?sha=d38e643d1901a16d</t>
  </si>
  <si>
    <t>Oil on linen</t>
  </si>
  <si>
    <t>Portrait of Joseph Roulin</t>
  </si>
  <si>
    <t>Arles, early 1889</t>
  </si>
  <si>
    <t>25 3/8 x 21 3/4" (64.4 x 55.2 cm)</t>
  </si>
  <si>
    <t>https://www.moma.org/collection/works/79105</t>
  </si>
  <si>
    <t>https://www.moma.org/media/W1siZiIsIjQ2ODMxNiJdLFsicCIsImNvbnZlcnQiLCItcmVzaXplIDEwMjR4MTAyNFx1MDAzZSJdXQ.jpg?sha=85503b995e8567af</t>
  </si>
  <si>
    <t>Dance (I)</t>
  </si>
  <si>
    <t>Paris, Boulevard des Invalides, early 1909</t>
  </si>
  <si>
    <t>8' 6 1/2" x 12' 9 1/2" (259.7 x 390.1 cm)</t>
  </si>
  <si>
    <t>https://www.moma.org/collection/works/79124</t>
  </si>
  <si>
    <t>https://www.moma.org/media/W1siZiIsIjQ3NzE5MyJdLFsicCIsImNvbnZlcnQiLCItcmVzaXplIDEwMjR4MTAyNFx1MDAzZSJdXQ.jpg?sha=27a4ad073182cf2f</t>
  </si>
  <si>
    <t>First Light</t>
  </si>
  <si>
    <t>https://www.moma.org/collection/works/79130</t>
  </si>
  <si>
    <t>https://www.moma.org/media/W1siZiIsIjI0NjMyMiJdLFsicCIsImNvbnZlcnQiLCItcmVzaXplIDEwMjR4MTAyNFx1MDAzZSJdXQ.jpg?sha=98aa3b5bf395cea7</t>
  </si>
  <si>
    <t>Collective Suicide</t>
  </si>
  <si>
    <t>Lacquer on wood with applied sections</t>
  </si>
  <si>
    <t>49" x 6' (124.5 x 182.9 cm)</t>
  </si>
  <si>
    <t>https://www.moma.org/collection/works/79146</t>
  </si>
  <si>
    <t>https://www.moma.org/media/W1siZiIsIjE1MTEwMiJdLFsicCIsImNvbnZlcnQiLCItcmVzaXplIDEwMjR4MTAyNFx1MDAzZSJdXQ.jpg?sha=c41db50f657ec2fb</t>
  </si>
  <si>
    <t>Landscape, Milpa Alta</t>
  </si>
  <si>
    <t>https://www.moma.org/collection/works/79174</t>
  </si>
  <si>
    <t>https://www.moma.org/media/W1siZiIsIjE1NzQ2MiJdLFsicCIsImNvbnZlcnQiLCItcmVzaXplIDEwMjR4MTAyNFx1MDAzZSJdXQ.jpg?sha=07d615e67c0c80a4</t>
  </si>
  <si>
    <t>The Conquest of the Air</t>
  </si>
  <si>
    <t>7' 8 7/8" x 6' 5" (235.9 x 195.6 cm)</t>
  </si>
  <si>
    <t>https://www.moma.org/collection/works/79181</t>
  </si>
  <si>
    <t>https://www.moma.org/media/W1siZiIsIjE1MTExNiJdLFsicCIsImNvbnZlcnQiLCItcmVzaXplIDEwMjR4MTAyNFx1MDAzZSJdXQ.jpg?sha=a8aaedf28e3a07f7</t>
  </si>
  <si>
    <t>Space Modulator L3</t>
  </si>
  <si>
    <t>Oil on perforated zinc and board, with glass-headed pins</t>
  </si>
  <si>
    <t>17 1/4 x 19 1/8" (43.8 x 48.6 cm)</t>
  </si>
  <si>
    <t>https://www.moma.org/collection/works/79183</t>
  </si>
  <si>
    <t>https://www.moma.org/media/W1siZiIsIjMzNzk4OCJdLFsicCIsImNvbnZlcnQiLCItcmVzaXplIDEwMjR4MTAyNFx1MDAzZSJdXQ.jpg?sha=7c07f6e93565ee62</t>
  </si>
  <si>
    <t>Memory of Oceania</t>
  </si>
  <si>
    <t>Nice-Cimiez, Hôtel Régina, summer 1952-early 1953</t>
  </si>
  <si>
    <t>Gouache on paper, cut and pasted, and charcoal on paper mounted on canvas</t>
  </si>
  <si>
    <t>9' 4" x 9' 4 7/8" (284.4 x 286.4 cm)</t>
  </si>
  <si>
    <t>https://www.moma.org/collection/works/79187</t>
  </si>
  <si>
    <t>https://www.moma.org/media/W1siZiIsIjI3OTI5MiJdLFsicCIsImNvbnZlcnQiLCItcmVzaXplIDEwMjR4MTAyNFx1MDAzZSJdXQ.jpg?sha=461a93c31f3adabb</t>
  </si>
  <si>
    <t>Francis Bacon</t>
  </si>
  <si>
    <t>Revolving</t>
  </si>
  <si>
    <t>Wood, metal, cord, cardboard, wool, wire, leather, and oil on canvas</t>
  </si>
  <si>
    <t>48 3/8 x 35" (122.7 x 88.7 cm)</t>
  </si>
  <si>
    <t>https://www.moma.org/collection/works/79211</t>
  </si>
  <si>
    <t>https://www.moma.org/media/W1siZiIsIjEyMjc3MCJdLFsicCIsImNvbnZlcnQiLCItcmVzaXplIDEwMjR4MTAyNFx1MDAzZSJdXQ.jpg?sha=50ec2cb7a2d42ece</t>
  </si>
  <si>
    <t>Overall dimensions variable</t>
  </si>
  <si>
    <t>Vir Heroicus Sublimis</t>
  </si>
  <si>
    <t>7' 11 3/8" x 17' 9 1/4" (242.2 x 541.7 cm)</t>
  </si>
  <si>
    <t>https://www.moma.org/collection/works/79250</t>
  </si>
  <si>
    <t>https://www.moma.org/media/W1siZiIsIjQ3ODMxNSJdLFsicCIsImNvbnZlcnQiLCItcmVzaXplIDEwMjR4MTAyNFx1MDAzZSJdXQ.jpg?sha=56ed36e49ccf50d7</t>
  </si>
  <si>
    <t>Echo: Number 25, 1951</t>
  </si>
  <si>
    <t>Enamel paint on canvas</t>
  </si>
  <si>
    <t>7' 7 7/8" x 7' 2" (233.4 x 218.4 cm)</t>
  </si>
  <si>
    <t>https://www.moma.org/collection/works/79251</t>
  </si>
  <si>
    <t>https://www.moma.org/media/W1siZiIsIjE2MjA0NiJdLFsicCIsImNvbnZlcnQiLCItcmVzaXplIDEwMjR4MTAyNFx1MDAzZSJdXQ.jpg?sha=a8b0f4e0f4853728</t>
  </si>
  <si>
    <t>Composition in Brown and Gray</t>
  </si>
  <si>
    <t>33 3/4 x 29 3/4" (85.7 x 75.6 cm)</t>
  </si>
  <si>
    <t>https://www.moma.org/collection/works/79253</t>
  </si>
  <si>
    <t>https://www.moma.org/media/W1siZiIsIjE1MTE1NSJdLFsicCIsImNvbnZlcnQiLCItcmVzaXplIDEwMjR4MTAyNFx1MDAzZSJdXQ.jpg?sha=4c257c0dceb23f0f</t>
  </si>
  <si>
    <t>Double-Bar, Grey (Green Line)</t>
  </si>
  <si>
    <t>36 1/8 x 39" (91.9 x 99 cm)</t>
  </si>
  <si>
    <t>https://www.moma.org/collection/works/79260</t>
  </si>
  <si>
    <t>https://www.moma.org/media/W1siZiIsIjE3NDM5OCJdLFsicCIsImNvbnZlcnQiLCItcmVzaXplIDEwMjR4MTAyNFx1MDAzZSJdXQ.jpg?sha=9c49185e7e13fd2c</t>
  </si>
  <si>
    <t>The Menaced Assassin</t>
  </si>
  <si>
    <t>Brussels 1927</t>
  </si>
  <si>
    <t>59 1/4" x 6' 4 7/8" (150.4 x 195.2 cm)</t>
  </si>
  <si>
    <t>https://www.moma.org/collection/works/79267</t>
  </si>
  <si>
    <t>https://www.moma.org/media/W1siZiIsIjI2MzUzMCJdLFsicCIsImNvbnZlcnQiLCItcmVzaXplIDEwMjR4MTAyNFx1MDAzZSJdXQ.jpg?sha=b1a653aa79b64a2c</t>
  </si>
  <si>
    <t>Suprematist Composition: Airplane Flying</t>
  </si>
  <si>
    <t>1915 (dated on reverse 1914)</t>
  </si>
  <si>
    <t>22 7/8 x 19" (58.1 x 48.3 cm)</t>
  </si>
  <si>
    <t>https://www.moma.org/collection/works/79269</t>
  </si>
  <si>
    <t>https://www.moma.org/media/W1siZiIsIjE1MTE2MyJdLFsicCIsImNvbnZlcnQiLCItcmVzaXplIDEwMjR4MTAyNFx1MDAzZSJdXQ.jpg?sha=bdb2b2471a694bf7</t>
  </si>
  <si>
    <t>The Dream</t>
  </si>
  <si>
    <t>6' 8 1/2" x 9' 9 1/2" (204.5 x 298.5 cm)</t>
  </si>
  <si>
    <t>https://www.moma.org/collection/works/79277</t>
  </si>
  <si>
    <t>https://www.moma.org/media/W1siZiIsIjMzOTE0MCJdLFsicCIsImNvbnZlcnQiLCItcmVzaXplIDEwMjR4MTAyNFx1MDAzZSJdXQ.jpg?sha=164d88f92c6e108e</t>
  </si>
  <si>
    <t>Study for Portrait VII</t>
  </si>
  <si>
    <t>60 x 46 1/8" (152.3 x 117 cm)</t>
  </si>
  <si>
    <t>https://www.moma.org/collection/works/79285</t>
  </si>
  <si>
    <t>https://www.moma.org/media/W1siZiIsIjM3OTE3NiJdLFsicCIsImNvbnZlcnQiLCItcmVzaXplIDEwMjR4MTAyNFx1MDAzZSJdXQ.jpg?sha=95e1336d64c502d3</t>
  </si>
  <si>
    <t>Self-Portrait with a Cigarette</t>
  </si>
  <si>
    <t>Frankfurt 1923</t>
  </si>
  <si>
    <t>23 3/4 x 15 7/8" (60.2 x 40.3 cm)</t>
  </si>
  <si>
    <t>https://www.moma.org/collection/works/79289</t>
  </si>
  <si>
    <t>https://www.moma.org/media/W1siZiIsIjIwNDMxNSJdLFsicCIsImNvbnZlcnQiLCItcmVzaXplIDEwMjR4MTAyNFx1MDAzZSJdXQ.jpg?sha=1ba4c23e5f8cd1f0</t>
  </si>
  <si>
    <t>Composition C</t>
  </si>
  <si>
    <t>23 3/4 x 24" (60.3 x 61 cm)</t>
  </si>
  <si>
    <t>https://www.moma.org/collection/works/79300</t>
  </si>
  <si>
    <t>https://www.moma.org/media/W1siZiIsIjM5NTgzNSJdLFsicCIsImNvbnZlcnQiLCItcmVzaXplIDEwMjR4MTAyNFx1MDAzZSJdXQ.jpg?sha=3c95cf4516240e9e</t>
  </si>
  <si>
    <t>The Birth of the World</t>
  </si>
  <si>
    <t>Montroig, late summer-fall 1925</t>
  </si>
  <si>
    <t>8' 2 3/4" x 6' 6 3/4" (250.8 x 200 cm)</t>
  </si>
  <si>
    <t>https://www.moma.org/collection/works/79321</t>
  </si>
  <si>
    <t>https://www.moma.org/media/W1siZiIsIjQzODQ1MSJdLFsicCIsImNvbnZlcnQiLCItcmVzaXplIDEwMjR4MTAyNFx1MDAzZSJdXQ.jpg?sha=2e476e3e30177ccc</t>
  </si>
  <si>
    <t>Evening, Honfleur</t>
  </si>
  <si>
    <t>Oil on canvas, with painted wood frame</t>
  </si>
  <si>
    <t>30 3/4 x 37" (78.3 x 94 cm) including frame</t>
  </si>
  <si>
    <t>https://www.moma.org/collection/works/79333</t>
  </si>
  <si>
    <t>https://www.moma.org/media/W1siZiIsIjQ1NjM4NiJdLFsicCIsImNvbnZlcnQiLCItcmVzaXplIDEwMjR4MTAyNFx1MDAzZSJdXQ.jpg?sha=c9c836f14cc44ff6</t>
  </si>
  <si>
    <t>29 x 36 1/4" (73.7 x 92.1 cm)</t>
  </si>
  <si>
    <t>Speeding Automobile</t>
  </si>
  <si>
    <t>21 7/8 x 27 1/8" (55.6 x 68.9 cm)</t>
  </si>
  <si>
    <t>https://www.moma.org/collection/works/79343</t>
  </si>
  <si>
    <t>https://www.moma.org/media/W1siZiIsIjE1MTE4MiJdLFsicCIsImNvbnZlcnQiLCItcmVzaXplIDEwMjR4MTAyNFx1MDAzZSJdXQ.jpg?sha=0bed611403968c88</t>
  </si>
  <si>
    <t>Street, Berlin</t>
  </si>
  <si>
    <t>47 1/2 x 35 7/8" (120.6 x 91.1 cm)</t>
  </si>
  <si>
    <t>https://www.moma.org/collection/works/79354</t>
  </si>
  <si>
    <t>https://www.moma.org/media/W1siZiIsIjMyMTkwNSJdLFsicCIsImNvbnZlcnQiLCItcmVzaXplIDEwMjR4MTAyNFx1MDAzZSJdXQ.jpg?sha=437e44383fb1bf4f</t>
  </si>
  <si>
    <t>1951-T No. 3</t>
  </si>
  <si>
    <t>7' 10" x 6' 10" (238.8 x 208.3 cm)</t>
  </si>
  <si>
    <t>https://www.moma.org/collection/works/79371</t>
  </si>
  <si>
    <t>https://www.moma.org/media/W1siZiIsIjMzMDYxNCJdLFsicCIsImNvbnZlcnQiLCItcmVzaXplIDEwMjR4MTAyNFx1MDAzZSJdXQ.jpg?sha=bd7541a9ef01fdc0</t>
  </si>
  <si>
    <t>Head of a Sleeping Woman (Study for Nude with Drapery)</t>
  </si>
  <si>
    <t>Paris, summer 1907</t>
  </si>
  <si>
    <t>24 1/4 x 18 3/4" (61.4 x 47.6 cm)</t>
  </si>
  <si>
    <t>https://www.moma.org/collection/works/79376</t>
  </si>
  <si>
    <t>https://www.moma.org/media/W1siZiIsIjE1MTE5MSJdLFsicCIsImNvbnZlcnQiLCItcmVzaXplIDEwMjR4MTAyNFx1MDAzZSJdXQ.jpg?sha=7a7b7a81d497b12a</t>
  </si>
  <si>
    <t>36 1/8 x 24" (91.7 x 61 cm)</t>
  </si>
  <si>
    <t>https://www.moma.org/collection/works/79388</t>
  </si>
  <si>
    <t>https://www.moma.org/media/W1siZiIsIjMxNzU1NiJdLFsicCIsImNvbnZlcnQiLCItcmVzaXplIDEwMjR4MTAyNFx1MDAzZSJdXQ.jpg?sha=ddb1458c719a8d54</t>
  </si>
  <si>
    <t>The American Dream, I</t>
  </si>
  <si>
    <t>6' x 60 1/8" (183 x 152.7 cm)</t>
  </si>
  <si>
    <t>https://www.moma.org/collection/works/79415</t>
  </si>
  <si>
    <t>https://www.moma.org/media/W1siZiIsIjE1MDkxMiJdLFsicCIsImNvbnZlcnQiLCItcmVzaXplIDEwMjR4MTAyNFx1MDAzZSJdXQ.jpg?sha=60ad303b608d3d49</t>
  </si>
  <si>
    <t>Dynamic Hieroglyphic of the Bal Tabarin</t>
  </si>
  <si>
    <t>Oil on canvas with sequins</t>
  </si>
  <si>
    <t>63 5/8 x 61 1/2" (161.6 x 156.2 cm)</t>
  </si>
  <si>
    <t>https://www.moma.org/collection/works/79419</t>
  </si>
  <si>
    <t>https://www.moma.org/media/W1siZiIsIjE4NDIwMiJdLFsicCIsImNvbnZlcnQiLCItcmVzaXplIDEwMjR4MTAyNFx1MDAzZSJdXQ.jpg?sha=6fdf64029ba92049</t>
  </si>
  <si>
    <t>c. 1956-59</t>
  </si>
  <si>
    <t>Embroidery</t>
  </si>
  <si>
    <t>69 7/8 x 25 7/8" (177.7 x 65.6 cm)</t>
  </si>
  <si>
    <t>https://www.moma.org/collection/works/79443</t>
  </si>
  <si>
    <t>https://www.moma.org/media/W1siZiIsIjQ4MjI1NSJdLFsicCIsImNvbnZlcnQiLCItcmVzaXplIDEwMjR4MTAyNFx1MDAzZSJdXQ.jpg?sha=549686aaa05e728c</t>
  </si>
  <si>
    <t>The Swimming Pool, Maquette for ceramic (realized 1999 and 2005)</t>
  </si>
  <si>
    <t>Nice-Cimiez, Hôtel Régina, late summer 1952</t>
  </si>
  <si>
    <t>Gouache on paper, cut and pasted, on painted paper</t>
  </si>
  <si>
    <t>Overall  73" x 53' 11" (185.4 x 1643.3 cm). Installed as nine panels in two parts on burlap-covered walls 11' 4" (345.4 cm) high. Frieze installed at a height of 5' 5" (165 cm)</t>
  </si>
  <si>
    <t>https://www.moma.org/collection/works/79462</t>
  </si>
  <si>
    <t>https://www.moma.org/media/W1siZiIsIjI5MjQ1NiJdLFsicCIsImNvbnZlcnQiLCItcmVzaXplIDEwMjR4MTAyNFx1MDAzZSJdXQ.jpg?sha=00ca3848338da1de</t>
  </si>
  <si>
    <t>Acrylic and pencil on canvas</t>
  </si>
  <si>
    <t>Garden in Sochi</t>
  </si>
  <si>
    <t>44 1/4 x 62 1/4" (112.4 x 158.1 cm)</t>
  </si>
  <si>
    <t>https://www.moma.org/collection/works/79474</t>
  </si>
  <si>
    <t>https://www.moma.org/media/W1siZiIsIjIwNDMxNyJdLFsicCIsImNvbnZlcnQiLCItcmVzaXplIDEwMjR4MTAyNFx1MDAzZSJdXQ.jpg?sha=213cd1765dfc7c7c</t>
  </si>
  <si>
    <t>Sleeping Figure</t>
  </si>
  <si>
    <t>The Three Windows, the Tower and the Wheel</t>
  </si>
  <si>
    <t>51 1/4 x 6' 5" (130.2 x 195.6 cm)</t>
  </si>
  <si>
    <t>https://www.moma.org/collection/works/79487</t>
  </si>
  <si>
    <t>https://www.moma.org/media/W1siZiIsIjE1MDE5MyJdLFsicCIsImNvbnZlcnQiLCItcmVzaXplIDEwMjR4MTAyNFx1MDAzZSJdXQ.jpg?sha=33d069f9368b0c51</t>
  </si>
  <si>
    <t>Diary of a Seducer</t>
  </si>
  <si>
    <t>50 x 62" (126.7 x 157.5 cm)</t>
  </si>
  <si>
    <t>https://www.moma.org/collection/works/79492</t>
  </si>
  <si>
    <t>https://www.moma.org/media/W1siZiIsIjIwNDMxOCJdLFsicCIsImNvbnZlcnQiLCItcmVzaXplIDEwMjR4MTAyNFx1MDAzZSJdXQ.jpg?sha=1d569fc72b2044cd</t>
  </si>
  <si>
    <t>Periwinkles / Moroccan Garden</t>
  </si>
  <si>
    <t>Tangier, winter-spring 1912</t>
  </si>
  <si>
    <t>Oil, pencil, and charcoal on canvas</t>
  </si>
  <si>
    <t>46 x 32 1/2" (116.8 x 82.5 cm)</t>
  </si>
  <si>
    <t>https://www.moma.org/collection/works/79495</t>
  </si>
  <si>
    <t>https://www.moma.org/media/W1siZiIsIjQ2ODczMSJdLFsicCIsImNvbnZlcnQiLCItcmVzaXplIDEwMjR4MTAyNFx1MDAzZSJdXQ.jpg?sha=5e9aa89a4c3a2548</t>
  </si>
  <si>
    <t>Still Life Synchromy</t>
  </si>
  <si>
    <t>https://www.moma.org/collection/works/79508</t>
  </si>
  <si>
    <t>https://www.moma.org/media/W1siZiIsIjIzMjcyMSJdLFsicCIsImNvbnZlcnQiLCItcmVzaXplIDEwMjR4MTAyNFx1MDAzZSJdXQ.jpg?sha=f6e757ba0e114b68</t>
  </si>
  <si>
    <t>Issy-les-Moulineaux, 1915</t>
  </si>
  <si>
    <t>57 1/2 x 38 1/8" (146 x 97 cm)</t>
  </si>
  <si>
    <t>https://www.moma.org/collection/works/79523</t>
  </si>
  <si>
    <t>https://www.moma.org/media/W1siZiIsIjE3NTEwNyJdLFsicCIsImNvbnZlcnQiLCItcmVzaXplIDEwMjR4MTAyNFx1MDAzZSJdXQ.jpg?sha=f61fdfdefd5191cf</t>
  </si>
  <si>
    <t>Study for Les Demoiselles D'Avignon</t>
  </si>
  <si>
    <t>Paris, early 1907</t>
  </si>
  <si>
    <t>7 1/2 x 8" (18.5 x 20.3 cm) (irregular)</t>
  </si>
  <si>
    <t>https://www.moma.org/collection/works/79551</t>
  </si>
  <si>
    <t>https://www.moma.org/media/W1siZiIsIjE1MTI5NyJdLFsicCIsImNvbnZlcnQiLCItcmVzaXplIDEwMjR4MTAyNFx1MDAzZSJdXQ.jpg?sha=9ba5548eeb130a48</t>
  </si>
  <si>
    <t>Ladybug</t>
  </si>
  <si>
    <t>6' 5 7/8" x 9' (197.9 x 274 cm)</t>
  </si>
  <si>
    <t>https://www.moma.org/collection/works/79586</t>
  </si>
  <si>
    <t>https://www.moma.org/media/W1siZiIsIjQ2MjU5MCJdLFsicCIsImNvbnZlcnQiLCItcmVzaXplIDEwMjR4MTAyNFx1MDAzZSJdXQ.jpg?sha=3bee18906c3129ae</t>
  </si>
  <si>
    <t>The Moroccans</t>
  </si>
  <si>
    <t>Issy-les-Moulineaux, late 1915 and fall 1916</t>
  </si>
  <si>
    <t>71 3/8" x 9' 2" (181.3 x 279.4 cm)</t>
  </si>
  <si>
    <t>https://www.moma.org/collection/works/79588</t>
  </si>
  <si>
    <t>https://www.moma.org/media/W1siZiIsIjE2NzU0OSJdLFsicCIsImNvbnZlcnQiLCItcmVzaXplIDEwMjR4MTAyNFx1MDAzZSJdXQ.jpg?sha=cfe50d53adeb0306</t>
  </si>
  <si>
    <t>Hold, Separate but Equal</t>
  </si>
  <si>
    <t>Acrylic, presstype, watercolor, and enamel on board</t>
  </si>
  <si>
    <t>7' x 48" (213.2 x 121.9 cm)</t>
  </si>
  <si>
    <t>https://www.moma.org/collection/works/79590</t>
  </si>
  <si>
    <t>https://www.moma.org/media/W1siZiIsIjQ0MDc2MyJdLFsicCIsImNvbnZlcnQiLCItcmVzaXplIDEwMjR4MTAyNFx1MDAzZSJdXQ.jpg?sha=97ce9b5087a3707a</t>
  </si>
  <si>
    <t>6' 6" x 66 1/4" (198.1 x 168.2 cm)</t>
  </si>
  <si>
    <t>https://www.moma.org/collection/works/79611</t>
  </si>
  <si>
    <t>https://www.moma.org/media/W1siZiIsIjIxMjU0NiJdLFsicCIsImNvbnZlcnQiLCItcmVzaXplIDEwMjR4MTAyNFx1MDAzZSJdXQ.jpg?sha=e24a141dfdc32204</t>
  </si>
  <si>
    <t>1912-14?</t>
  </si>
  <si>
    <t>28 3/4 x 36 1/4" (73 x 92.1 cm)</t>
  </si>
  <si>
    <t>https://www.moma.org/collection/works/79630</t>
  </si>
  <si>
    <t>https://www.moma.org/media/W1siZiIsIjE3Njk4MiJdLFsicCIsImNvbnZlcnQiLCItcmVzaXplIDEwMjR4MTAyNFx1MDAzZSJdXQ.jpg?sha=c49806a65d24a636</t>
  </si>
  <si>
    <t>Young Man in a Gray Sweater (Jacques Lipchitz)</t>
  </si>
  <si>
    <t>Paris 1914</t>
  </si>
  <si>
    <t>25 5/8 x 21 5/8" (65.1 x 54.9 cm)</t>
  </si>
  <si>
    <t>https://www.moma.org/collection/works/79633</t>
  </si>
  <si>
    <t>https://www.moma.org/media/W1siZiIsIjE1MTMxOCJdLFsicCIsImNvbnZlcnQiLCItcmVzaXplIDEwMjR4MTAyNFx1MDAzZSJdXQ.jpg?sha=65c27ebf7ede8a3e</t>
  </si>
  <si>
    <t>1954-56</t>
  </si>
  <si>
    <t>Nuit de Noël</t>
  </si>
  <si>
    <t>Paris, summer-fall 1952</t>
  </si>
  <si>
    <t>Stained glass</t>
  </si>
  <si>
    <t>11' 3/4" x 54 3/4" x 5/8" (332.5 x 139 x 1 cm)</t>
  </si>
  <si>
    <t>https://www.moma.org/collection/works/79658</t>
  </si>
  <si>
    <t>https://www.moma.org/media/W1siZiIsIjUxNzc3NSJdLFsicCIsImNvbnZlcnQiLCItcmVzaXplIDEwMjR4MTAyNFx1MDAzZSJdXQ.jpg?sha=f40c950124a33d5d</t>
  </si>
  <si>
    <t>Girl with Ball</t>
  </si>
  <si>
    <t>60 1/4 x 36 1/4" (153 x 91.9 cm)</t>
  </si>
  <si>
    <t>https://www.moma.org/collection/works/79665</t>
  </si>
  <si>
    <t>https://www.moma.org/media/W1siZiIsIjM5MjY1MiJdLFsicCIsImNvbnZlcnQiLCItcmVzaXplIDEwMjR4MTAyNFx1MDAzZSJdXQ.jpg?sha=64f446da64315ebf</t>
  </si>
  <si>
    <t>No. 3/No. 13</t>
  </si>
  <si>
    <t>7' 1 3/8" x 65" (216.5 x 164.8 cm)</t>
  </si>
  <si>
    <t>https://www.moma.org/collection/works/79687</t>
  </si>
  <si>
    <t>https://www.moma.org/media/W1siZiIsIjQ1NTQ2NyJdLFsicCIsImNvbnZlcnQiLCItcmVzaXplIDEwMjR4MTAyNFx1MDAzZSJdXQ.jpg?sha=6a0ed491abeaaf6c</t>
  </si>
  <si>
    <t>Gold leaf on fabric and glue on canvas, in wood-and-glass frame</t>
  </si>
  <si>
    <t>12 1/4 x 12 5/8" (31.2 x 32 cm)</t>
  </si>
  <si>
    <t>https://www.moma.org/collection/works/79709</t>
  </si>
  <si>
    <t>https://www.moma.org/media/W1siZiIsIjM3NDY2NSJdLFsicCIsImNvbnZlcnQiLCItcmVzaXplIDEwMjR4MTAyNFx1MDAzZSJdXQ.jpg?sha=0768785d1670f452</t>
  </si>
  <si>
    <t>Grandes Carrières</t>
  </si>
  <si>
    <t>6' 6 3/4" x 9' 10 1/4" (200 x 300.5 cm)</t>
  </si>
  <si>
    <t>https://www.moma.org/collection/works/79710</t>
  </si>
  <si>
    <t>https://www.moma.org/media/W1siZiIsIjQ3MDkxOSJdLFsicCIsImNvbnZlcnQiLCItcmVzaXplIDEwMjR4MTAyNFx1MDAzZSJdXQ.jpg?sha=da32a327b74198b0</t>
  </si>
  <si>
    <t>From a Day with Juan II</t>
  </si>
  <si>
    <t>48 x 36" (122 x 96 cm)</t>
  </si>
  <si>
    <t>https://www.moma.org/collection/works/79714</t>
  </si>
  <si>
    <t>https://www.moma.org/media/W1siZiIsIjE1MTMzNSJdLFsicCIsImNvbnZlcnQiLCItcmVzaXplIDEwMjR4MTAyNFx1MDAzZSJdXQ.jpg?sha=a99a87b7a86c44ad</t>
  </si>
  <si>
    <t>Woven wool</t>
  </si>
  <si>
    <t>Paris, spring 1908</t>
  </si>
  <si>
    <t>Acrylic and cut-and-pasted paper on wood, two panels</t>
  </si>
  <si>
    <t>6 x 8' (182.9 x  243.8 cm)</t>
  </si>
  <si>
    <t>https://www.moma.org/collection/works/79734</t>
  </si>
  <si>
    <t>https://www.moma.org/media/W1siZiIsIjE2MTEzMiJdLFsicCIsImNvbnZlcnQiLCItcmVzaXplIDEwMjR4MTAyNFx1MDAzZSJdXQ.jpg?sha=6591a64321008cc3</t>
  </si>
  <si>
    <t>Gold Marilyn Monroe</t>
  </si>
  <si>
    <t>Silkscreen ink and acrylic on canvas</t>
  </si>
  <si>
    <t>6' 11 1/4" x 57" (211.4 x 144.7 cm)</t>
  </si>
  <si>
    <t>https://www.moma.org/collection/works/79737</t>
  </si>
  <si>
    <t>https://www.moma.org/media/W1siZiIsIjQ3NzE5NiJdLFsicCIsImNvbnZlcnQiLCItcmVzaXplIDEwMjR4MTAyNFx1MDAzZSJdXQ.jpg?sha=6b8523b4567bdcf7</t>
  </si>
  <si>
    <t>Self-Portrait with Palette</t>
  </si>
  <si>
    <t>39 3/8 x 31 5/8" (100 x 80.3 cm)</t>
  </si>
  <si>
    <t>https://www.moma.org/collection/works/79741</t>
  </si>
  <si>
    <t>https://www.moma.org/media/W1siZiIsIjE1MTI2MyJdLFsicCIsImNvbnZlcnQiLCItcmVzaXplIDEwMjR4MTAyNFx1MDAzZSJdXQ.jpg?sha=701df3fdf87ede65</t>
  </si>
  <si>
    <t>"The Garden" rug</t>
  </si>
  <si>
    <t>48 x 80 1/2" (121.9 x 209.6 cm)</t>
  </si>
  <si>
    <t>https://www.moma.org/collection/works/79747</t>
  </si>
  <si>
    <t>https://www.moma.org/media/W1siZiIsIjU3OTgxNiJdLFsicCIsImNvbnZlcnQiLCItcmVzaXplIDEwMjR4MTAyNFx1MDAzZSJdXQ.jpg?sha=6b4f3fa992200a9a</t>
  </si>
  <si>
    <t>Argula</t>
  </si>
  <si>
    <t>15 x 24" (38.1 x 61 cm)</t>
  </si>
  <si>
    <t>https://www.moma.org/collection/works/79748</t>
  </si>
  <si>
    <t>https://www.moma.org/media/W1siZiIsIjE1NDU0NSJdLFsicCIsImNvbnZlcnQiLCItcmVzaXplIDEwMjR4MTAyNFx1MDAzZSJdXQ.jpg?sha=b481430facb29923</t>
  </si>
  <si>
    <t>90 3/4 x 64 1/8 x 2" (230.5 x 162.8 x 5.1 cm)</t>
  </si>
  <si>
    <t>https://www.moma.org/collection/works/79751</t>
  </si>
  <si>
    <t>https://www.moma.org/media/W1siZiIsIjE2MDUzNCJdLFsicCIsImNvbnZlcnQiLCItcmVzaXplIDEwMjR4MTAyNFx1MDAzZSJdXQ.jpg?sha=f9a4bd9f0739d014</t>
  </si>
  <si>
    <t>Morris Hirshfield</t>
  </si>
  <si>
    <t>Three Women at the Spring</t>
  </si>
  <si>
    <t>6' 8 1/4" x 68 1/2" (203.9 x 174 cm)</t>
  </si>
  <si>
    <t>https://www.moma.org/collection/works/79762</t>
  </si>
  <si>
    <t>https://www.moma.org/media/W1siZiIsIjUzNzgyMyJdLFsicCIsImNvbnZlcnQiLCItcmVzaXplIDEwMjR4MTAyNFx1MDAzZSJdXQ.jpg?sha=e86b39104fd6a9c2</t>
  </si>
  <si>
    <t>Les Demoiselles d'Avignon</t>
  </si>
  <si>
    <t>Paris, June-July 1907</t>
  </si>
  <si>
    <t>8' x 7' 8" (243.9 x 233.7 cm)</t>
  </si>
  <si>
    <t>https://www.moma.org/collection/works/79766</t>
  </si>
  <si>
    <t>https://www.moma.org/media/W1siZiIsIjQzODQ1MiJdLFsicCIsImNvbnZlcnQiLCItcmVzaXplIDEwMjR4MTAyNFx1MDAzZSJdXQ.jpg?sha=3f29ede754df16f5</t>
  </si>
  <si>
    <t>Hope, II</t>
  </si>
  <si>
    <t>Oil, gold, and platinum on canvas</t>
  </si>
  <si>
    <t>https://www.moma.org/collection/works/79792</t>
  </si>
  <si>
    <t>https://www.moma.org/media/W1siZiIsIjI0MTYxMyJdLFsicCIsImNvbnZlcnQiLCItcmVzaXplIDEwMjR4MTAyNFx1MDAzZSJdXQ.jpg?sha=9f0bdd82b2f2dc1a</t>
  </si>
  <si>
    <t>Harbor Number 1</t>
  </si>
  <si>
    <t>49 3/4 x 40" (126.3 x 101.6 cm)</t>
  </si>
  <si>
    <t>https://www.moma.org/collection/works/79797</t>
  </si>
  <si>
    <t>https://www.moma.org/media/W1siZiIsIjMxMTkxMSJdLFsicCIsImNvbnZlcnQiLCItcmVzaXplIDEwMjR4MTAyNFx1MDAzZSJdXQ.jpg?sha=3088d78ce848e62d</t>
  </si>
  <si>
    <t>Willows</t>
  </si>
  <si>
    <t>25 x 35" (63.5 x 88.9 cm)</t>
  </si>
  <si>
    <t>https://www.moma.org/collection/works/79801</t>
  </si>
  <si>
    <t>https://www.moma.org/media/W1siZiIsIjE4Njc1OCJdLFsicCIsImNvbnZlcnQiLCItcmVzaXplIDEwMjR4MTAyNFx1MDAzZSJdXQ.jpg?sha=839f4d23a7e4c2f3</t>
  </si>
  <si>
    <t>The Starry Night</t>
  </si>
  <si>
    <t>Saint Rémy, June 1889</t>
  </si>
  <si>
    <t>https://www.moma.org/collection/works/79802</t>
  </si>
  <si>
    <t>https://www.moma.org/media/W1siZiIsIjQ2NzUxNyJdLFsicCIsImNvbnZlcnQiLCItcmVzaXplIDEwMjR4MTAyNFx1MDAzZSJdXQ.jpg?sha=d518423159c0c0ae</t>
  </si>
  <si>
    <t>F-111</t>
  </si>
  <si>
    <t>Oil on canvas with aluminum, twenty-three sections</t>
  </si>
  <si>
    <t>10 x 86' (304.8 x 2621.3 cm)</t>
  </si>
  <si>
    <t>https://www.moma.org/collection/works/79805</t>
  </si>
  <si>
    <t>https://www.moma.org/media/W1siZiIsIjUyNzc5MiJdLFsicCIsImNvbnZlcnQiLCItcmVzaXplIDEwMjR4MTAyNFx1MDAzZSJdXQ.jpg?sha=a496170f9bfdc91c</t>
  </si>
  <si>
    <t>Campbell's Soup Cans</t>
  </si>
  <si>
    <t>Acrylic with metallic enamel paint on canvas, 32 panels</t>
  </si>
  <si>
    <t>Each canvas 20 x 16" (50.8 x 40.6 cm)._x000D_
Overall installation with 3" between each panel is 97" high x 163" wide</t>
  </si>
  <si>
    <t>https://www.moma.org/collection/works/79809</t>
  </si>
  <si>
    <t>https://www.moma.org/media/W1siZiIsIjMxODI0MiJdLFsicCIsImNvbnZlcnQiLCItcmVzaXplIDEwMjR4MTAyNFx1MDAzZSJdXQ.jpg?sha=da9ed7773f4c0ff4</t>
  </si>
  <si>
    <t>Composition No. II, with Red and Blue</t>
  </si>
  <si>
    <t>1929 (original date partly obliterated; mistakenly repainted 1925 by Mondrian)</t>
  </si>
  <si>
    <t>https://www.moma.org/collection/works/79816</t>
  </si>
  <si>
    <t>https://www.moma.org/media/W1siZiIsIjI5MjUwNiJdLFsicCIsImNvbnZlcnQiLCItcmVzaXplIDEwMjR4MTAyNFx1MDAzZSJdXQ.jpg?sha=eb07e3c0ac0a72d8</t>
  </si>
  <si>
    <t>31 x 39" (78.7 x 99 cm)</t>
  </si>
  <si>
    <t>https://www.moma.org/collection/works/79823</t>
  </si>
  <si>
    <t>https://www.moma.org/media/W1siZiIsIjIwNDMyMCJdLFsicCIsImNvbnZlcnQiLCItcmVzaXplIDEwMjR4MTAyNFx1MDAzZSJdXQ.jpg?sha=9be3e3d2ab8edcdd</t>
  </si>
  <si>
    <t>48 x 37" (121.9 x 93.9 cm)</t>
  </si>
  <si>
    <t>https://www.moma.org/collection/works/79836</t>
  </si>
  <si>
    <t>https://www.moma.org/media/W1siZiIsIjE3OTM3NSJdLFsicCIsImNvbnZlcnQiLCItcmVzaXplIDEwMjR4MTAyNFx1MDAzZSJdXQ.jpg?sha=a87a9ffaf587caf3</t>
  </si>
  <si>
    <t>Jar, Bottle and Glass</t>
  </si>
  <si>
    <t>23 1/2 x 19 3/4" (59.7 x 50.2 cm)</t>
  </si>
  <si>
    <t>https://www.moma.org/collection/works/79839</t>
  </si>
  <si>
    <t>https://www.moma.org/media/W1siZiIsIjIxMTU2MSJdLFsicCIsImNvbnZlcnQiLCItcmVzaXplIDEwMjR4MTAyNFx1MDAzZSJdXQ.jpg?sha=c258fbbb8afbcf3e</t>
  </si>
  <si>
    <t>The Italians</t>
  </si>
  <si>
    <t>Rome, January 1961</t>
  </si>
  <si>
    <t>Oil, pencil, and crayon on canvas</t>
  </si>
  <si>
    <t>6' 6 5/8" x 8' 6 1/4" (199.5 x 259.6 cm)</t>
  </si>
  <si>
    <t>https://www.moma.org/collection/works/79852</t>
  </si>
  <si>
    <t>https://www.moma.org/media/W1siZiIsIjUxOTk3MyJdLFsicCIsImNvbnZlcnQiLCItcmVzaXplIDEwMjR4MTAyNFx1MDAzZSJdXQ.jpg?sha=5ecc7c9ed3b0fe13</t>
  </si>
  <si>
    <t>Woman on a High Stool (Germaine Raynal)</t>
  </si>
  <si>
    <t>Paris, quai Saint-Michel, early 1914</t>
  </si>
  <si>
    <t>57 7/8 x 37 5/8" (147 x 95.5 cm)</t>
  </si>
  <si>
    <t>https://www.moma.org/collection/works/79863</t>
  </si>
  <si>
    <t>https://www.moma.org/media/W1siZiIsIjE3MTA2NCJdLFsicCIsImNvbnZlcnQiLCItcmVzaXplIDEwMjR4MTAyNFx1MDAzZSJdXQ.jpg?sha=176ab1e5f212d6f2</t>
  </si>
  <si>
    <t>Spatial Concept: Expectation</t>
  </si>
  <si>
    <t>Slashed canvas and gauze</t>
  </si>
  <si>
    <t>39 1/2 x 31 5/8" (100.3 x 80.3 cm)</t>
  </si>
  <si>
    <t>https://www.moma.org/collection/works/79874</t>
  </si>
  <si>
    <t>https://www.moma.org/media/W1siZiIsIjE1MTM1OSJdLFsicCIsImNvbnZlcnQiLCItcmVzaXplIDEwMjR4MTAyNFx1MDAzZSJdXQ.jpg?sha=17df9c65d339a61d</t>
  </si>
  <si>
    <t>Document</t>
  </si>
  <si>
    <t>Agapanthus</t>
  </si>
  <si>
    <t>1914-26</t>
  </si>
  <si>
    <t>6' 6" x 70 1/4" (198.2 x 178.4 cm)</t>
  </si>
  <si>
    <t>https://www.moma.org/collection/works/79922</t>
  </si>
  <si>
    <t>https://www.moma.org/media/W1siZiIsIjE2ODY2OCJdLFsicCIsImNvbnZlcnQiLCItcmVzaXplIDEwMjR4MTAyNFx1MDAzZSJdXQ.jpg?sha=d654b9aaaed51a24</t>
  </si>
  <si>
    <t>26 7/8 x 31 7/8" (68.3 x 81 cm)</t>
  </si>
  <si>
    <t>https://www.moma.org/collection/works/79929</t>
  </si>
  <si>
    <t>https://www.moma.org/media/W1siZiIsIjIwNzY0NCJdLFsicCIsImNvbnZlcnQiLCItcmVzaXplIDEwMjR4MTAyNFx1MDAzZSJdXQ.jpg?sha=48dbd45d57b884b0</t>
  </si>
  <si>
    <t>Paris 1928</t>
  </si>
  <si>
    <t>21 3/8 x 28 7/8" (54 x 73.4 cm)</t>
  </si>
  <si>
    <t>https://www.moma.org/collection/works/79933</t>
  </si>
  <si>
    <t>https://www.moma.org/media/W1siZiIsIjIxNTkyMSJdLFsicCIsImNvbnZlcnQiLCItcmVzaXplIDEwMjR4MTAyNFx1MDAzZSJdXQ.jpg?sha=100c293de4a40288</t>
  </si>
  <si>
    <t>38 3/8 x 26 5/8" (97.3 x 67.3 cm)</t>
  </si>
  <si>
    <t>https://www.moma.org/collection/works/79944</t>
  </si>
  <si>
    <t>https://www.moma.org/media/W1siZiIsIjM0Nzc1NCJdLFsicCIsImNvbnZlcnQiLCItcmVzaXplIDEwMjR4MTAyNFx1MDAzZSJdXQ.jpg?sha=6d83369a19849670</t>
  </si>
  <si>
    <t>Sackcloth 1953</t>
  </si>
  <si>
    <t>Burlap and thread on canvas</t>
  </si>
  <si>
    <t>33 7/8 x 39 3/8" (86 x 100 cm)</t>
  </si>
  <si>
    <t>https://www.moma.org/collection/works/79951</t>
  </si>
  <si>
    <t>https://www.moma.org/media/W1siZiIsIjE1NDE4NCJdLFsicCIsImNvbnZlcnQiLCItcmVzaXplIDEwMjR4MTAyNFx1MDAzZSJdXQ.jpg?sha=cde117b41fe7ca53</t>
  </si>
  <si>
    <t>16 1/8 x 12" (41 x 30.5 cm)</t>
  </si>
  <si>
    <t>https://www.moma.org/collection/works/79954</t>
  </si>
  <si>
    <t>https://www.moma.org/media/W1siZiIsIjQzOTcwNCJdLFsicCIsImNvbnZlcnQiLCItcmVzaXplIDEwMjR4MTAyNFx1MDAzZSJdXQ.jpg?sha=03dfcfbe4f36a36c</t>
  </si>
  <si>
    <t>Self-Portrait with a Model</t>
  </si>
  <si>
    <t>45 1/2 x 29 3/4" (115.6 x 75.6 cm)</t>
  </si>
  <si>
    <t>https://www.moma.org/collection/works/79955</t>
  </si>
  <si>
    <t>https://www.moma.org/media/W1siZiIsIjE1ODEzNyJdLFsicCIsImNvbnZlcnQiLCItcmVzaXplIDEwMjR4MTAyNFx1MDAzZSJdXQ.jpg?sha=850c87a4024277f3</t>
  </si>
  <si>
    <t>The Rose Marble Table</t>
  </si>
  <si>
    <t>Issy-les-Moulineaux, spring-summer 1917</t>
  </si>
  <si>
    <t>57 1/2 x 38 1/4" (146 x 97 cm)</t>
  </si>
  <si>
    <t>https://www.moma.org/collection/works/79957</t>
  </si>
  <si>
    <t>https://www.moma.org/media/W1siZiIsIjE3MDM5MyJdLFsicCIsImNvbnZlcnQiLCItcmVzaXplIDEwMjR4MTAyNFx1MDAzZSJdXQ.jpg?sha=c3b8dbd814a487f9</t>
  </si>
  <si>
    <t>Mme Kupka among Verticals</t>
  </si>
  <si>
    <t>53 3/8 x 33 5/8" (135.5 x 85.3 cm)</t>
  </si>
  <si>
    <t>https://www.moma.org/collection/works/79971</t>
  </si>
  <si>
    <t>https://www.moma.org/media/W1siZiIsIjI0NDAzNiJdLFsicCIsImNvbnZlcnQiLCItcmVzaXplIDEwMjR4MTAyNFx1MDAzZSJdXQ.jpg?sha=73b59d3c57cd9fe9</t>
  </si>
  <si>
    <t>The Musician Follot</t>
  </si>
  <si>
    <t>1911? (dated on painting 1910)</t>
  </si>
  <si>
    <t>28 1/2 x 26 1/8" (72.4 x 66.3 cm)</t>
  </si>
  <si>
    <t>https://www.moma.org/collection/works/79974</t>
  </si>
  <si>
    <t>https://www.moma.org/media/W1siZiIsIjE4MjcxMCJdLFsicCIsImNvbnZlcnQiLCItcmVzaXplIDEwMjR4MTAyNFx1MDAzZSJdXQ.jpg?sha=9802ad715694ac69</t>
  </si>
  <si>
    <t>Patchwork Quilt</t>
  </si>
  <si>
    <t>Cut-and-pasted fabrics, paper, and gelatin silver print with acrylic on board</t>
  </si>
  <si>
    <t>35 3/4 x 47 7/8" (90.9 x 121.6 cm)</t>
  </si>
  <si>
    <t>https://www.moma.org/collection/works/79986</t>
  </si>
  <si>
    <t>https://www.moma.org/media/W1siZiIsIjUyMTgzOSJdLFsicCIsImNvbnZlcnQiLCItcmVzaXplIDEwMjR4MTAyNFx1MDAzZSJdXQ.jpg?sha=770e0a0acbabfa78</t>
  </si>
  <si>
    <t>The Eternal City</t>
  </si>
  <si>
    <t>1934-37 (dated on painting 1937)</t>
  </si>
  <si>
    <t>34 x 47 7/8" (86.4 x 121.6 cm)</t>
  </si>
  <si>
    <t>https://www.moma.org/collection/works/79988</t>
  </si>
  <si>
    <t>https://www.moma.org/media/W1siZiIsIjE1MTM4MyJdLFsicCIsImNvbnZlcnQiLCItcmVzaXplIDEwMjR4MTAyNFx1MDAzZSJdXQ.jpg?sha=0f8f5951792fae7d</t>
  </si>
  <si>
    <t>The Portrait</t>
  </si>
  <si>
    <t>Brussels 1935</t>
  </si>
  <si>
    <t>28 7/8 x 19 7/8" (73.3 x 50.2 cm)</t>
  </si>
  <si>
    <t>https://www.moma.org/collection/works/79990</t>
  </si>
  <si>
    <t>https://www.moma.org/media/W1siZiIsIjI2MzU0NiJdLFsicCIsImNvbnZlcnQiLCItcmVzaXplIDEwMjR4MTAyNFx1MDAzZSJdXQ.jpg?sha=6307c8d6131774ff</t>
  </si>
  <si>
    <t>Boy Leading a Horse</t>
  </si>
  <si>
    <t>Paris, 1905-06</t>
  </si>
  <si>
    <t>7' 2 7/8" x 51 5/8" (220.6 x 131.2 cm)</t>
  </si>
  <si>
    <t>https://www.moma.org/collection/works/79994</t>
  </si>
  <si>
    <t>https://www.moma.org/media/W1siZiIsIjUyMzQxNSJdLFsicCIsImNvbnZlcnQiLCItcmVzaXplIDEwMjR4MTAyNFx1MDAzZSJdXQ.jpg?sha=dfeff6b3e5cad201</t>
  </si>
  <si>
    <t>32 x 25 3/4" (81.2 x 65.4 cm)</t>
  </si>
  <si>
    <t>https://www.moma.org/collection/works/79996</t>
  </si>
  <si>
    <t>https://www.moma.org/media/W1siZiIsIjI3NjQ4MSJdLFsicCIsImNvbnZlcnQiLCItcmVzaXplIDEwMjR4MTAyNFx1MDAzZSJdXQ.jpg?sha=9c6286cd5e26b282</t>
  </si>
  <si>
    <t>Gas</t>
  </si>
  <si>
    <t>26 1/4 x 40 1/4" (66.7 x 102.2 cm)</t>
  </si>
  <si>
    <t>https://www.moma.org/collection/works/80000</t>
  </si>
  <si>
    <t>https://www.moma.org/media/W1siZiIsIjQ1NzQxNyJdLFsicCIsImNvbnZlcnQiLCItcmVzaXplIDEwMjR4MTAyNFx1MDAzZSJdXQ.jpg?sha=24f46159d2e6e382</t>
  </si>
  <si>
    <t>Dynamism of a Soccer Player</t>
  </si>
  <si>
    <t>6' 4 1/8" x 6' 7 1/8" (193.2 x 201 cm)</t>
  </si>
  <si>
    <t>https://www.moma.org/collection/works/80009</t>
  </si>
  <si>
    <t>https://www.moma.org/media/W1siZiIsIjI0Njc4NiJdLFsicCIsImNvbnZlcnQiLCItcmVzaXplIDEwMjR4MTAyNFx1MDAzZSJdXQ.jpg?sha=fcb7a9bbbdc41c3d</t>
  </si>
  <si>
    <t>Setting Sun. Sardine Fishing. Adagio. Opus 221 from the series The Sea, The Boats, Concarneau</t>
  </si>
  <si>
    <t>25 5/8 x 31 7/8" (65 x 81 cm)</t>
  </si>
  <si>
    <t>https://www.moma.org/collection/works/80023</t>
  </si>
  <si>
    <t>https://www.moma.org/media/W1siZiIsIjQ2ODk1MiJdLFsicCIsImNvbnZlcnQiLCItcmVzaXplIDEwMjR4MTAyNFx1MDAzZSJdXQ.jpg?sha=b694acd0a2025fe2</t>
  </si>
  <si>
    <t>Paris 1912</t>
  </si>
  <si>
    <t>31 1/2 x 27 5/8" (79.9 x 70 cm)</t>
  </si>
  <si>
    <t>https://www.moma.org/collection/works/80024</t>
  </si>
  <si>
    <t>https://www.moma.org/media/W1siZiIsIjE1MDE5NCJdLFsicCIsImNvbnZlcnQiLCItcmVzaXplIDEwMjR4MTAyNFx1MDAzZSJdXQ.jpg?sha=2b25e74cf9e47bb6</t>
  </si>
  <si>
    <t>Double Self-Portrait</t>
  </si>
  <si>
    <t>24 x 36" (60.8 x 91.5 cm)</t>
  </si>
  <si>
    <t>https://www.moma.org/collection/works/80047</t>
  </si>
  <si>
    <t>https://www.moma.org/media/W1siZiIsIjI3OTAyMyJdLFsicCIsImNvbnZlcnQiLCItcmVzaXplIDEwMjR4MTAyNFx1MDAzZSJdXQ.jpg?sha=44938663554a7b13</t>
  </si>
  <si>
    <t>Bauhaus Stairway</t>
  </si>
  <si>
    <t>63 7/8 x 45" (162.3 x 114.3 cm)</t>
  </si>
  <si>
    <t>https://www.moma.org/collection/works/80049</t>
  </si>
  <si>
    <t>https://www.moma.org/media/W1siZiIsIjE3MDM5OCJdLFsicCIsImNvbnZlcnQiLCItcmVzaXplIDEwMjR4MTAyNFx1MDAzZSJdXQ.jpg?sha=1dfb03a499bda3ea</t>
  </si>
  <si>
    <t>Shuji Mukai</t>
  </si>
  <si>
    <t>Oil, string, and canvas on wood</t>
  </si>
  <si>
    <t>6' 3/8" x 53 7/8" (183.6 x 136.8 cm)</t>
  </si>
  <si>
    <t>https://www.moma.org/collection/works/80071</t>
  </si>
  <si>
    <t>https://www.moma.org/media/W1siZiIsIjUzMzI3NCJdLFsicCIsImNvbnZlcnQiLCItcmVzaXplIDEwMjR4MTAyNFx1MDAzZSJdXQ.jpg?sha=1535b01531e85134</t>
  </si>
  <si>
    <t>Inseparable Friends</t>
  </si>
  <si>
    <t>60 1/8 x 40 1/8" (152.6 x 101.9 cm)</t>
  </si>
  <si>
    <t>https://www.moma.org/collection/works/80072</t>
  </si>
  <si>
    <t>https://www.moma.org/media/W1siZiIsIjE1OTEzNCJdLFsicCIsImNvbnZlcnQiLCItcmVzaXplIDEwMjR4MTAyNFx1MDAzZSJdXQ.jpg?sha=b23ac3fa75a9a311</t>
  </si>
  <si>
    <t>Atsuko Tanaka</t>
  </si>
  <si>
    <t>Paris, late 1906</t>
  </si>
  <si>
    <t>59 5/8 x 36 5/8" (151.3 x 93 cm)</t>
  </si>
  <si>
    <t>https://www.moma.org/collection/works/80111</t>
  </si>
  <si>
    <t>https://www.moma.org/media/W1siZiIsIjE1MTQxOCJdLFsicCIsImNvbnZlcnQiLCItcmVzaXplIDEwMjR4MTAyNFx1MDAzZSJdXQ.jpg?sha=ebadf71eb9f14455</t>
  </si>
  <si>
    <t>Bridge</t>
  </si>
  <si>
    <t>1908?</t>
  </si>
  <si>
    <t>36 1/2 x 28 5/8" (92.7 x 72.6 cm)</t>
  </si>
  <si>
    <t>https://www.moma.org/collection/works/80121</t>
  </si>
  <si>
    <t>https://www.moma.org/media/W1siZiIsIjQ4MTgwOSJdLFsicCIsImNvbnZlcnQiLCItcmVzaXplIDEwMjR4MTAyNFx1MDAzZSJdXQ.jpg?sha=e8b166a3a4e28d3c</t>
  </si>
  <si>
    <t>Synchromy in Blue</t>
  </si>
  <si>
    <t>c. 1917-18</t>
  </si>
  <si>
    <t>26 1/4 x 20 1/8" (66.4 x 51.1 cm)</t>
  </si>
  <si>
    <t>https://www.moma.org/collection/works/80131</t>
  </si>
  <si>
    <t>https://www.moma.org/media/W1siZiIsIjI0Njc4NSJdLFsicCIsImNvbnZlcnQiLCItcmVzaXplIDEwMjR4MTAyNFx1MDAzZSJdXQ.jpg?sha=a333055614de9c09</t>
  </si>
  <si>
    <t>Echo of a Scream</t>
  </si>
  <si>
    <t>Enamel on wood</t>
  </si>
  <si>
    <t>48 x 36" (121.9 x 91.4 cm)</t>
  </si>
  <si>
    <t>https://www.moma.org/collection/works/80144</t>
  </si>
  <si>
    <t>https://www.moma.org/media/W1siZiIsIjE1MTQyNCJdLFsicCIsImNvbnZlcnQiLCItcmVzaXplIDEwMjR4MTAyNFx1MDAzZSJdXQ.jpg?sha=93c4378ca57f811c</t>
  </si>
  <si>
    <t>Tableau no. 2 / Composition no. V</t>
  </si>
  <si>
    <t>21 5/8 x 33 5/8" (54.8 x 85.3 cm)</t>
  </si>
  <si>
    <t>https://www.moma.org/collection/works/80146</t>
  </si>
  <si>
    <t>https://www.moma.org/media/W1siZiIsIjM4NjUzOCJdLFsicCIsImNvbnZlcnQiLCItcmVzaXplIDEwMjR4MTAyNFx1MDAzZSJdXQ.jpg?sha=09533082ee987a07</t>
  </si>
  <si>
    <t>Composition in Red, Blue, and Yellow</t>
  </si>
  <si>
    <t>1937–42</t>
  </si>
  <si>
    <t>23 3/4 x 21 7/8" (60.3 x 55.4 cm)</t>
  </si>
  <si>
    <t>https://www.moma.org/collection/works/80160</t>
  </si>
  <si>
    <t>https://www.moma.org/media/W1siZiIsIjI2NTg4MyJdLFsicCIsImNvbnZlcnQiLCItcmVzaXplIDEwMjR4MTAyNFx1MDAzZSJdXQ.jpg?sha=c132f981ce333290</t>
  </si>
  <si>
    <t>Marilyn Monroe, I</t>
  </si>
  <si>
    <t>Oil and spray enamel on canvas</t>
  </si>
  <si>
    <t>7' 9" x 6' 1/4" (236.2 x 183.3 cm)</t>
  </si>
  <si>
    <t>https://www.moma.org/collection/works/80174</t>
  </si>
  <si>
    <t>https://www.moma.org/media/W1siZiIsIjE1MTQzNSJdLFsicCIsImNvbnZlcnQiLCItcmVzaXplIDEwMjR4MTAyNFx1MDAzZSJdXQ.jpg?sha=594b6e89413741f1</t>
  </si>
  <si>
    <t>No. F</t>
  </si>
  <si>
    <t>41 1/2 x 52" (105.4 x 132.1 cm)</t>
  </si>
  <si>
    <t>https://www.moma.org/collection/works/80176</t>
  </si>
  <si>
    <t>https://www.moma.org/media/W1siZiIsIjE1MTQzNiJdLFsicCIsImNvbnZlcnQiLCItcmVzaXplIDEwMjR4MTAyNFx1MDAzZSJdXQ.jpg?sha=6407cfd43de3e971</t>
  </si>
  <si>
    <t>Hans Tietze and Erica Tietze-Conrat</t>
  </si>
  <si>
    <t>30 1/8 x 53 5/8" (76.5 x 136.2 cm)</t>
  </si>
  <si>
    <t>https://www.moma.org/collection/works/80190</t>
  </si>
  <si>
    <t>https://www.moma.org/media/W1siZiIsIjUxNzMyMiJdLFsicCIsImNvbnZlcnQiLCItcmVzaXplIDEwMjR4MTAyNFx1MDAzZSJdXQ.jpg?sha=d65eeb55574c2a5f</t>
  </si>
  <si>
    <t>Naxos</t>
  </si>
  <si>
    <t>6' 3" x 56 1/8" (190.6 x 142.6 cm)</t>
  </si>
  <si>
    <t>https://www.moma.org/collection/works/80196</t>
  </si>
  <si>
    <t>https://www.moma.org/media/W1siZiIsIjU1OTA2NCJdLFsicCIsImNvbnZlcnQiLCItcmVzaXplIDEwMjR4MTAyNFx1MDAzZSJdXQ.jpg?sha=ea4a36781e99e12a</t>
  </si>
  <si>
    <t>Water Lilies</t>
  </si>
  <si>
    <t>Each 6' 6 3/4" x 13' 11 1/4" (200 x 424.8 cm), overall 6' 6 3/4" x 41' 10 3/8" (200 x 1276 cm)</t>
  </si>
  <si>
    <t>https://www.moma.org/collection/works/80220</t>
  </si>
  <si>
    <t>https://www.moma.org/media/W1siZiIsIjI0Njc4NCJdLFsicCIsImNvbnZlcnQiLCItcmVzaXplIDEwMjR4MTAyNFx1MDAzZSJdXQ.jpg?sha=b231dd89da1cde25</t>
  </si>
  <si>
    <t>Empty Chair or The Last Colonial</t>
  </si>
  <si>
    <t>Glass and plastic marbles, West African wood figures, tree fragments, pebbles, geode, iron nails, coral, seashells, wood shoe trees, lobster claws, sword, painted human foot bones and vertebra, faux pearls, plastic and wooden letters, plastic sheets and scraps, wood scraps, painted wood, animal claws and bones, domino, glass eyes, bell, and other materials on plastic sheets mounted on wood</t>
  </si>
  <si>
    <t>46 3/8 x 39 1/4 x 15 7/8" (117.7 x 99.7 x 40.3 cm)</t>
  </si>
  <si>
    <t>https://www.moma.org/collection/works/80257</t>
  </si>
  <si>
    <t>https://www.moma.org/media/W1siZiIsIjE3MTA5OSJdLFsicCIsImNvbnZlcnQiLCItcmVzaXplIDEwMjR4MTAyNFx1MDAzZSJdXQ.jpg?sha=c25d76bfc118472a</t>
  </si>
  <si>
    <t>Brooklyn Bridge VII</t>
  </si>
  <si>
    <t>7' 8 1/8" x 37 5/8" (234 x 95.6 cm)</t>
  </si>
  <si>
    <t>https://www.moma.org/collection/works/80258</t>
  </si>
  <si>
    <t>https://www.moma.org/media/W1siZiIsIjE1MTQ1NiJdLFsicCIsImNvbnZlcnQiLCItcmVzaXplIDEwMjR4MTAyNFx1MDAzZSJdXQ.jpg?sha=b97f5fc82b462649</t>
  </si>
  <si>
    <t>Tarentelle</t>
  </si>
  <si>
    <t>Paris, January - early June 1912</t>
  </si>
  <si>
    <t>29 1/2 × 36 1/2" (74.9 × 92.7 cm)</t>
  </si>
  <si>
    <t>https://www.moma.org/collection/works/80259</t>
  </si>
  <si>
    <t>https://www.moma.org/media/W1siZiIsIjMzNjY1NiJdLFsicCIsImNvbnZlcnQiLCItcmVzaXplIDEwMjR4MTAyNFx1MDAzZSJdXQ.jpg?sha=c43a3430dc3076c1</t>
  </si>
  <si>
    <t>Number 107</t>
  </si>
  <si>
    <t>6' 8" x 36" (203.2 x 91.4 cm)</t>
  </si>
  <si>
    <t>https://www.moma.org/collection/works/80269</t>
  </si>
  <si>
    <t>https://www.moma.org/media/W1siZiIsIjIwNjM5OCJdLFsicCIsImNvbnZlcnQiLCItcmVzaXplIDEwMjR4MTAyNFx1MDAzZSJdXQ.jpg?sha=b3f2359905361cee</t>
  </si>
  <si>
    <t>6' 6 1/2" x 19' 7 1/2" (199.5 x 599 cm)</t>
  </si>
  <si>
    <t>https://www.moma.org/collection/works/80298</t>
  </si>
  <si>
    <t>https://www.moma.org/media/W1siZiIsIjI0Njc4MyJdLFsicCIsImNvbnZlcnQiLCItcmVzaXplIDEwMjR4MTAyNFx1MDAzZSJdXQ.jpg?sha=f18d95ab0c842b20</t>
  </si>
  <si>
    <t>1879-83</t>
  </si>
  <si>
    <t>31 1/2 x 39" (80.3 x 99.4 cm)</t>
  </si>
  <si>
    <t>https://www.moma.org/collection/works/80302</t>
  </si>
  <si>
    <t>https://www.moma.org/media/W1siZiIsIjUxNjY3NyJdLFsicCIsImNvbnZlcnQiLCItcmVzaXplIDEwMjR4MTAyNFx1MDAzZSJdXQ.jpg?sha=bc6b333ec4094b48</t>
  </si>
  <si>
    <t>Still Life with Aubergines</t>
  </si>
  <si>
    <t>Collioure, summer 1911</t>
  </si>
  <si>
    <t>45 3/4 x 35 1/8" (116.2 x 89.2 cm)</t>
  </si>
  <si>
    <t>https://www.moma.org/collection/works/80350</t>
  </si>
  <si>
    <t>https://www.moma.org/media/W1siZiIsIjQ2ODczMyJdLFsicCIsImNvbnZlcnQiLCItcmVzaXplIDEwMjR4MTAyNFx1MDAzZSJdXQ.jpg?sha=161fe3803af8feb4</t>
  </si>
  <si>
    <t>The Channel at Gravelines, Evening</t>
  </si>
  <si>
    <t>summer 1890</t>
  </si>
  <si>
    <t>25 3/4 x 32 1/4" (65.4 x 81.9 cm)</t>
  </si>
  <si>
    <t>https://www.moma.org/collection/works/80354</t>
  </si>
  <si>
    <t>https://www.moma.org/media/W1siZiIsIjIzNTkwOSJdLFsicCIsImNvbnZlcnQiLCItcmVzaXplIDEwMjR4MTAyNFx1MDAzZSJdXQ.jpg?sha=0c5f329340e2cf92</t>
  </si>
  <si>
    <t>winter 1908-09</t>
  </si>
  <si>
    <t>51 1/8 x 38 1/8" (129.8 x 96.8 cm)</t>
  </si>
  <si>
    <t>https://www.moma.org/collection/works/80357</t>
  </si>
  <si>
    <t>https://www.moma.org/media/W1siZiIsIjE1MTQ4NyJdLFsicCIsImNvbnZlcnQiLCItcmVzaXplIDEwMjR4MTAyNFx1MDAzZSJdXQ.jpg?sha=46e88b059aa6eaab</t>
  </si>
  <si>
    <t>Reservist of the First Division</t>
  </si>
  <si>
    <t>fall-winter 1914</t>
  </si>
  <si>
    <t>Oil on canvas with collage of printed paper, postage stamp, and thermometer</t>
  </si>
  <si>
    <t>21 1/8 x 17 5/8" (53.7 x 44.8 cm)</t>
  </si>
  <si>
    <t>https://www.moma.org/collection/works/80380</t>
  </si>
  <si>
    <t>https://www.moma.org/media/W1siZiIsIjE4NTU3MyJdLFsicCIsImNvbnZlcnQiLCItcmVzaXplIDEwMjR4MTAyNFx1MDAzZSJdXQ.jpg?sha=a62fb2200346b24d</t>
  </si>
  <si>
    <t>Woman with Pails: Dynamic Arrangement</t>
  </si>
  <si>
    <t>1912-13 (dated on reverse 1912)</t>
  </si>
  <si>
    <t>31 5/8 x 31 5/8" (80.3 x 80.3 cm)</t>
  </si>
  <si>
    <t>https://www.moma.org/collection/works/80381</t>
  </si>
  <si>
    <t>https://www.moma.org/media/W1siZiIsIjE1MTQ5NyJdLFsicCIsImNvbnZlcnQiLCItcmVzaXplIDEwMjR4MTAyNFx1MDAzZSJdXQ.jpg?sha=b5523724bfc0bf18</t>
  </si>
  <si>
    <t>Painterly Realism of a Boy with a Knapsack - Color Masses in the Fourth Dimension</t>
  </si>
  <si>
    <t>28 x 17 1/2" (71.1 x 44.5 cm)</t>
  </si>
  <si>
    <t>https://www.moma.org/collection/works/80383</t>
  </si>
  <si>
    <t>https://www.moma.org/media/W1siZiIsIjI0MjQ5NiJdLFsicCIsImNvbnZlcnQiLCItcmVzaXplIDEwMjR4MTAyNFx1MDAzZSJdXQ.jpg?sha=b53b299292efe4a3</t>
  </si>
  <si>
    <t>Suprematist Composition: White on White</t>
  </si>
  <si>
    <t>31 1/4 x 31 1/4" (79.4 x 79.4 cm)</t>
  </si>
  <si>
    <t>https://www.moma.org/collection/works/80385</t>
  </si>
  <si>
    <t>https://www.moma.org/media/W1siZiIsIjE3NDg0MCJdLFsicCIsImNvbnZlcnQiLCItcmVzaXplIDEwMjR4MTAyNFx1MDAzZSJdXQ.jpg?sha=bb652d024b3f1dfd</t>
  </si>
  <si>
    <t>Suprematist Painting</t>
  </si>
  <si>
    <t>38 1/2 x 26 1/8" (97.8 x 66.4 cm)</t>
  </si>
  <si>
    <t>https://www.moma.org/collection/works/80387</t>
  </si>
  <si>
    <t>https://www.moma.org/media/W1siZiIsIjE1MTUwMSJdLFsicCIsImNvbnZlcnQiLCItcmVzaXplIDEwMjR4MTAyNFx1MDAzZSJdXQ.jpg?sha=6e31940469bfe1b5</t>
  </si>
  <si>
    <t>Woman Plaiting Her Hair</t>
  </si>
  <si>
    <t>Paris, late summer or fall 1906</t>
  </si>
  <si>
    <t>https://www.moma.org/collection/works/80393</t>
  </si>
  <si>
    <t>https://www.moma.org/media/W1siZiIsIjE3OTUyNSJdLFsicCIsImNvbnZlcnQiLCItcmVzaXplIDEwMjR4MTAyNFx1MDAzZSJdXQ.jpg?sha=d7fe4af266c4e96d</t>
  </si>
  <si>
    <t>Woman with Pears</t>
  </si>
  <si>
    <t>Horta de San Joan, summer 1909</t>
  </si>
  <si>
    <t>36 1/4 x 27 7/8" (92.1 x 70.8 cm)</t>
  </si>
  <si>
    <t>https://www.moma.org/collection/works/80394</t>
  </si>
  <si>
    <t>https://www.moma.org/media/W1siZiIsIjE1MTUwNyJdLFsicCIsImNvbnZlcnQiLCItcmVzaXplIDEwMjR4MTAyNFx1MDAzZSJdXQ.jpg?sha=941aeba5af3fb8e7</t>
  </si>
  <si>
    <t>Girl at the Piano</t>
  </si>
  <si>
    <t>51 x 37 7/8" (129.2 x 96.4 cm)</t>
  </si>
  <si>
    <t>https://www.moma.org/collection/works/80412</t>
  </si>
  <si>
    <t>https://www.moma.org/media/W1siZiIsIjIwOTM0NSJdLFsicCIsImNvbnZlcnQiLCItcmVzaXplIDEwMjR4MTAyNFx1MDAzZSJdXQ.jpg?sha=88768caa2ecf93f8</t>
  </si>
  <si>
    <t>Girl with a Mandolin (Fanny Tellier)</t>
  </si>
  <si>
    <t>Paris, late spring 1910</t>
  </si>
  <si>
    <t>39 1/2 x 29" (100.3 x 73.6 cm)</t>
  </si>
  <si>
    <t>https://www.moma.org/collection/works/80430</t>
  </si>
  <si>
    <t>https://www.moma.org/media/W1siZiIsIjE1MTUzMyJdLFsicCIsImNvbnZlcnQiLCItcmVzaXplIDEwMjR4MTAyNFx1MDAzZSJdXQ.jpg?sha=c51732b468107af8</t>
  </si>
  <si>
    <t>Student with a Pipe</t>
  </si>
  <si>
    <t>Paris, autumn 1913–early 1914</t>
  </si>
  <si>
    <t>Oil, gouache, cut-and-pasted paper, gesso, sand, and charcoal on canvas</t>
  </si>
  <si>
    <t>28 3/4 x 23 1/8" (73 x 58.7 cm)</t>
  </si>
  <si>
    <t>https://www.moma.org/collection/works/80436</t>
  </si>
  <si>
    <t>https://www.moma.org/media/W1siZiIsIjE5NDg2MSJdLFsicCIsImNvbnZlcnQiLCItcmVzaXplIDEwMjR4MTAyNFx1MDAzZSJdXQ.jpg?sha=b7a41e75ab3ecb68</t>
  </si>
  <si>
    <t>Painted board</t>
  </si>
  <si>
    <t>Rayonism, Blue-Green Forest</t>
  </si>
  <si>
    <t>1913 (dated on reverse 1911)</t>
  </si>
  <si>
    <t>21 1/2 x 19 1/2" (54.6 x 49.5 cm)</t>
  </si>
  <si>
    <t>https://www.moma.org/collection/works/80480</t>
  </si>
  <si>
    <t>https://www.moma.org/media/W1siZiIsIjI2MTIyOCJdLFsicCIsImNvbnZlcnQiLCItcmVzaXplIDEwMjR4MTAyNFx1MDAzZSJdXQ.jpg?sha=767fd2583798facf</t>
  </si>
  <si>
    <t>27 3/8 x 24 1/4" (69.7 x 61.7 cm)</t>
  </si>
  <si>
    <t>https://www.moma.org/collection/works/80502</t>
  </si>
  <si>
    <t>https://www.moma.org/media/W1siZiIsIjI0MjU4OCJdLFsicCIsImNvbnZlcnQiLCItcmVzaXplIDEwMjR4MTAyNFx1MDAzZSJdXQ.jpg?sha=17dbff24e541dc62</t>
  </si>
  <si>
    <t>Samovar</t>
  </si>
  <si>
    <t>35 x 24 1/2" (88.5 x 62.2 cm)</t>
  </si>
  <si>
    <t>https://www.moma.org/collection/works/80504</t>
  </si>
  <si>
    <t>https://www.moma.org/media/W1siZiIsIjIzMjcxMiJdLFsicCIsImNvbnZlcnQiLCItcmVzaXplIDEwMjR4MTAyNFx1MDAzZSJdXQ.jpg?sha=d30e20746a3ecaba</t>
  </si>
  <si>
    <t>Marlow Moss</t>
  </si>
  <si>
    <t>Objects from a Dyer's Shop</t>
  </si>
  <si>
    <t>27 3/4 x 35" (71 x 89 cm)</t>
  </si>
  <si>
    <t>https://www.moma.org/collection/works/80521</t>
  </si>
  <si>
    <t>https://www.moma.org/media/W1siZiIsIjE1MDk1NCJdLFsicCIsImNvbnZlcnQiLCItcmVzaXplIDEwMjR4MTAyNFx1MDAzZSJdXQ.jpg?sha=d79e8b86a262acea</t>
  </si>
  <si>
    <t>Oil and metallic flakes on canvas</t>
  </si>
  <si>
    <t>19 1/2 x 25 1/4" (49.5 x 64.1 cm)</t>
  </si>
  <si>
    <t>https://www.moma.org/collection/works/80537</t>
  </si>
  <si>
    <t>https://www.moma.org/media/W1siZiIsIjQ5MDIwOSJdLFsicCIsImNvbnZlcnQiLCItcmVzaXplIDEwMjR4MTAyNFx1MDAzZSJdXQ.jpg?sha=1ddc491ca1df4ec1</t>
  </si>
  <si>
    <t>No. 5/No. 24</t>
  </si>
  <si>
    <t>34 x 50 1/4" (86.1 x 127.6 cm)</t>
  </si>
  <si>
    <t>https://www.moma.org/collection/works/80564</t>
  </si>
  <si>
    <t>https://www.moma.org/media/W1siZiIsIjE1MDk3MiJdLFsicCIsImNvbnZlcnQiLCItcmVzaXplIDEwMjR4MTAyNFx1MDAzZSJdXQ.jpg?sha=aaee8f08aac7c35b</t>
  </si>
  <si>
    <t>No. 1 (Untitled)</t>
  </si>
  <si>
    <t>8' 10 3/8" x 9' 9 1/4" (270.2 x 297.8 cm)</t>
  </si>
  <si>
    <t>https://www.moma.org/collection/works/80565</t>
  </si>
  <si>
    <t>https://www.moma.org/media/W1siZiIsIjE1MDk3MyJdLFsicCIsImNvbnZlcnQiLCItcmVzaXplIDEwMjR4MTAyNFx1MDAzZSJdXQ.jpg?sha=269f35dfa7dbcd95</t>
  </si>
  <si>
    <t>Untitled (Western Scene)</t>
  </si>
  <si>
    <t>c. 1930-33</t>
  </si>
  <si>
    <t>Oil and crayon on wooden cigar box</t>
  </si>
  <si>
    <t>6 1/2 x 9 1/8 x 2 3/4" (16.5 x 23.1 x  6.8 cm)</t>
  </si>
  <si>
    <t>https://www.moma.org/collection/works/80575</t>
  </si>
  <si>
    <t>https://www.moma.org/media/W1siZiIsIjU1MzA2NyJdLFsicCIsImNvbnZlcnQiLCItcmVzaXplIDEwMjR4MTAyNFx1MDAzZSJdXQ.jpg?sha=c15ebc5fc7291884</t>
  </si>
  <si>
    <t>The Duo</t>
  </si>
  <si>
    <t>Paris, winter 1914-15</t>
  </si>
  <si>
    <t>32 1/4 x 23 1/4" (81.9 x 59 cm)</t>
  </si>
  <si>
    <t>https://www.moma.org/collection/works/80588</t>
  </si>
  <si>
    <t>https://www.moma.org/media/W1siZiIsIjE1MDk5NCJdLFsicCIsImNvbnZlcnQiLCItcmVzaXplIDEwMjR4MTAyNFx1MDAzZSJdXQ.jpg?sha=9a0f4fd44725f543</t>
  </si>
  <si>
    <t>The Spring</t>
  </si>
  <si>
    <t>Saint Cloud, spring or summer 1912</t>
  </si>
  <si>
    <t>8' 2 1/4" x 8' 2 1/8" (249.6 x 249.3 cm)</t>
  </si>
  <si>
    <t>https://www.moma.org/collection/works/80658</t>
  </si>
  <si>
    <t>https://www.moma.org/media/W1siZiIsIjQ4MTgxMCJdLFsicCIsImNvbnZlcnQiLCItcmVzaXplIDEwMjR4MTAyNFx1MDAzZSJdXQ.jpg?sha=b71f9d228a57ecae</t>
  </si>
  <si>
    <t>La Rue des Bois or Paris, August or September 1908</t>
  </si>
  <si>
    <t>39 5/8 x 32" (100.8 x 81.3 cm)</t>
  </si>
  <si>
    <t>https://www.moma.org/collection/works/80660</t>
  </si>
  <si>
    <t>https://www.moma.org/media/W1siZiIsIjE1MTAyNyJdLFsicCIsImNvbnZlcnQiLCItcmVzaXplIDEwMjR4MTAyNFx1MDAzZSJdXQ.jpg?sha=b8625253d6d48767</t>
  </si>
  <si>
    <t>Dive Bomber and Tank</t>
  </si>
  <si>
    <t>Fresco, six panels</t>
  </si>
  <si>
    <t>Each 9' x 36" (275 x 91.4 cm), overall 9 x 18' (275 x 550 cm)</t>
  </si>
  <si>
    <t>https://www.moma.org/collection/works/80681</t>
  </si>
  <si>
    <t>https://www.moma.org/media/W1siZiIsIjE1OTE0NyJdLFsicCIsImNvbnZlcnQiLCItcmVzaXplIDEwMjR4MTAyNFx1MDAzZSJdXQ.jpg?sha=6b160e14f4be3b3a</t>
  </si>
  <si>
    <t>Leaves and Navels</t>
  </si>
  <si>
    <t>13 3/4 x 10 3/4" (35 x 27.3 cm)</t>
  </si>
  <si>
    <t>https://www.moma.org/collection/works/80686</t>
  </si>
  <si>
    <t>https://www.moma.org/media/W1siZiIsIjE3OTI2NiJdLFsicCIsImNvbnZlcnQiLCItcmVzaXplIDEwMjR4MTAyNFx1MDAzZSJdXQ.jpg?sha=6af16f18f38335a4</t>
  </si>
  <si>
    <t>Composition with Color Planes 5</t>
  </si>
  <si>
    <t>19 3/8 x 24 1/8" (49 x 61.2 cm)</t>
  </si>
  <si>
    <t>https://www.moma.org/collection/works/80692</t>
  </si>
  <si>
    <t>https://www.moma.org/media/W1siZiIsIjI5MjQ0MSJdLFsicCIsImNvbnZlcnQiLCItcmVzaXplIDEwMjR4MTAyNFx1MDAzZSJdXQ.jpg?sha=a05d1458a6013268</t>
  </si>
  <si>
    <t>Kali</t>
  </si>
  <si>
    <t>Bhupen Khakhar</t>
  </si>
  <si>
    <t>Enamel and metallic papers on plywood</t>
  </si>
  <si>
    <t>68 1/4 x 60" (173.3 x 152.2 cm)</t>
  </si>
  <si>
    <t>https://www.moma.org/collection/works/80703</t>
  </si>
  <si>
    <t>https://www.moma.org/media/W1siZiIsIjU0MTgyOCJdLFsicCIsImNvbnZlcnQiLCItcmVzaXplIDEwMjR4MTAyNFx1MDAzZSJdXQ.jpg?sha=75e968cd6cc9c327</t>
  </si>
  <si>
    <t>Painted balsa wood</t>
  </si>
  <si>
    <t>6' 2 1/2" x 11 5/8" x 11 3/4" (189.2 x 29.5 x 29.7 cm)</t>
  </si>
  <si>
    <t>https://www.moma.org/collection/works/80752</t>
  </si>
  <si>
    <t>https://www.moma.org/media/W1siZiIsIjUxNzYzNSJdLFsicCIsImNvbnZlcnQiLCItcmVzaXplIDEwMjR4MTAyNFx1MDAzZSJdXQ.jpg?sha=73425a3bba6b278b</t>
  </si>
  <si>
    <t>Fluorescent light and metal fixtures</t>
  </si>
  <si>
    <t>Plaster</t>
  </si>
  <si>
    <t>The Back (I)</t>
  </si>
  <si>
    <t>Paris, Couvent du Sacré Coeur, and Issy-les-Moulineaux, spring 1908-late 1909</t>
  </si>
  <si>
    <t>6' 2 3/8" x 44 1/2" x 6 1/2" (188.9 x 113 x 16.5 cm)</t>
  </si>
  <si>
    <t>https://www.moma.org/collection/works/80762</t>
  </si>
  <si>
    <t>https://www.moma.org/media/W1siZiIsIjE4NDI5OCJdLFsicCIsImNvbnZlcnQiLCItcmVzaXplIDEwMjR4MTAyNFx1MDAzZSJdXQ.jpg?sha=9dba69037cd99f19</t>
  </si>
  <si>
    <t>Marble</t>
  </si>
  <si>
    <t>The Back (III)</t>
  </si>
  <si>
    <t>Issy-les-Moulineaux, by May 13, 1913 - early fall 1916</t>
  </si>
  <si>
    <t>6' 2 1/2" x 44" x 6" (189.2 x 112.4 x 15.2 cm)</t>
  </si>
  <si>
    <t>https://www.moma.org/collection/works/80772</t>
  </si>
  <si>
    <t>https://www.moma.org/media/W1siZiIsIjE4NDM3OCJdLFsicCIsImNvbnZlcnQiLCItcmVzaXplIDEwMjR4MTAyNFx1MDAzZSJdXQ.jpg?sha=3f97575c145ad1cf</t>
  </si>
  <si>
    <t>The Back (IV)</t>
  </si>
  <si>
    <t>Nice, place Charles-Félix, c. 1931</t>
  </si>
  <si>
    <t>6' 2" x 44 1/4" x 6" (188 x 112.4 x 15.2 cm)</t>
  </si>
  <si>
    <t>https://www.moma.org/collection/works/80778</t>
  </si>
  <si>
    <t>https://www.moma.org/media/W1siZiIsIjE4NDQxMCJdLFsicCIsImNvbnZlcnQiLCItcmVzaXplIDEwMjR4MTAyNFx1MDAzZSJdXQ.jpg?sha=c793cdbae17e7827</t>
  </si>
  <si>
    <t>Jeannette (I)</t>
  </si>
  <si>
    <t>Issy-les-Moulineaux, January - March (?) 1910</t>
  </si>
  <si>
    <t>13 x 9 x 10" (33 x 22.8 x 25.5 cm)</t>
  </si>
  <si>
    <t>https://www.moma.org/collection/works/80785</t>
  </si>
  <si>
    <t>https://www.moma.org/media/W1siZiIsIjE2OTg5OSJdLFsicCIsImNvbnZlcnQiLCItcmVzaXplIDEwMjR4MTAyNFx1MDAzZSJdXQ.jpg?sha=910a6a7933a98cf2</t>
  </si>
  <si>
    <t>Barbara Hepworth</t>
  </si>
  <si>
    <t>Jeannette (III)</t>
  </si>
  <si>
    <t>Issy-les-Moulineaux, April - September 1910 or February - mid-July 1911</t>
  </si>
  <si>
    <t>23 3/4 x 10 1/4 x 11" (60.3 x 26 x 28 cm)</t>
  </si>
  <si>
    <t>https://www.moma.org/collection/works/80791</t>
  </si>
  <si>
    <t>https://www.moma.org/media/W1siZiIsIjE2OTkxMiJdLFsicCIsImNvbnZlcnQiLCItcmVzaXplIDEwMjR4MTAyNFx1MDAzZSJdXQ.jpg?sha=9ed71f5e843c794a</t>
  </si>
  <si>
    <t>Jeannette (IV)</t>
  </si>
  <si>
    <t>24 1/8 x 10 3/4 x 11 1/4" (61.3 x 27.4 x 28.7 cm)</t>
  </si>
  <si>
    <t>https://www.moma.org/collection/works/80798</t>
  </si>
  <si>
    <t>https://www.moma.org/media/W1siZiIsIjE2OTkxNSJdLFsicCIsImNvbnZlcnQiLCItcmVzaXplIDEwMjR4MTAyNFx1MDAzZSJdXQ.jpg?sha=e1834cc1a2c52bfc</t>
  </si>
  <si>
    <t>Jeannette (V)</t>
  </si>
  <si>
    <t>Issy-les-Moulineaux, summer 1916</t>
  </si>
  <si>
    <t>22 7/8 x 8 3/8 x 10 5/8" (58.1 x 21.3 x 27.1 cm)</t>
  </si>
  <si>
    <t>https://www.moma.org/collection/works/80801</t>
  </si>
  <si>
    <t>https://www.moma.org/media/W1siZiIsIjE2OTg1NCJdLFsicCIsImNvbnZlcnQiLCItcmVzaXplIDEwMjR4MTAyNFx1MDAzZSJdXQ.jpg?sha=520b88cde362c682</t>
  </si>
  <si>
    <t>Ebony</t>
  </si>
  <si>
    <t>36 x 11 x 11 1/4" (91.4 x 27.9 x 28.5 cm)</t>
  </si>
  <si>
    <t>https://www.moma.org/collection/works/80829</t>
  </si>
  <si>
    <t>https://www.moma.org/media/W1siZiIsIjE1NDA0OCJdLFsicCIsImNvbnZlcnQiLCItcmVzaXplIDEwMjR4MTAyNFx1MDAzZSJdXQ.jpg?sha=3e77966c01cfc393</t>
  </si>
  <si>
    <t>The Devil with Claws</t>
  </si>
  <si>
    <t>Bronze on stone base</t>
  </si>
  <si>
    <t>34 1/2 x 37 1/4 x 24 3/4" (87.5 x 94.5 x 62.9 cm) on stone base 31 x 33 5/8 x 19 3/8" (78.7 x 85.3 x 49.2 cm)</t>
  </si>
  <si>
    <t>https://www.moma.org/collection/works/80836</t>
  </si>
  <si>
    <t>https://www.moma.org/media/W1siZiIsIjQ2Njg3NCJdLFsicCIsImNvbnZlcnQiLCItcmVzaXplIDEwMjR4MTAyNFx1MDAzZSJdXQ.jpg?sha=293b54bc925c7abf</t>
  </si>
  <si>
    <t>Lead</t>
  </si>
  <si>
    <t>The Little Theater</t>
  </si>
  <si>
    <t>Wood and glass, painted</t>
  </si>
  <si>
    <t>12 3/4 x 16 3/4 x 12 1/4" (32.3 x 42.5 x 31.1 cm)</t>
  </si>
  <si>
    <t>https://www.moma.org/collection/works/80884</t>
  </si>
  <si>
    <t>https://www.moma.org/media/W1siZiIsIjE1OTIyNiJdLFsicCIsImNvbnZlcnQiLCItcmVzaXplIDEwMjR4MTAyNFx1MDAzZSJdXQ.jpg?sha=25623a7a6c03b7da</t>
  </si>
  <si>
    <t>Rope Piece</t>
  </si>
  <si>
    <t>Painted rope and wood</t>
  </si>
  <si>
    <t>18' 3" x 10" x 10" (556.2 x 25.5 x 25.5 cm)</t>
  </si>
  <si>
    <t>https://www.moma.org/collection/works/80898</t>
  </si>
  <si>
    <t>https://www.moma.org/media/W1siZiIsIjIxMDE3MSJdLFsicCIsImNvbnZlcnQiLCItcmVzaXplIDEwMjR4MTAyNFx1MDAzZSJdXQ.jpg?sha=2d99175557cc0382</t>
  </si>
  <si>
    <t>The Palace at 4 a.m.</t>
  </si>
  <si>
    <t>Wood, glass, wire, and string</t>
  </si>
  <si>
    <t>25 x 28 1/4 x 15 3/4" (63.5 x 71.8 x 40 cm)</t>
  </si>
  <si>
    <t>https://www.moma.org/collection/works/80928</t>
  </si>
  <si>
    <t>https://www.moma.org/media/W1siZiIsIjIyODA2OSJdLFsicCIsImNvbnZlcnQiLCItcmVzaXplIDEwMjR4MTAyNFx1MDAzZSJdXQ.jpg?sha=84105705d3f48ff3</t>
  </si>
  <si>
    <t>Burnt Piece</t>
  </si>
  <si>
    <t>Jackie Winsor</t>
  </si>
  <si>
    <t>Cement, burnt wood, and wire mesh</t>
  </si>
  <si>
    <t>33 7/8 x 34 x 34" (86.1 x 86.4 x 86.4 cm)</t>
  </si>
  <si>
    <t>https://www.moma.org/collection/works/80929</t>
  </si>
  <si>
    <t>https://www.moma.org/media/W1siZiIsIjIxMDIzMCJdLFsicCIsImNvbnZlcnQiLCItcmVzaXplIDEwMjR4MTAyNFx1MDAzZSJdXQ.jpg?sha=55ce1fd80375447d</t>
  </si>
  <si>
    <t>Paris, January–February 1914</t>
  </si>
  <si>
    <t>Ferrous sheet metal and wire</t>
  </si>
  <si>
    <t>30 1/2 x 13 3/4 x 7 5/8" (77.5 x 35 x 19.3 cm)</t>
  </si>
  <si>
    <t>https://www.moma.org/collection/works/80934</t>
  </si>
  <si>
    <t>https://www.moma.org/media/W1siZiIsIjE5NDkxNyJdLFsicCIsImNvbnZlcnQiLCItcmVzaXplIDEwMjR4MTAyNFx1MDAzZSJdXQ.jpg?sha=982b7920fbd8fd56</t>
  </si>
  <si>
    <t>Cast iron and steel</t>
  </si>
  <si>
    <t>19 3/4 x 9 5/8 x 7 1/2" (50.2 x 24.5 x 19.1 cm)</t>
  </si>
  <si>
    <t>https://www.moma.org/collection/works/80953</t>
  </si>
  <si>
    <t>https://www.moma.org/media/W1siZiIsIjUzNjc3MSJdLFsicCIsImNvbnZlcnQiLCItcmVzaXplIDEwMjR4MTAyNFx1MDAzZSJdXQ.jpg?sha=dffd9fb6b57ded4f</t>
  </si>
  <si>
    <t>untitled</t>
  </si>
  <si>
    <t>25 x 25 x 5 3/4" (63.5 x 63.5 x 14.6 cm)</t>
  </si>
  <si>
    <t>https://www.moma.org/collection/works/80966</t>
  </si>
  <si>
    <t>https://www.moma.org/media/W1siZiIsIjIwMjM3MyJdLFsicCIsImNvbnZlcnQiLCItcmVzaXplIDEwMjR4MTAyNFx1MDAzZSJdXQ.jpg?sha=a325317d3e3dbf1b</t>
  </si>
  <si>
    <t>Limestone</t>
  </si>
  <si>
    <t>Paris, 1936</t>
  </si>
  <si>
    <t>Fur-covered cup, saucer, and spoon</t>
  </si>
  <si>
    <t>Cup 4 3/8" (10.9 cm) in diameter; saucer 9 3/8" (23.7 cm) in diameter; spoon 8" (20.2 cm) long, overall height 2 7/8" (7.3 cm)</t>
  </si>
  <si>
    <t>https://www.moma.org/collection/works/80997</t>
  </si>
  <si>
    <t>https://www.moma.org/media/W1siZiIsIjM0NzQ2NiJdLFsicCIsImNvbnZlcnQiLCItcmVzaXplIDEwMjR4MTAyNFx1MDAzZSJdXQ.jpg?sha=2dde6f68e1640d55</t>
  </si>
  <si>
    <t>Sky Cathedral</t>
  </si>
  <si>
    <t>11' 3 1/2" x 10' 1/4" x 18" (343.9 x 305.4 x 45.7 cm)</t>
  </si>
  <si>
    <t>https://www.moma.org/collection/works/81006</t>
  </si>
  <si>
    <t>https://www.moma.org/media/W1siZiIsIjIwMjExNiJdLFsicCIsImNvbnZlcnQiLCItcmVzaXplIDEwMjR4MTAyNFx1MDAzZSJdXQ.jpg?sha=49002ea4954766d1</t>
  </si>
  <si>
    <t>Maiastra</t>
  </si>
  <si>
    <t>1910-12</t>
  </si>
  <si>
    <t>White marble 22" (55.9 cm) high, on three-part limestone pedestal 70" (177.8 cm) high, of which the middle section is Double Caryatid, c. 1908</t>
  </si>
  <si>
    <t>https://www.moma.org/collection/works/81018</t>
  </si>
  <si>
    <t>https://www.moma.org/media/W1siZiIsIjIyMTYzMyJdLFsicCIsImNvbnZlcnQiLCItcmVzaXplIDEwMjR4MTAyNFx1MDAzZSJdXQ.jpg?sha=971ac94130261406</t>
  </si>
  <si>
    <t>36 1/4" (92.1 cm) high, at base 16 3/8 x 16 7/8"  (41.6 x 42.9 cm)</t>
  </si>
  <si>
    <t>https://www.moma.org/collection/works/81021</t>
  </si>
  <si>
    <t>https://www.moma.org/media/W1siZiIsIjIwODMwOSJdLFsicCIsImNvbnZlcnQiLCItcmVzaXplIDEwMjR4MTAyNFx1MDAzZSJdXQ.jpg?sha=4555e89ecb95f9c9</t>
  </si>
  <si>
    <t>Granite</t>
  </si>
  <si>
    <t>Monument</t>
  </si>
  <si>
    <t>New York, 1972</t>
  </si>
  <si>
    <t>Cor-Ten steel</t>
  </si>
  <si>
    <t>12' 11 5/8" x 58 3/4" x 10' 5 3/4" (395.3 x 149.2 x 319.3 cm) including base</t>
  </si>
  <si>
    <t>https://www.moma.org/collection/works/81031</t>
  </si>
  <si>
    <t>https://www.moma.org/media/W1siZiIsIjE2NTQ1MiJdLFsicCIsImNvbnZlcnQiLCItcmVzaXplIDEwMjR4MTAyNFx1MDAzZSJdXQ.jpg?sha=7b0b30fbb5cae527</t>
  </si>
  <si>
    <t>Bird in Space</t>
  </si>
  <si>
    <t>54 x 8 1/2 x 6 1/2" (137.2 x 21.6 x 16.5 cm)</t>
  </si>
  <si>
    <t>https://www.moma.org/collection/works/81033</t>
  </si>
  <si>
    <t>https://www.moma.org/media/W1siZiIsIjE0OTgzMSJdLFsicCIsImNvbnZlcnQiLCItcmVzaXplIDEwMjR4MTAyNFx1MDAzZSJdXQ.jpg?sha=9bad0a7255a2fbf1</t>
  </si>
  <si>
    <t>Tiari</t>
  </si>
  <si>
    <t>Nice, summer 1930</t>
  </si>
  <si>
    <t>8 x 5 5/8 x 7 3/8" (20.3 x 14.4 x 18.9 cm)</t>
  </si>
  <si>
    <t>https://www.moma.org/collection/works/81037</t>
  </si>
  <si>
    <t>https://www.moma.org/media/W1siZiIsIjIwODMyNiJdLFsicCIsImNvbnZlcnQiLCItcmVzaXplIDEwMjR4MTAyNFx1MDAzZSJdXQ.jpg?sha=79013207857c5ed4</t>
  </si>
  <si>
    <t>Painted aluminum</t>
  </si>
  <si>
    <t>Spatial Construction no. 12</t>
  </si>
  <si>
    <t>Plywood, open construction partially painted with aluminum paint, and wire</t>
  </si>
  <si>
    <t>24 x 33 x 18 1/2" (61 x 83.7 x 47 cm)</t>
  </si>
  <si>
    <t>https://www.moma.org/collection/works/81043</t>
  </si>
  <si>
    <t>https://www.moma.org/media/W1siZiIsIjIxMDQ5MyJdLFsicCIsImNvbnZlcnQiLCItcmVzaXplIDEwMjR4MTAyNFx1MDAzZSJdXQ.jpg?sha=5829a904222d8c0d</t>
  </si>
  <si>
    <t>Nile Born</t>
  </si>
  <si>
    <t>Sand and binder on wood</t>
  </si>
  <si>
    <t>2 3/4 x 19 1/4 x 61 1/2" (7 x 48.9 x 156.2 cm)</t>
  </si>
  <si>
    <t>https://www.moma.org/collection/works/81059</t>
  </si>
  <si>
    <t>https://www.moma.org/media/W1siZiIsIjIxMDUzNiJdLFsicCIsImNvbnZlcnQiLCItcmVzaXplIDEwMjR4MTAyNFx1MDAzZSJdXQ.jpg?sha=6416dcb5026f6e97</t>
  </si>
  <si>
    <t>Reclining Nude with Guitar</t>
  </si>
  <si>
    <t>16 3/8 x 27 5/8 x 13 1/2" (41.6 x 70.3 x 34.3 cm) including base</t>
  </si>
  <si>
    <t>https://www.moma.org/collection/works/81083</t>
  </si>
  <si>
    <t>https://www.moma.org/media/W1siZiIsIjIwODQxNiJdLFsicCIsImNvbnZlcnQiLCItcmVzaXplIDEwMjR4MTAyNFx1MDAzZSJdXQ.jpg?sha=35c57ce46f055cc7</t>
  </si>
  <si>
    <t>James Turrell</t>
  </si>
  <si>
    <t>Socrates</t>
  </si>
  <si>
    <t>Oak 43 3/4 x 11 3/8 x 14 1/2" (111 x 28.8 x 36.8 cm), on oak footing 7 1/2 x 9 3/4 x 10 5/8" (18.8 x 24.6 x 27 cm), overall 51 1/4" (130 cm) high. Limestone cylinder, 11 7/8" (30.2 cm) high</t>
  </si>
  <si>
    <t>43 3/4 × 11 3/8 × 14 1/2" (111.1 × 28.9 × 36.8 cm)_x000D_
Other: 7 × 9 3/4 × 10 5/8" (17.8 × 24.8 × 27 cm)_x000D_
Other: 50 3/4" (128.9 cm)_x000D_
Other (including base weight): 370.2 lb. (167.9 kg)</t>
  </si>
  <si>
    <t>https://www.moma.org/collection/works/81093</t>
  </si>
  <si>
    <t>https://www.moma.org/media/W1siZiIsIjIyODY0NyJdLFsicCIsImNvbnZlcnQiLCItcmVzaXplIDEwMjR4MTAyNFx1MDAzZSJdXQ.jpg?sha=448dc5fb00ccef8a</t>
  </si>
  <si>
    <t>The Rape of Europa, II</t>
  </si>
  <si>
    <t>15 1/4 x 23 1/8 x 12 3/4" (38.7 x 58.7 x 31.9 cm)</t>
  </si>
  <si>
    <t>https://www.moma.org/collection/works/81111</t>
  </si>
  <si>
    <t>https://www.moma.org/media/W1siZiIsIjUxNzQ1OSJdLFsicCIsImNvbnZlcnQiLCItcmVzaXplIDEwMjR4MTAyNFx1MDAzZSJdXQ.jpg?sha=7d0e82985f0e13c9</t>
  </si>
  <si>
    <t>Kwannon</t>
  </si>
  <si>
    <t>Welded bronze</t>
  </si>
  <si>
    <t>6' 1/2" x 43" x 29" (184.2 x 109.2 x 73.7 cm)</t>
  </si>
  <si>
    <t>https://www.moma.org/collection/works/81118</t>
  </si>
  <si>
    <t>https://www.moma.org/media/W1siZiIsIjIwODQ1NyJdLFsicCIsImNvbnZlcnQiLCItcmVzaXplIDEwMjR4MTAyNFx1MDAzZSJdXQ.jpg?sha=acd498e84269573a</t>
  </si>
  <si>
    <t>Fragment from Homage to New York</t>
  </si>
  <si>
    <t>Painted metal, fabric, tape, wood, and rubber tires</t>
  </si>
  <si>
    <t>6' 8 1/4" x 29 5/8" x 7' 3 7/8" (203.7 x 75.1 x 223.2 cm)</t>
  </si>
  <si>
    <t>https://www.moma.org/collection/works/81174</t>
  </si>
  <si>
    <t>https://www.moma.org/media/W1siZiIsIjIxMDc3NiJdLFsicCIsImNvbnZlcnQiLCItcmVzaXplIDEwMjR4MTAyNFx1MDAzZSJdXQ.jpg?sha=a45374c5046f8955</t>
  </si>
  <si>
    <t>Development of a Bottle in Space</t>
  </si>
  <si>
    <t>1912 (cast 1931)</t>
  </si>
  <si>
    <t>Silvered bronze</t>
  </si>
  <si>
    <t>15 x 23 3/4 x 12 7/8" (38.1 x 60.3 x 32.7 cm)</t>
  </si>
  <si>
    <t>https://www.moma.org/collection/works/81178</t>
  </si>
  <si>
    <t>https://www.moma.org/media/W1siZiIsIjIxMDc4OCJdLFsicCIsImNvbnZlcnQiLCItcmVzaXplIDEwMjR4MTAyNFx1MDAzZSJdXQ.jpg?sha=c12d893fcba990cb</t>
  </si>
  <si>
    <t>The Back (II)</t>
  </si>
  <si>
    <t>Issy-les-Moulineaux, 1911 (?) - early March or April 1913</t>
  </si>
  <si>
    <t>6' 2 1/4" x 47 5/8" x 6" (188.5 x 121 x 15.2 cm)</t>
  </si>
  <si>
    <t>https://www.moma.org/collection/works/81190</t>
  </si>
  <si>
    <t>https://www.moma.org/media/W1siZiIsIjE4NDE4OCJdLFsicCIsImNvbnZlcnQiLCItcmVzaXplIDEwMjR4MTAyNFx1MDAzZSJdXQ.jpg?sha=bac444fde9ca184b</t>
  </si>
  <si>
    <t>Sculpture 23</t>
  </si>
  <si>
    <t>18 7/8 x 7 3/4 x 8 1/2" (48 x 19.7 x 21.5 cm)</t>
  </si>
  <si>
    <t>https://www.moma.org/collection/works/81202</t>
  </si>
  <si>
    <t>https://www.moma.org/media/W1siZiIsIjIyODk5NyJdLFsicCIsImNvbnZlcnQiLCItcmVzaXplIDEwMjR4MTAyNFx1MDAzZSJdXQ.jpg?sha=9247d1dd062eb7ce</t>
  </si>
  <si>
    <t>Indestructible Object (or Object to Be Destroyed)</t>
  </si>
  <si>
    <t>1964 (replica of 1923 original)</t>
  </si>
  <si>
    <t>Metronome with cutout photograph of eye on pendulum</t>
  </si>
  <si>
    <t>8 7/8 x 4 3/8 x 4 5/8" (22.5 x 11 x 11.6 cm)</t>
  </si>
  <si>
    <t>https://www.moma.org/collection/works/81209</t>
  </si>
  <si>
    <t>https://www.moma.org/media/W1siZiIsIjIxMDg3OSJdLFsicCIsImNvbnZlcnQiLCItcmVzaXplIDEwMjR4MTAyNFx1MDAzZSJdXQ.jpg?sha=499f8969e6c517df</t>
  </si>
  <si>
    <t>Torso, Self-Portrait</t>
  </si>
  <si>
    <t>24 3/4 x 16 x 7 1/8" (62.3 x 40.5 x 18.8 cm)</t>
  </si>
  <si>
    <t>https://www.moma.org/collection/works/81213</t>
  </si>
  <si>
    <t>https://www.moma.org/media/W1siZiIsIjUyMTQyNyJdLFsicCIsImNvbnZlcnQiLCItcmVzaXplIDEwMjR4MTAyNFx1MDAzZSJdXQ.jpg?sha=ee41bcac5ed64b01</t>
  </si>
  <si>
    <t>Helmet Head Number 1</t>
  </si>
  <si>
    <t>13 x 10 1/8 x 9 3/4" (33 x 25.8 x 24.8 cm), on marble base 2 1/4 x 14 1/8 x 12" (5.7 x 35.7 x  30.3 cm)</t>
  </si>
  <si>
    <t>https://www.moma.org/collection/works/81223</t>
  </si>
  <si>
    <t>https://www.moma.org/media/W1siZiIsIjIwODYyNCJdLFsicCIsImNvbnZlcnQiLCItcmVzaXplIDEwMjR4MTAyNFx1MDAzZSJdXQ.jpg?sha=66ef8ea8cf21feea</t>
  </si>
  <si>
    <t>49 1/8 x 34 3/8" (124.8 x 87.3 cm), base 37 1/4" (94.4 cm) in diameter</t>
  </si>
  <si>
    <t>https://www.moma.org/collection/works/81225</t>
  </si>
  <si>
    <t>https://www.moma.org/media/W1siZiIsIjQ4NDg1OCJdLFsicCIsImNvbnZlcnQiLCItcmVzaXplIDEwMjR4MTAyNFx1MDAzZSJdXQ.jpg?sha=5af729ccc451ed60</t>
  </si>
  <si>
    <t>Relief Construction</t>
  </si>
  <si>
    <t>Montroig, August-November 1930</t>
  </si>
  <si>
    <t xml:space="preserve">Oil on wood, nails, staples, and metal on wood panel_x000D_
</t>
  </si>
  <si>
    <t>35 7/8 x 27 5/8 x 6 3/8" (91.1 x 70.2 x 16.2 cm)</t>
  </si>
  <si>
    <t>https://www.moma.org/collection/works/81232</t>
  </si>
  <si>
    <t>https://www.moma.org/media/W1siZiIsIjE2NTgwMCJdLFsicCIsImNvbnZlcnQiLCItcmVzaXplIDEwMjR4MTAyNFx1MDAzZSJdXQ.jpg?sha=5d60204d1f02d88f</t>
  </si>
  <si>
    <t>Man in the Open Air</t>
  </si>
  <si>
    <t>54 1/2" (138.4 cm) high, 11 3/4 x 21 1/2" (29.9 x 54.6 cm) at base</t>
  </si>
  <si>
    <t>https://www.moma.org/collection/works/81233</t>
  </si>
  <si>
    <t>https://www.moma.org/media/W1siZiIsIjIxMDkxMiJdLFsicCIsImNvbnZlcnQiLCItcmVzaXplIDEwMjR4MTAyNFx1MDAzZSJdXQ.jpg?sha=bd16db900f957f90</t>
  </si>
  <si>
    <t>Painted bronze</t>
  </si>
  <si>
    <t>Painted wood construction</t>
  </si>
  <si>
    <t>20 x 18 1/4" (50.8 x 46.3 cm)</t>
  </si>
  <si>
    <t>https://www.moma.org/collection/works/81242</t>
  </si>
  <si>
    <t>https://www.moma.org/media/W1siZiIsIjIxMDkyNyJdLFsicCIsImNvbnZlcnQiLCItcmVzaXplIDEwMjR4MTAyNFx1MDAzZSJdXQ.jpg?sha=3edb49d80c8acd49</t>
  </si>
  <si>
    <t>Medal for Dishonor: Death by Gas</t>
  </si>
  <si>
    <t>10 3/8 × 11 3/8 × 1 1/4" (26.4 × 28.9 × 3.2 cm)</t>
  </si>
  <si>
    <t>https://www.moma.org/collection/works/81253</t>
  </si>
  <si>
    <t>https://www.moma.org/media/W1siZiIsIjI0NjM2MCJdLFsicCIsImNvbnZlcnQiLCItcmVzaXplIDEwMjR4MTAyNFx1MDAzZSJdXQ.jpg?sha=047bbef5c626e409</t>
  </si>
  <si>
    <t>Goat Skull and Bottle</t>
  </si>
  <si>
    <t>Vallauris, 1951 (cast 1954)</t>
  </si>
  <si>
    <t>31 x 37 5/8 x 21 1/2" (78.8 x 95.3 x 54.5 cm)</t>
  </si>
  <si>
    <t>https://www.moma.org/collection/works/81268</t>
  </si>
  <si>
    <t>https://www.moma.org/media/W1siZiIsIjMwODMyMCJdLFsicCIsImNvbnZlcnQiLCItcmVzaXplIDEwMjR4MTAyNFx1MDAzZSJdXQ.jpg?sha=a2bc1c6794a0763b</t>
  </si>
  <si>
    <t>Acrylic gesso on wood beam with wood-and-iron wheels and concrete</t>
  </si>
  <si>
    <t>6' 6" x 17 1/8" x 10 1/4" (198.1 x 43.5 x 26 cm)</t>
  </si>
  <si>
    <t>https://www.moma.org/collection/works/81295</t>
  </si>
  <si>
    <t>https://www.moma.org/media/W1siZiIsIjIyMTY2OCJdLFsicCIsImNvbnZlcnQiLCItcmVzaXplIDEwMjR4MTAyNFx1MDAzZSJdXQ.jpg?sha=6d79df4a2e064c72</t>
  </si>
  <si>
    <t>Glass of Absinthe</t>
  </si>
  <si>
    <t>Paris, spring 1914</t>
  </si>
  <si>
    <t>Painted bronze with absinthe spoon</t>
  </si>
  <si>
    <t>8 1/2 x 6 1/2 x 3 3/8" (21.6 x 16.4 x 8.5 cm), diameter at base 2 1/2" (6.4 cm)</t>
  </si>
  <si>
    <t>https://www.moma.org/collection/works/81307</t>
  </si>
  <si>
    <t>https://www.moma.org/media/W1siZiIsIjMxMTkwMyJdLFsicCIsImNvbnZlcnQiLCItcmVzaXplIDEwMjR4MTAyNFx1MDAzZSJdXQ.jpg?sha=ccf982bc27f3d711</t>
  </si>
  <si>
    <t>Media and Performance</t>
  </si>
  <si>
    <t>Retrospective Bust of a Woman</t>
  </si>
  <si>
    <t>1933 (some elements reconstructed 1970)</t>
  </si>
  <si>
    <t>Painted porcelain, bread, corn, feathers, paint on paper, beads, ink stand, sand, and two pens</t>
  </si>
  <si>
    <t>29 x 27 1/4 x 12 5/8" (73.9 x 69.2 x 32 cm)</t>
  </si>
  <si>
    <t>https://www.moma.org/collection/works/81329</t>
  </si>
  <si>
    <t>https://www.moma.org/media/W1siZiIsIjIxMTAxNiJdLFsicCIsImNvbnZlcnQiLCItcmVzaXplIDEwMjR4MTAyNFx1MDAzZSJdXQ.jpg?sha=61e96dbbfd189553</t>
  </si>
  <si>
    <t>Cai Guo-Qiang</t>
  </si>
  <si>
    <t>1960-62</t>
  </si>
  <si>
    <t>19 1/8 x 12 3/8 x 9 1/8" (48.6 x 31.4 x 23.2 cm)</t>
  </si>
  <si>
    <t>https://www.moma.org/collection/works/81368</t>
  </si>
  <si>
    <t>https://www.moma.org/media/W1siZiIsIjIwODc3NSJdLFsicCIsImNvbnZlcnQiLCItcmVzaXplIDEwMjR4MTAyNFx1MDAzZSJdXQ.jpg?sha=172bd83d341c1ab2</t>
  </si>
  <si>
    <t>Pregnant</t>
  </si>
  <si>
    <t>Birch branches, wire and fabric, twenty-three parts</t>
  </si>
  <si>
    <t>Two bundles, 21 1/2 x 69 1/2 x 22" (54.6 x 176.5 x  55.8 cm) and 21" x 7'8" x 22 1/2" (53.3 x 233.8 x  57.1 cm); twenty-one bundles ranging from 16 1/2 (41.9 cm) to 71" (180.3 cm) in length</t>
  </si>
  <si>
    <t>https://www.moma.org/collection/works/81370</t>
  </si>
  <si>
    <t>https://www.moma.org/media/W1siZiIsIjQyNjc5OSJdLFsicCIsImNvbnZlcnQiLCItcmVzaXplIDEwMjR4MTAyNFx1MDAzZSJdXQ.jpg?sha=59979176759ea8c8</t>
  </si>
  <si>
    <t>Daphne</t>
  </si>
  <si>
    <t>56 1/2 × 11 7/8 × 9 7/8" (143.5 × 30.2 × 25.1 cm)</t>
  </si>
  <si>
    <t>https://www.moma.org/collection/works/81372</t>
  </si>
  <si>
    <t>https://www.moma.org/media/W1siZiIsIjQzMTIzNSJdLFsicCIsImNvbnZlcnQiLCItcmVzaXplIDEwMjR4MTAyNFx1MDAzZSJdXQ.jpg?sha=5aa1e0e184264fb2</t>
  </si>
  <si>
    <t>Lynda Benglis</t>
  </si>
  <si>
    <t>Jeannette (II)</t>
  </si>
  <si>
    <t>10 3/8 x 8 1/4 x 9 5/8" (26.2 x 21 x 24.5 cm)</t>
  </si>
  <si>
    <t>https://www.moma.org/collection/works/81412</t>
  </si>
  <si>
    <t>https://www.moma.org/media/W1siZiIsIjE2OTg3NCJdLFsicCIsImNvbnZlcnQiLCItcmVzaXplIDEwMjR4MTAyNFx1MDAzZSJdXQ.jpg?sha=b81bffabccb2a3ce</t>
  </si>
  <si>
    <t>Red Tights with Fragment 9</t>
  </si>
  <si>
    <t>Muslin soaked in plaster over wire frame, painted with enamel</t>
  </si>
  <si>
    <t>69 5/8 x 34 1/4 x 8 3/4" (176.7 x 87 x 22.2 cm)</t>
  </si>
  <si>
    <t>https://www.moma.org/collection/works/81419</t>
  </si>
  <si>
    <t>https://www.moma.org/media/W1siZiIsIjIxMTIzMCJdLFsicCIsImNvbnZlcnQiLCItcmVzaXplIDEwMjR4MTAyNFx1MDAzZSJdXQ.jpg?sha=df28ebd8669de869</t>
  </si>
  <si>
    <t>Granite Bench</t>
  </si>
  <si>
    <t>17 3/4 x 48 x 21" (45.1 x 121.8 x 53.3 cm)</t>
  </si>
  <si>
    <t>https://www.moma.org/collection/works/81424</t>
  </si>
  <si>
    <t>https://www.moma.org/media/W1siZiIsIjE2NTQ3NiJdLFsicCIsImNvbnZlcnQiLCItcmVzaXplIDEwMjR4MTAyNFx1MDAzZSJdXQ.jpg?sha=bdd0fec27befdb8a</t>
  </si>
  <si>
    <t>Cubic-Modular Wall Structure, Black</t>
  </si>
  <si>
    <t>43 1/2 x 43 1/2 x 9 3/8" (110.3 x 110.2 x 23.7 cm)</t>
  </si>
  <si>
    <t>https://www.moma.org/collection/works/81428</t>
  </si>
  <si>
    <t>https://www.moma.org/media/W1siZiIsIjUyNjc1NiJdLFsicCIsImNvbnZlcnQiLCItcmVzaXplIDEwMjR4MTAyNFx1MDAzZSJdXQ.jpg?sha=0b81b526eef04a40</t>
  </si>
  <si>
    <t>Rotary Demisphere (Precision Optics)</t>
  </si>
  <si>
    <t>Paris, 1925</t>
  </si>
  <si>
    <t>Painted papier-mâché demisphere fitted on velvet-covered disk, copper collar with plexiglass dome, motor, pulley, and metal stand</t>
  </si>
  <si>
    <t>58 1/2 x 25 1/4 x 24" (148.6 x 64.2 x 60.9 cm)</t>
  </si>
  <si>
    <t>https://www.moma.org/collection/works/81432</t>
  </si>
  <si>
    <t>https://www.moma.org/media/W1siZiIsIjExMTI5MiJdLFsicCIsImNvbnZlcnQiLCItcmVzaXplIDEwMjR4MTAyNFx1MDAzZSJdXQ.jpg?sha=93c42feb160a9a6e</t>
  </si>
  <si>
    <t>Welded steel, canvas, fabric, rawhide, copper wire, and soot</t>
  </si>
  <si>
    <t>6' 8 1/4" x 7' 5" x 34 3/4" (203.6 x 226 x 88 cm)</t>
  </si>
  <si>
    <t>https://www.moma.org/collection/works/81442</t>
  </si>
  <si>
    <t>https://www.moma.org/media/W1siZiIsIjE4NDI1MSJdLFsicCIsImNvbnZlcnQiLCItcmVzaXplIDEwMjR4MTAyNFx1MDAzZSJdXQ.jpg?sha=d5833f7192075166</t>
  </si>
  <si>
    <t>Marisa Merz</t>
  </si>
  <si>
    <t>Taglioni's Jewel Casket</t>
  </si>
  <si>
    <t>Velvet-lined wooden box containing glass necklace, jewelry fragments, glass chips, and glass cubes resting in slots on glass</t>
  </si>
  <si>
    <t>4 3/4 x 11 7/8 x 8 1/4" (12 x 30.2 x 21 cm)</t>
  </si>
  <si>
    <t>https://www.moma.org/collection/works/81493</t>
  </si>
  <si>
    <t>https://www.moma.org/media/W1siZiIsIjIxMTQ5NSJdLFsicCIsImNvbnZlcnQiLCItcmVzaXplIDEwMjR4MTAyNFx1MDAzZSJdXQ.jpg?sha=fa7c39e1568d0320</t>
  </si>
  <si>
    <t>Quarantania, III</t>
  </si>
  <si>
    <t>Young Bird</t>
  </si>
  <si>
    <t>Bronze 16 x 8 1/4 x 12" (40.5 x 21 x 30.4 cm), on a two-part pedestal of limestone 9 1/4" (23.5 cm) high, and oak 23 3/4" (60.3 cm) high (carved by the artist)</t>
  </si>
  <si>
    <t>16 × 8 1/4 × 12" (40.6 × 21 × 30.5 cm)_x000D_
Other (stone): 9 1/4" (23.5 cm)_x000D_
Pedestal (overall): 36 × 13 1/2 × 14" (91.4 × 34.3 × 35.6 cm)</t>
  </si>
  <si>
    <t>https://www.moma.org/collection/works/81505</t>
  </si>
  <si>
    <t>https://www.moma.org/media/W1siZiIsIjIyOTkwNiJdLFsicCIsImNvbnZlcnQiLCItcmVzaXplIDEwMjR4MTAyNFx1MDAzZSJdXQ.jpg?sha=bcfe48ae6c52a3d3</t>
  </si>
  <si>
    <t>1936 (cast 1951)</t>
  </si>
  <si>
    <t>14 1/2 x 11 1/4 x 13" (36.8 x 28.6 x 33 cm)</t>
  </si>
  <si>
    <t>https://www.moma.org/collection/works/81517</t>
  </si>
  <si>
    <t>https://www.moma.org/media/W1siZiIsIjIwOTAyNiJdLFsicCIsImNvbnZlcnQiLCItcmVzaXplIDEwMjR4MTAyNFx1MDAzZSJdXQ.jpg?sha=3eb2db651d7279c1</t>
  </si>
  <si>
    <t>38 1/4 x 10 1/2 x 7 3/4" (97.2 x 26.7 x 19.5 cm)</t>
  </si>
  <si>
    <t>https://www.moma.org/collection/works/81524</t>
  </si>
  <si>
    <t>https://www.moma.org/media/W1siZiIsIjUxNzgwNyJdLFsicCIsImNvbnZlcnQiLCItcmVzaXplIDEwMjR4MTAyNFx1MDAzZSJdXQ.jpg?sha=c039c966c1f1dad4</t>
  </si>
  <si>
    <t>Construction of Volume Relations</t>
  </si>
  <si>
    <t xml:space="preserve">16 1/8 x 5 5/8 x 5 3/4" (41 x 14.4 x 14.5 cm)_x000D_
</t>
  </si>
  <si>
    <t>https://www.moma.org/collection/works/81525</t>
  </si>
  <si>
    <t>https://www.moma.org/media/W1siZiIsIjI0MjU5MiJdLFsicCIsImNvbnZlcnQiLCItcmVzaXplIDEwMjR4MTAyNFx1MDAzZSJdXQ.jpg?sha=4b60727a049399a6</t>
  </si>
  <si>
    <t>The Road; The Shadow; Too Long, Too Narrow</t>
  </si>
  <si>
    <t>Bronze and wood</t>
  </si>
  <si>
    <t>56 1/2 x 71 3/4 x 23 3/8" (143.4 x 179.7 x 59.4 cm)</t>
  </si>
  <si>
    <t>https://www.moma.org/collection/works/81604</t>
  </si>
  <si>
    <t>https://www.moma.org/media/W1siZiIsIjIwOTEwNSJdLFsicCIsImNvbnZlcnQiLCItcmVzaXplIDEwMjR4MTAyNFx1MDAzZSJdXQ.jpg?sha=190efe60917121d9</t>
  </si>
  <si>
    <t>Five Feet of Colorful Tools</t>
  </si>
  <si>
    <t>Oil on canvas surmounted by a board on which painted tools hang from hooks</t>
  </si>
  <si>
    <t>55 5/8 x 60 1/4 x 4 3/8" (141.2 x 152.9 x 11 cm)</t>
  </si>
  <si>
    <t>https://www.moma.org/collection/works/81620</t>
  </si>
  <si>
    <t>https://www.moma.org/media/W1siZiIsIjE1OTEzMiJdLFsicCIsImNvbnZlcnQiLCItcmVzaXplIDEwMjR4MTAyNFx1MDAzZSJdXQ.jpg?sha=6df89c2a11a416bc</t>
  </si>
  <si>
    <t>Bicycle Wheel</t>
  </si>
  <si>
    <t>New York, 1951 (third version, after lost original of 1913)</t>
  </si>
  <si>
    <t>Metal wheel mounted on painted wood stool</t>
  </si>
  <si>
    <t>51 x 25 x 16 1/2" (129.5 x 63.5 x 41.9 cm)</t>
  </si>
  <si>
    <t>https://www.moma.org/collection/works/81631</t>
  </si>
  <si>
    <t>https://www.moma.org/media/W1siZiIsIjE2NTQ4MyJdLFsicCIsImNvbnZlcnQiLCItcmVzaXplIDEwMjR4MTAyNFx1MDAzZSJdXQ.jpg?sha=0d70070ba05bfb22</t>
  </si>
  <si>
    <t>Head of a Man on a Rod</t>
  </si>
  <si>
    <t>23 1/2" (59.7 cm) high, including bronze base 6 3/8 x 5 7/8 x 6" (16.0 x 14.9 x 15.1 cm)</t>
  </si>
  <si>
    <t>https://www.moma.org/collection/works/81632</t>
  </si>
  <si>
    <t>https://www.moma.org/media/W1siZiIsIjIzMDM4NiJdLFsicCIsImNvbnZlcnQiLCItcmVzaXplIDEwMjR4MTAyNFx1MDAzZSJdXQ.jpg?sha=7840581ac7894167</t>
  </si>
  <si>
    <t>The Newborn</t>
  </si>
  <si>
    <t>version I, 1920</t>
  </si>
  <si>
    <t>5 3/4 x 8 1/4 x 5 3/4" (14.6 x 21 x 14.6 cm)</t>
  </si>
  <si>
    <t>https://www.moma.org/collection/works/81655</t>
  </si>
  <si>
    <t>https://www.moma.org/media/W1siZiIsIjE5OTA1OSJdLFsicCIsImNvbnZlcnQiLCItcmVzaXplIDEwMjR4MTAyNFx1MDAzZSJdXQ.jpg?sha=b196ca4ffc3045c2</t>
  </si>
  <si>
    <t>Roulette: Number Five</t>
  </si>
  <si>
    <t>Mokuma Kikuhata</t>
  </si>
  <si>
    <t>Paint, pencil, metal, can, pail, and baseball mounted on wood</t>
  </si>
  <si>
    <t>42 1/8 x 25 3/8 x 8 1/2" (107 x 64.5 x 21.6 cm)</t>
  </si>
  <si>
    <t>https://www.moma.org/collection/works/81661</t>
  </si>
  <si>
    <t>https://www.moma.org/media/W1siZiIsIjUxOTQ2MiJdLFsicCIsImNvbnZlcnQiLCItcmVzaXplIDEwMjR4MTAyNFx1MDAzZSJdXQ.jpg?sha=57d1a23ef59ff612</t>
  </si>
  <si>
    <t>Untitled (Ears)</t>
  </si>
  <si>
    <t>Tomio Miki</t>
  </si>
  <si>
    <t>21 3/8 x 19 x 1 1/2" (54.3 x 48.2 x 3.7 cm)</t>
  </si>
  <si>
    <t>https://www.moma.org/collection/works/81664</t>
  </si>
  <si>
    <t>https://www.moma.org/media/W1siZiIsIjk3NjU2Il0sWyJwIiwiY29udmVydCIsIi1yZXNpemUgMTAyNHgxMDI0XHUwMDNlIl1d.jpg?sha=c91e65bc860dd5c4</t>
  </si>
  <si>
    <t>She-Goat</t>
  </si>
  <si>
    <t>Vallauris, 1950 (cast 1952)</t>
  </si>
  <si>
    <t xml:space="preserve">46 3/8 x 56 3/8 x 28 1/8" (117.7 x 143.1 x 71.4 cm)_x000D_
</t>
  </si>
  <si>
    <t>https://www.moma.org/collection/works/81670</t>
  </si>
  <si>
    <t>https://www.moma.org/media/W1siZiIsIjMxMDI5OCJdLFsicCIsImNvbnZlcnQiLCItcmVzaXplIDEwMjR4MTAyNFx1MDAzZSJdXQ.jpg?sha=63edd8f7c51e43f9</t>
  </si>
  <si>
    <t>La Serpentine</t>
  </si>
  <si>
    <t>Issy-les-Moulineaux, fall 1909</t>
  </si>
  <si>
    <t>22 1/4 x 11 x 7 1/2" (56.5 x 28 x 19 cm)</t>
  </si>
  <si>
    <t>https://www.moma.org/collection/works/81698</t>
  </si>
  <si>
    <t>https://www.moma.org/media/W1siZiIsIjQ2MjU5MSJdLFsicCIsImNvbnZlcnQiLCItcmVzaXplIDEwMjR4MTAyNFx1MDAzZSJdXQ.jpg?sha=6aaf6989985c4c87</t>
  </si>
  <si>
    <t>Moonbird</t>
  </si>
  <si>
    <t>90 × 78 × 57", 1400 lb. (228.6 × 198.1 × 144.8 cm, 635 kg)</t>
  </si>
  <si>
    <t>https://www.moma.org/collection/works/81717</t>
  </si>
  <si>
    <t>https://www.moma.org/media/W1siZiIsIjE2NTQ4NCJdLFsicCIsImNvbnZlcnQiLCItcmVzaXplIDEwMjR4MTAyNFx1MDAzZSJdXQ.jpg?sha=9412ab702617dc22</t>
  </si>
  <si>
    <t>Endless Column</t>
  </si>
  <si>
    <t>version I, 1918</t>
  </si>
  <si>
    <t>6' 8" x 9 7/8" x 9 5/8" (203.2 x 25.1 x 24.5 cm)</t>
  </si>
  <si>
    <t>https://www.moma.org/collection/works/81729</t>
  </si>
  <si>
    <t>https://www.moma.org/media/W1siZiIsIjMxMzg1NyJdLFsicCIsImNvbnZlcnQiLCItcmVzaXplIDEwMjR4MTAyNFx1MDAzZSJdXQ.jpg?sha=4d0094622c85e07f</t>
  </si>
  <si>
    <t>Extend-Expand</t>
  </si>
  <si>
    <t>Bronze with polychromed patina</t>
  </si>
  <si>
    <t>7' 1" x 51" x 33 5/8" (215.7 x 129.5 x 85.4 cm)</t>
  </si>
  <si>
    <t>https://www.moma.org/collection/works/81732</t>
  </si>
  <si>
    <t>https://www.moma.org/media/W1siZiIsIjU1NjQwOCJdLFsicCIsImNvbnZlcnQiLCItcmVzaXplIDEwMjR4MTAyNFx1MDAzZSJdXQ.jpg?sha=8637668df7f4b503</t>
  </si>
  <si>
    <t>Rosemarie Castoro</t>
  </si>
  <si>
    <t>Modeling paste, gesso, and graphite on board, five pieces</t>
  </si>
  <si>
    <t>Overall 8' 2" x 12' 1/2" x 1/2" (248.9 x 367 x 1.3 cm)</t>
  </si>
  <si>
    <t>https://www.moma.org/collection/works/81782</t>
  </si>
  <si>
    <t>https://www.moma.org/media/W1siZiIsIjM4MTk2MSJdLFsicCIsImNvbnZlcnQiLCItcmVzaXplIDEwMjR4MTAyNFx1MDAzZSJdXQ.jpg?sha=8ad6af5f8f3ae2fe</t>
  </si>
  <si>
    <t>Untitled (Bébé Marie)</t>
  </si>
  <si>
    <t>Papered and painted wood box, with painted corrugated cardboard bottom, containing doll in cloth dress and straw hat with cloth flowers, dried flowers, and twigs, flecked with paint</t>
  </si>
  <si>
    <t>23 1/2 x 12 3/8 x 5 1/4" (59.7 x 31.5 x 13.3 cm)</t>
  </si>
  <si>
    <t>https://www.moma.org/collection/works/81784</t>
  </si>
  <si>
    <t>https://www.moma.org/media/W1siZiIsIjE5ODI4NyJdLFsicCIsImNvbnZlcnQiLCItcmVzaXplIDEwMjR4MTAyNFx1MDAzZSJdXQ.jpg?sha=fb42ba2cf466e2e8</t>
  </si>
  <si>
    <t>Paris 1930</t>
  </si>
  <si>
    <t>Blue-gray marble 21 x 71 x 5 1/2" (53.3 x 180.3 x 14 cm), on three-part pedestal of one marble 5 1/8" (13 cm) high, and two limestone cylinders 13" (33 cm) high and 11" (27.9 cm) high x 32 1/8" (81.5 cm) diameter at widest point</t>
  </si>
  <si>
    <t>21 × 71 × 5 1/2" (53.3 × 180.3 × 14 cm)_x000D_
Pedestal: 5 1/8" (13 cm)_x000D_
Other (cylinder): 13 × 32 1/8" (33 × 81.6 cm)_x000D_
Other (cylinder): 11" (27.9 cm)</t>
  </si>
  <si>
    <t>https://www.moma.org/collection/works/81795</t>
  </si>
  <si>
    <t>https://www.moma.org/media/W1siZiIsIjE1OTE0MyJdLFsicCIsImNvbnZlcnQiLCItcmVzaXplIDEwMjR4MTAyNFx1MDAzZSJdXQ.jpg?sha=bb455535d1e6835b</t>
  </si>
  <si>
    <t>Begun 1938-39; completed 1943 (cast 1948)</t>
  </si>
  <si>
    <t>53 3/4" x 7' 6" x 66" (136.5 x 228.6 x 167.7 cm), on lead base designed by the artist 9 3/4 x 67 x 27 3/4" (24.8 x 170.1 x 70.4 cm)</t>
  </si>
  <si>
    <t>https://www.moma.org/collection/works/81798</t>
  </si>
  <si>
    <t>https://www.moma.org/media/W1siZiIsIjQzMDYxMCJdLFsicCIsImNvbnZlcnQiLCItcmVzaXplIDEwMjR4MTAyNFx1MDAzZSJdXQ.jpg?sha=7cb794ad9d546d75</t>
  </si>
  <si>
    <t>1994-95</t>
  </si>
  <si>
    <t>The Machine-Gunneress in a State of Grace</t>
  </si>
  <si>
    <t>Construction of wood and metal</t>
  </si>
  <si>
    <t>30 7/8 x 29 3/4 x 13 5/8" (78.5 x 75.5 x 34.5 cm), on wood base 4 3/4 x 15 3/4 x 11 7/8" (12 x 40 x 29.9 cm)</t>
  </si>
  <si>
    <t>https://www.moma.org/collection/works/81806</t>
  </si>
  <si>
    <t>https://www.moma.org/media/W1siZiIsIjIzMDUwMiJdLFsicCIsImNvbnZlcnQiLCItcmVzaXplIDEwMjR4MTAyNFx1MDAzZSJdXQ.jpg?sha=d3c053f7b7f03465</t>
  </si>
  <si>
    <t>48 3/8" x 10' x 10' 1" (122.8 x 305 x 307.6 cm)</t>
  </si>
  <si>
    <t>https://www.moma.org/collection/works/81811</t>
  </si>
  <si>
    <t>https://www.moma.org/media/W1siZiIsIjQ2NTk2OCJdLFsicCIsImNvbnZlcnQiLCItcmVzaXplIDEwMjR4MTAyNFx1MDAzZSJdXQ.jpg?sha=09a8d47c2814d60b</t>
  </si>
  <si>
    <t>Hands Holding the Void (Invisible Object)</t>
  </si>
  <si>
    <t>1934 (cast c. 1954-55)</t>
  </si>
  <si>
    <t>59 7/8 x 12 7/8 x 10" (152.1 x 32.6 x 25.3 cm)</t>
  </si>
  <si>
    <t>https://www.moma.org/collection/works/81849</t>
  </si>
  <si>
    <t>https://www.moma.org/media/W1siZiIsIjUyNzc1NSJdLFsicCIsImNvbnZlcnQiLCItcmVzaXplIDEwMjR4MTAyNFx1MDAzZSJdXQ.jpg?sha=d218de7c291e7625</t>
  </si>
  <si>
    <t>Law</t>
  </si>
  <si>
    <t>Acrylic gesso on wood beam with wood-and-iron wheel</t>
  </si>
  <si>
    <t>44 1/8 x 10 7/8 x 3 1/8" (111.9 x 27.6 x 7.8 cm)</t>
  </si>
  <si>
    <t>https://www.moma.org/collection/works/81863</t>
  </si>
  <si>
    <t>https://www.moma.org/media/W1siZiIsIjIwOTI4OSJdLFsicCIsImNvbnZlcnQiLCItcmVzaXplIDEwMjR4MTAyNFx1MDAzZSJdXQ.jpg?sha=27b12dee5bfc8c3d</t>
  </si>
  <si>
    <t>The Jester</t>
  </si>
  <si>
    <t>1905 (cast 1950s)</t>
  </si>
  <si>
    <t>15 1/4 x 13 3/4 x 8 5/8" (38.7 x 34.8 x 21.9 cm)</t>
  </si>
  <si>
    <t>https://www.moma.org/collection/works/81870</t>
  </si>
  <si>
    <t>https://www.moma.org/media/W1siZiIsIjIwOTI5NCJdLFsicCIsImNvbnZlcnQiLCItcmVzaXplIDEwMjR4MTAyNFx1MDAzZSJdXQ.jpg?sha=98497259d4aba16f</t>
  </si>
  <si>
    <t>My Pacific (Polynesian Culture)</t>
  </si>
  <si>
    <t>41 x 21 x 8 1/4" (104.1 x 53.3 x 20.9 cm)</t>
  </si>
  <si>
    <t>https://www.moma.org/collection/works/81893</t>
  </si>
  <si>
    <t>https://www.moma.org/media/W1siZiIsIjUyNzc2MyJdLFsicCIsImNvbnZlcnQiLCItcmVzaXplIDEwMjR4MTAyNFx1MDAzZSJdXQ.jpg?sha=a1049852201c0f70</t>
  </si>
  <si>
    <t>Head of the Montserrat, II</t>
  </si>
  <si>
    <t>12 3/8 x 7 3/4 x 11 1/8" (31.3 x 19.6 x 28.1 cm)</t>
  </si>
  <si>
    <t>https://www.moma.org/collection/works/81914</t>
  </si>
  <si>
    <t>https://www.moma.org/media/W1siZiIsIjIwOTUwMCJdLFsicCIsImNvbnZlcnQiLCItcmVzaXplIDEwMjR4MTAyNFx1MDAzZSJdXQ.jpg?sha=e6b39c78537fcc8d</t>
  </si>
  <si>
    <t>Barcelona, spring 1936</t>
  </si>
  <si>
    <t>Stuffed parrot on wood perch, stuffed silk stocking with velvet garter and doll's paper shoe suspended in hollow wood frame, derby hat, hanging cork ball, celluloid fish, and engraved map</t>
  </si>
  <si>
    <t>31 7/8 x 11 7/8 x 10 1/4" (81 x 30.1 x 26 cm)</t>
  </si>
  <si>
    <t>https://www.moma.org/collection/works/81915</t>
  </si>
  <si>
    <t>https://www.moma.org/media/W1siZiIsIjIxMTk1NCJdLFsicCIsImNvbnZlcnQiLCItcmVzaXplIDEwMjR4MTAyNFx1MDAzZSJdXQ.jpg?sha=00362358968c4a3b</t>
  </si>
  <si>
    <t>French Atomic Bomb</t>
  </si>
  <si>
    <t>Acrylic gesso on wood beam with metal element and metal wheel</t>
  </si>
  <si>
    <t>38 5/8 x 11 5/8 x 4 7/8" (98 x 29.5 x 12.3 cm)</t>
  </si>
  <si>
    <t>https://www.moma.org/collection/works/81968</t>
  </si>
  <si>
    <t>https://www.moma.org/media/W1siZiIsIjIwOTU2MSJdLFsicCIsImNvbnZlcnQiLCItcmVzaXplIDEwMjR4MTAyNFx1MDAzZSJdXQ.jpg?sha=a411f2ebec74b84a</t>
  </si>
  <si>
    <t>34 with Scars</t>
  </si>
  <si>
    <t>Acrylic, embroidery thread, and plastic tacks on voile</t>
  </si>
  <si>
    <t>16 1/8 x 12 3/16" (41 x 31 cm)</t>
  </si>
  <si>
    <t>https://www.moma.org/collection/works/81974</t>
  </si>
  <si>
    <t>https://www.moma.org/media/W1siZiIsIjUzMDAyNiJdLFsicCIsImNvbnZlcnQiLCItcmVzaXplIDEwMjR4MTAyNFx1MDAzZSJdXQ.jpg?sha=8b9e440c600d5765</t>
  </si>
  <si>
    <t>Enak's Tears (Terrestrial Forms)</t>
  </si>
  <si>
    <t>34 x 23 1/8 x 2 3/8" (86.2 x 58.5 x 6 cm)</t>
  </si>
  <si>
    <t>https://www.moma.org/collection/works/81986</t>
  </si>
  <si>
    <t>https://www.moma.org/media/W1siZiIsIjIxMTk5MiJdLFsicCIsImNvbnZlcnQiLCItcmVzaXplIDEwMjR4MTAyNFx1MDAzZSJdXQ.jpg?sha=0c5714444ae76be3</t>
  </si>
  <si>
    <t>Film</t>
  </si>
  <si>
    <t>Water Tower</t>
  </si>
  <si>
    <t>Translucent resin and painted steel</t>
  </si>
  <si>
    <t>12' 2" (370.8 cm) high x 9' (274.3 cm) in diameter</t>
  </si>
  <si>
    <t>https://www.moma.org/collection/works/82016</t>
  </si>
  <si>
    <t>https://www.moma.org/media/W1siZiIsIjIzMDA2OCJdLFsicCIsImNvbnZlcnQiLCItcmVzaXplIDEwMjR4MTAyNFx1MDAzZSJdXQ.jpg?sha=cc6537217071463d</t>
  </si>
  <si>
    <t>Plaster and Coca-Cola bottle</t>
  </si>
  <si>
    <t>6 1/4 x 4 1/8 x 8 1/8" (15.8 x 10.5 x 20.6 cm)</t>
  </si>
  <si>
    <t>https://www.moma.org/collection/works/82041</t>
  </si>
  <si>
    <t>https://www.moma.org/media/W1siZiIsIjE1Mjg1NSJdLFsicCIsImNvbnZlcnQiLCItcmVzaXplIDEwMjR4MTAyNFx1MDAzZSJdXQ.jpg?sha=0300b3f8ee05014a</t>
  </si>
  <si>
    <t>Giant Soft Fan</t>
  </si>
  <si>
    <t>Vinyl filled with foam rubber, wood, metal, and plastic tubing</t>
  </si>
  <si>
    <t>Fan, approximately 10' x 58 7/8" x 61 7/8" (305 x 149.5 x 157.1 cm), plus cord and plug 24' 3 1/4" (739.6 cm) long</t>
  </si>
  <si>
    <t>https://www.moma.org/collection/works/82053</t>
  </si>
  <si>
    <t>https://www.moma.org/media/W1siZiIsIjQwMTY1MyJdLFsicCIsImNvbnZlcnQiLCItcmVzaXplIDEwMjR4MTAyNFx1MDAzZSJdXQ.jpg?sha=99a7add66c944959</t>
  </si>
  <si>
    <t>Polycarbonate plastic</t>
  </si>
  <si>
    <t>Cubist Landscape</t>
  </si>
  <si>
    <t>25 3/4 x 35 1/2" (65.4 x 90.2 cm)</t>
  </si>
  <si>
    <t>https://www.moma.org/collection/works/82208</t>
  </si>
  <si>
    <t>https://www.moma.org/media/W1siZiIsIjE1NzAwNSJdLFsicCIsImNvbnZlcnQiLCItcmVzaXplIDEwMjR4MTAyNFx1MDAzZSJdXQ.jpg?sha=3836778c0dcaed39</t>
  </si>
  <si>
    <t>Houston Drawing 3</t>
  </si>
  <si>
    <t>41 x 29 1/2" (104.1 x 74.9 cm)</t>
  </si>
  <si>
    <t>https://www.moma.org/collection/works/82320</t>
  </si>
  <si>
    <t>https://www.moma.org/media/W1siZiIsIjIzNjc5NCJdLFsicCIsImNvbnZlcnQiLCItcmVzaXplIDEwMjR4MTAyNFx1MDAzZSJdXQ.jpg?sha=f99c0a450075ea58</t>
  </si>
  <si>
    <t>Les Terrasses, Villa Stein-de-Monzie, Garches, France</t>
  </si>
  <si>
    <t>1926–1928 (model 1970)</t>
  </si>
  <si>
    <t>Acrylic, wood, metal and paint</t>
  </si>
  <si>
    <t>35 1/4 × 35 1/4 × 20 7/8" (89.5 × 89.5 × 53 cm)_x000D_
Vitrine: 30 × 45 × 45" (76.2 × 114.3 × 114.3 cm)_x000D_
Tray: 3 × 45 × 45" (7.6 × 114.3 × 114.3 cm)</t>
  </si>
  <si>
    <t>https://www.moma.org/collection/works/82369</t>
  </si>
  <si>
    <t>https://www.moma.org/media/W1siZiIsIjUzMTI1MiJdLFsicCIsImNvbnZlcnQiLCItcmVzaXplIDEwMjR4MTAyNFx1MDAzZSJdXQ.jpg?sha=8bf5d4c19a5e7072</t>
  </si>
  <si>
    <t>Watercolor on printed paper</t>
  </si>
  <si>
    <t>1949-50 (cast 2001)</t>
  </si>
  <si>
    <t>58 1/4 x 12 3/4 x 2" (148 x 32.4 x 5.1 cm)</t>
  </si>
  <si>
    <t>https://www.moma.org/collection/works/82533</t>
  </si>
  <si>
    <t>https://www.moma.org/media/W1siZiIsIjIyNjU3MSJdLFsicCIsImNvbnZlcnQiLCItcmVzaXplIDEwMjR4MTAyNFx1MDAzZSJdXQ.jpg?sha=259e0c175753201e</t>
  </si>
  <si>
    <t>23262, 23263</t>
  </si>
  <si>
    <t>Christina Ramberg</t>
  </si>
  <si>
    <t>4 × 3 1/16" (10.2 × 7.7 cm)</t>
  </si>
  <si>
    <t>Pants</t>
  </si>
  <si>
    <t>5 11/16 × 7 7/8" (14.5 × 20 cm)</t>
  </si>
  <si>
    <t>https://www.moma.org/collection/works/83089</t>
  </si>
  <si>
    <t>https://www.moma.org/media/W1siZiIsIjI1MjI4MCJdLFsicCIsImNvbnZlcnQiLCItcmVzaXplIDEwMjR4MTAyNFx1MDAzZSJdXQ.jpg?sha=fac094f8fb574dba</t>
  </si>
  <si>
    <t>1925–29</t>
  </si>
  <si>
    <t>The Little Boot</t>
  </si>
  <si>
    <t>8 3/16 × 11 1/4" (20.8 × 28.6 cm)</t>
  </si>
  <si>
    <t>https://www.moma.org/collection/works/83778</t>
  </si>
  <si>
    <t>https://www.moma.org/media/W1siZiIsIjIwMjQxMCJdLFsicCIsImNvbnZlcnQiLCItcmVzaXplIDEwMjR4MTAyNFx1MDAzZSJdXQ.jpg?sha=eb7fc0582573cbc7</t>
  </si>
  <si>
    <t>Photogram Signet</t>
  </si>
  <si>
    <t>Oskar Nerlinger</t>
  </si>
  <si>
    <t>https://www.moma.org/collection/works/83858</t>
  </si>
  <si>
    <t>https://www.moma.org/media/W1siZiIsIjIwMjg4MiJdLFsicCIsImNvbnZlcnQiLCItcmVzaXplIDEwMjR4MTAyNFx1MDAzZSJdXQ.jpg?sha=ef9768eb8b50e981</t>
  </si>
  <si>
    <t>Motorcycle in the Race</t>
  </si>
  <si>
    <t>https://www.moma.org/collection/works/83859</t>
  </si>
  <si>
    <t>https://www.moma.org/media/W1siZiIsIjIwMjg4MSJdLFsicCIsImNvbnZlcnQiLCItcmVzaXplIDEwMjR4MTAyNFx1MDAzZSJdXQ.jpg?sha=180533087d2652be</t>
  </si>
  <si>
    <t>22 3/8 x 30 1/2" (56.8 x 77.5 cm)</t>
  </si>
  <si>
    <t>https://www.moma.org/collection/works/84120</t>
  </si>
  <si>
    <t>https://www.moma.org/media/W1siZiIsIjIyNzI3NyJdLFsicCIsImNvbnZlcnQiLCItcmVzaXplIDEwMjR4MTAyNFx1MDAzZSJdXQ.jpg?sha=45b39b7797174d65</t>
  </si>
  <si>
    <t>Vase (3031)</t>
  </si>
  <si>
    <t>11 1/2 x 12 1/4 x 11 1/4" (29.2 x 31.1 x 28.6 cm) (irreg.)</t>
  </si>
  <si>
    <t>https://www.moma.org/collection/works/84130</t>
  </si>
  <si>
    <t>https://www.moma.org/media/W1siZiIsIjUzMDM0NCJdLFsicCIsImNvbnZlcnQiLCItcmVzaXplIDEwMjR4MTAyNFx1MDAzZSJdXQ.jpg?sha=e66e096df9613e89</t>
  </si>
  <si>
    <t>Eighteen color instant prints (Polaroids) and eighteen engraved plastic plaques</t>
  </si>
  <si>
    <t>Overall 90 × 162" (228.6 × 411.5 cm)</t>
  </si>
  <si>
    <t>https://www.moma.org/collection/works/84194</t>
  </si>
  <si>
    <t>https://www.moma.org/media/W1siZiIsIjQwNjYwNSJdLFsicCIsImNvbnZlcnQiLCItcmVzaXplIDEwMjR4MTAyNFx1MDAzZSJdXQ.jpg?sha=ebff69298aeb6fa8</t>
  </si>
  <si>
    <t>Tugendhat House, Brno, Czechoslovakia (Model of final version)</t>
  </si>
  <si>
    <t>Painted wood, metal, wooden tiles, plastic fence steps and windows</t>
  </si>
  <si>
    <t>13 x 44 1/2 x 36 x 10 3/4" (33 x 113 x 91.4 x 27.3 cm) including base_x000D_
8 x 44 1/2 x 36" (20.3 x 113 x 91.4 cm)</t>
  </si>
  <si>
    <t>https://www.moma.org/collection/works/84200</t>
  </si>
  <si>
    <t>https://www.moma.org/media/W1siZiIsIjYyODI5Il0sWyJwIiwiY29udmVydCIsIi1yZXNpemUgMTAyNHgxMDI0XHUwMDNlIl1d.jpg?sha=3e710d59a5942ca1</t>
  </si>
  <si>
    <t>1997-2000</t>
  </si>
  <si>
    <t>15 7/8 x 11 7/8" (40.3 x 30.2 cm)</t>
  </si>
  <si>
    <t>14 1/2 x 9 3/4" (36.8 x 24.8 cm)</t>
  </si>
  <si>
    <t>Untitled (The Right Protection)</t>
  </si>
  <si>
    <t>Maria Magdalena Campos-Pons</t>
  </si>
  <si>
    <t>Lithograph with colored paper pulp additions</t>
  </si>
  <si>
    <t>20 1/4 × 17 1/2" (51.4 × 44.5 cm)</t>
  </si>
  <si>
    <t>https://www.moma.org/collection/works/85730</t>
  </si>
  <si>
    <t>https://www.moma.org/media/W1siZiIsIjIxNDExMCJdLFsicCIsImNvbnZlcnQiLCItcmVzaXplIDEwMjR4MTAyNFx1MDAzZSJdXQ.jpg?sha=3f793afbdb2b83ac</t>
  </si>
  <si>
    <t>22 x 15 1/4" (55.9 x 38.7 cm)</t>
  </si>
  <si>
    <t>Lasca from Nigger Heaven (Illustration from Carl van Vechten's novel)</t>
  </si>
  <si>
    <t>https://www.moma.org/collection/works/85904</t>
  </si>
  <si>
    <t>https://www.moma.org/media/W1siZiIsIjMzMTYwNCJdLFsicCIsImNvbnZlcnQiLCItcmVzaXplIDEwMjR4MTAyNFx1MDAzZSJdXQ.jpg?sha=ad00ecfcc9230bea</t>
  </si>
  <si>
    <t>Mary in Central Park from Nigger Heaven (Illustration from Carl van Vechten's novel)</t>
  </si>
  <si>
    <t>https://www.moma.org/collection/works/85907</t>
  </si>
  <si>
    <t>https://www.moma.org/media/W1siZiIsIjMzMTYwNyJdLFsicCIsImNvbnZlcnQiLCItcmVzaXplIDEwMjR4MTAyNFx1MDAzZSJdXQ.jpg?sha=fff69a37bf9707a2</t>
  </si>
  <si>
    <t>Byron and Lasca Dance Together from Nigger Heaven (Illustration from Carl van Vechten's novel)</t>
  </si>
  <si>
    <t>https://www.moma.org/collection/works/85908</t>
  </si>
  <si>
    <t>https://www.moma.org/media/W1siZiIsIjMzMTYwOCJdLFsicCIsImNvbnZlcnQiLCItcmVzaXplIDEwMjR4MTAyNFx1MDAzZSJdXQ.jpg?sha=8e37d2adfb21a6ab</t>
  </si>
  <si>
    <t>At the Winter Palace from Nigger Heaven (Illustration from Carl van Vechten's novel)</t>
  </si>
  <si>
    <t>https://www.moma.org/collection/works/85912</t>
  </si>
  <si>
    <t>https://www.moma.org/media/W1siZiIsIjMzMTU5OCJdLFsicCIsImNvbnZlcnQiLCItcmVzaXplIDEwMjR4MTAyNFx1MDAzZSJdXQ.jpg?sha=41bc8877dbb46fd9</t>
  </si>
  <si>
    <t>14 3/4 x 10" (37.5 x 25.4 cm)</t>
  </si>
  <si>
    <t>Boxes of Kenyon's Johnny Cake cornmeal awaiting shipment. Usquepaug, Rhode Island</t>
  </si>
  <si>
    <t>https://www.moma.org/collection/works/86021</t>
  </si>
  <si>
    <t>https://www.moma.org/media/W1siZiIsIjIxOTUxNyJdLFsicCIsImNvbnZlcnQiLCItcmVzaXplIDEwMjR4MTAyNFx1MDAzZSJdXQ.jpg?sha=36202810bd39ae56</t>
  </si>
  <si>
    <t>Hurricane Lumber, Ledyard, Connecticut</t>
  </si>
  <si>
    <t>7 1/16 × 9 5/8" (18 × 24.5 cm)</t>
  </si>
  <si>
    <t>https://www.moma.org/collection/works/86023</t>
  </si>
  <si>
    <t>https://www.moma.org/media/W1siZiIsIjE4NzMyNCJdLFsicCIsImNvbnZlcnQiLCItcmVzaXplIDEwMjR4MTAyNFx1MDAzZSJdXQ.jpg?sha=f61eb80c85973e5d</t>
  </si>
  <si>
    <t>Coffee Table (model IN-50)</t>
  </si>
  <si>
    <t>Birch, glass, aluminum dowel</t>
  </si>
  <si>
    <t>15 5/8 × 50 1/4 × 35 7/8" (39.7 × 127.6 × 91.1 cm)_x000D_
Component (.a): 3/4 × 50 1/4 × 35 7/8" (1.9 × 127.6 × 91.1 cm)_x000D_
Component (.b-c): 14 7/8 × 30 1/2 × 1 1/2" (37.8 × 77.5 × 3.8 cm)_x000D_
Component (.d): 7 13/16 × 9/16" (19.9 × 1.4 cm)</t>
  </si>
  <si>
    <t>https://www.moma.org/collection/works/86474</t>
  </si>
  <si>
    <t>https://www.moma.org/media/W1siZiIsIjU4NTg5MyJdLFsicCIsImNvbnZlcnQiLCItcmVzaXplIDEwMjR4MTAyNFx1MDAzZSJdXQ.jpg?sha=6067013d21a1b410</t>
  </si>
  <si>
    <t>Letters (The Twenty-Six Series)</t>
  </si>
  <si>
    <t>Galvanized iron, twenty-six parts</t>
  </si>
  <si>
    <t>Each approximately 6 x 9 x 5/8" (15.2 x 22.9 x 1.6 cm), overall dimensions variable</t>
  </si>
  <si>
    <t>https://www.moma.org/collection/works/86630</t>
  </si>
  <si>
    <t>https://www.moma.org/media/W1siZiIsIjUzMDYwNSJdLFsicCIsImNvbnZlcnQiLCItcmVzaXplIDEwMjR4MTAyNFx1MDAzZSJdXQ.jpg?sha=ae12eec48880711b</t>
  </si>
  <si>
    <t>Château Noir</t>
  </si>
  <si>
    <t>29 x 36 3/4" (73.6 x 93.2 cm)</t>
  </si>
  <si>
    <t>https://www.moma.org/collection/works/87099</t>
  </si>
  <si>
    <t>https://www.moma.org/media/W1siZiIsIjE5ODU1NSJdLFsicCIsImNvbnZlcnQiLCItcmVzaXplIDEwMjR4MTAyNFx1MDAzZSJdXQ.jpg?sha=145215fac7a6bfd8</t>
  </si>
  <si>
    <t>9 3/8 × 13 3/4" (23.8 × 34.9 cm)</t>
  </si>
  <si>
    <t>https://www.moma.org/collection/works/87101</t>
  </si>
  <si>
    <t>https://www.moma.org/media/W1siZiIsIjM0NjE0NyJdLFsicCIsImNvbnZlcnQiLCItcmVzaXplIDEwMjR4MTAyNFx1MDAzZSJdXQ.jpg?sha=cb3580b2268db161</t>
  </si>
  <si>
    <t>Closed Circuit</t>
  </si>
  <si>
    <t>Untitled (Nets)</t>
  </si>
  <si>
    <t>https://www.moma.org/media/W1siZiIsIjEwMzg1OCJdLFsicCIsImNvbnZlcnQiLCItcmVzaXplIDEwMjR4MTAyNFx1MDAzZSJdXQ.jpg?sha=c88d98756de85c59</t>
  </si>
  <si>
    <t>Oil on wood with glass beads on wire</t>
  </si>
  <si>
    <t>9 1/4" high (23.5 cm)</t>
  </si>
  <si>
    <t>https://www.moma.org/collection/works/88254</t>
  </si>
  <si>
    <t>https://www.moma.org/media/W1siZiIsIjQzODQ0OCJdLFsicCIsImNvbnZlcnQiLCItcmVzaXplIDEwMjR4MTAyNFx1MDAzZSJdXQ.jpg?sha=29e2548365187fbf</t>
  </si>
  <si>
    <t>Sentry (Posten) from Figurines: The Three-Dimensional Design of the Electro-Mechanical Show Victory over the Sun (Figurinen, die plastische Gestaltung der elektro-mechanischen Schau Sieg über die Sonne)</t>
  </si>
  <si>
    <t>composition (irreg.): 15 1/4 x 7 7/8" (38.7 x 20 cm); sheet: 21 x 17 7/8" (53.3 x 45.4 cm)</t>
  </si>
  <si>
    <t>https://www.moma.org/collection/works/88569</t>
  </si>
  <si>
    <t>https://www.moma.org/media/W1siZiIsIjIxNzY2NCJdLFsicCIsImNvbnZlcnQiLCItcmVzaXplIDEwMjR4MTAyNFx1MDAzZSJdXQ.jpg?sha=f0f63294bd0a5bda</t>
  </si>
  <si>
    <t>Michael Kalil</t>
  </si>
  <si>
    <t>1983-1986</t>
  </si>
  <si>
    <t>International Space Station Habitation Module, NASA, project,</t>
  </si>
  <si>
    <t>Clear acrylic, paint, metal and felt</t>
  </si>
  <si>
    <t>l. 57 x diam. 14 3/4" (144.8 x 37.5")  height on stand 16" (40.6 cm)</t>
  </si>
  <si>
    <t>https://www.moma.org/collection/works/88830</t>
  </si>
  <si>
    <t>https://www.moma.org/media/W1siZiIsIjIzNzU4NSJdLFsicCIsImNvbnZlcnQiLCItcmVzaXplIDEwMjR4MTAyNFx1MDAzZSJdXQ.jpg?sha=e173297ca47f3057</t>
  </si>
  <si>
    <t>HIDEO, It's Me Mama</t>
  </si>
  <si>
    <t>Mako Idemitsu</t>
  </si>
  <si>
    <t>Standard-definition video (color, sound)</t>
  </si>
  <si>
    <t>26:49 min.</t>
  </si>
  <si>
    <t>https://www.moma.org/collection/works/88839</t>
  </si>
  <si>
    <t>https://www.moma.org/media/W1siZiIsIjE1MTU2NyJdLFsicCIsImNvbnZlcnQiLCItcmVzaXplIDEwMjR4MTAyNFx1MDAzZSJdXQ.jpg?sha=8d4fa78b66cd5cbb</t>
  </si>
  <si>
    <t>Exhibition Pavilion, Z.H.L.C., Zurich, Switzerland (Second-floor plan)</t>
  </si>
  <si>
    <t>https://www.moma.org/collection/works/88949</t>
  </si>
  <si>
    <t>https://www.moma.org/media/W1siZiIsIjI0NzExOCJdLFsicCIsImNvbnZlcnQiLCItcmVzaXplIDEwMjR4MTAyNFx1MDAzZSJdXQ.jpg?sha=150a9a79069407d2</t>
  </si>
  <si>
    <t>Exhibition Pavilion, Z.H.L.C., Zurich, Switzerland (Longitudinal section)</t>
  </si>
  <si>
    <t>https://www.moma.org/collection/works/88951</t>
  </si>
  <si>
    <t>https://www.moma.org/media/W1siZiIsIjI0NzEyMCJdLFsicCIsImNvbnZlcnQiLCItcmVzaXplIDEwMjR4MTAyNFx1MDAzZSJdXQ.jpg?sha=f756dfb2fbc7f258</t>
  </si>
  <si>
    <t>Exhibition Pavilion, Z.H.L.C., Zurich, Switzerland (Cross section)</t>
  </si>
  <si>
    <t>https://www.moma.org/collection/works/88952</t>
  </si>
  <si>
    <t>https://www.moma.org/media/W1siZiIsIjI0NzEyMSJdLFsicCIsImNvbnZlcnQiLCItcmVzaXplIDEwMjR4MTAyNFx1MDAzZSJdXQ.jpg?sha=2e4088113c2dcfe0</t>
  </si>
  <si>
    <t>Exhibition Pavilion, Z.H.L.C., Zurich, Switzerland (West façade)</t>
  </si>
  <si>
    <t>https://www.moma.org/collection/works/88956</t>
  </si>
  <si>
    <t>https://www.moma.org/media/W1siZiIsIjI0NzEyNSJdLFsicCIsImNvbnZlcnQiLCItcmVzaXplIDEwMjR4MTAyNFx1MDAzZSJdXQ.jpg?sha=5a90f276f10cd4b9</t>
  </si>
  <si>
    <t>Ben James, Welsh Miner</t>
  </si>
  <si>
    <t>https://www.moma.org/collection/works/89005</t>
  </si>
  <si>
    <t>https://www.moma.org/media/W1siZiIsIjM0NjEzMyJdLFsicCIsImNvbnZlcnQiLCItcmVzaXplIDEwMjR4MTAyNFx1MDAzZSJdXQ.jpg?sha=f3aa5cfbeaacde73</t>
  </si>
  <si>
    <t>https://www.moma.org/collection/works/89006</t>
  </si>
  <si>
    <t>https://www.moma.org/media/W1siZiIsIjM0NjEzOSJdLFsicCIsImNvbnZlcnQiLCItcmVzaXplIDEwMjR4MTAyNFx1MDAzZSJdXQ.jpg?sha=4ff60cd2789271ee</t>
  </si>
  <si>
    <t>Laura</t>
  </si>
  <si>
    <t>17 11/16 × 13 13/16" (45 × 35.1 cm)</t>
  </si>
  <si>
    <t>https://www.moma.org/collection/works/89041</t>
  </si>
  <si>
    <t>https://www.moma.org/media/W1siZiIsIjEyMDU5OSJdLFsicCIsImNvbnZlcnQiLCItcmVzaXplIDEwMjR4MTAyNFx1MDAzZSJdXQ.jpg?sha=e99d1aa6e579b3d4</t>
  </si>
  <si>
    <t>Mabou Winter Footage</t>
  </si>
  <si>
    <t>23 11/16 × 14 3/4" (60.1 × 37.5 cm)</t>
  </si>
  <si>
    <t>https://www.moma.org/collection/works/89043</t>
  </si>
  <si>
    <t>https://www.moma.org/media/W1siZiIsIjU3OTI1NiJdLFsicCIsImNvbnZlcnQiLCItcmVzaXplIDEwMjR4MTAyNFx1MDAzZSJdXQ.jpg?sha=7e6bc5fdeb7b9b12</t>
  </si>
  <si>
    <t>Mabou</t>
  </si>
  <si>
    <t>19 5/16 × 12 7/8" (49 × 32.7 cm)</t>
  </si>
  <si>
    <t>https://www.moma.org/collection/works/89044</t>
  </si>
  <si>
    <t>https://www.moma.org/media/W1siZiIsIjEyMDYwMCJdLFsicCIsImNvbnZlcnQiLCItcmVzaXplIDEwMjR4MTAyNFx1MDAzZSJdXQ.jpg?sha=7b64f4d486365898</t>
  </si>
  <si>
    <t>Mabou, Nova Scotia</t>
  </si>
  <si>
    <t xml:space="preserve">12 1/16 × 19" (30.6 × 48.3 cm)_x000D_
</t>
  </si>
  <si>
    <t>https://www.moma.org/collection/works/89047</t>
  </si>
  <si>
    <t>https://www.moma.org/media/W1siZiIsIjEyMDYwNCJdLFsicCIsImNvbnZlcnQiLCItcmVzaXplIDEwMjR4MTAyNFx1MDAzZSJdXQ.jpg?sha=e12ed4dfdc4baed8</t>
  </si>
  <si>
    <t>Monday Morning in Mabou, Old Snapper</t>
  </si>
  <si>
    <t xml:space="preserve">12 11/16 × 19 9/16" (32.2 × 49.7 cm)_x000D_
</t>
  </si>
  <si>
    <t>https://www.moma.org/collection/works/89049</t>
  </si>
  <si>
    <t>https://www.moma.org/media/W1siZiIsIjEyMDY4NSJdLFsicCIsImNvbnZlcnQiLCItcmVzaXplIDEwMjR4MTAyNFx1MDAzZSJdXQ.jpg?sha=27437e073c327599</t>
  </si>
  <si>
    <t>Sick of Goodby's</t>
  </si>
  <si>
    <t>21 15/16 × 12 11/16" (55.8 × 32.3 cm)</t>
  </si>
  <si>
    <t>https://www.moma.org/collection/works/89057</t>
  </si>
  <si>
    <t>https://www.moma.org/media/W1siZiIsIjEyMDYwNSJdLFsicCIsImNvbnZlcnQiLCItcmVzaXplIDEwMjR4MTAyNFx1MDAzZSJdXQ.jpg?sha=51a9da6b4c68cf3c</t>
  </si>
  <si>
    <t xml:space="preserve">19 5/8 × 26 1/16" (49.9 × 66.2 cm)_x000D_
</t>
  </si>
  <si>
    <t>https://www.moma.org/collection/works/89060</t>
  </si>
  <si>
    <t>https://www.moma.org/media/W1siZiIsIjEyMDY4NiJdLFsicCIsImNvbnZlcnQiLCItcmVzaXplIDEwMjR4MTAyNFx1MDAzZSJdXQ.jpg?sha=c3c274c2a68c803e</t>
  </si>
  <si>
    <t>(no projector could do justice...)</t>
  </si>
  <si>
    <t xml:space="preserve">14 5/16 × 17 11/16" (36.4 × 45 cm)_x000D_
</t>
  </si>
  <si>
    <t>https://www.moma.org/collection/works/89061</t>
  </si>
  <si>
    <t>https://www.moma.org/media/W1siZiIsIjEyMDY4NyJdLFsicCIsImNvbnZlcnQiLCItcmVzaXplIDEwMjR4MTAyNFx1MDAzZSJdXQ.jpg?sha=87196f1938e69374</t>
  </si>
  <si>
    <t>.a: 19 7/16 × 15 9/16" (49.4 × 39.6 cm)_x000D_
.b: 19 7/16 × 15 5/8" (49.3 × 39.7 cm)</t>
  </si>
  <si>
    <t>https://www.moma.org/collection/works/89063</t>
  </si>
  <si>
    <t>https://www.moma.org/media/W1siZiIsIjEyMTQyNiJdLFsicCIsImNvbnZlcnQiLCItcmVzaXplIDEwMjR4MTAyNFx1MDAzZSJdXQ.jpg?sha=0e9311c3c44bc817</t>
  </si>
  <si>
    <t>Franz Kline, New York City</t>
  </si>
  <si>
    <t>15 1/2 × 10 1/4" (39.3 × 26 cm)</t>
  </si>
  <si>
    <t>https://www.moma.org/collection/works/89067</t>
  </si>
  <si>
    <t>https://www.moma.org/media/W1siZiIsIjExOTYxMSJdLFsicCIsImNvbnZlcnQiLCItcmVzaXplIDEwMjR4MTAyNFx1MDAzZSJdXQ.jpg?sha=817bb726657448ff</t>
  </si>
  <si>
    <t>James Baldwin</t>
  </si>
  <si>
    <t>13 15/16 × 9 13/16" (35.4 × 24.9 cm)</t>
  </si>
  <si>
    <t>https://www.moma.org/collection/works/89070</t>
  </si>
  <si>
    <t>https://www.moma.org/media/W1siZiIsIjEyMDkwMiJdLFsicCIsImNvbnZlcnQiLCItcmVzaXplIDEwMjR4MTAyNFx1MDAzZSJdXQ.jpg?sha=9cae1c7a4f146832</t>
  </si>
  <si>
    <t>Marvin Israel and Raoul Hague, Woodstock, New York</t>
  </si>
  <si>
    <t>11 1/8 × 16 7/8" (28.3 × 42.8 cm)</t>
  </si>
  <si>
    <t>https://www.moma.org/collection/works/89073</t>
  </si>
  <si>
    <t>https://www.moma.org/media/W1siZiIsIjEyMDkzMCJdLFsicCIsImNvbnZlcnQiLCItcmVzaXplIDEwMjR4MTAyNFx1MDAzZSJdXQ.jpg?sha=3e6b67d134665da6</t>
  </si>
  <si>
    <t>Norman Mailer, New York City</t>
  </si>
  <si>
    <t>13 1/2 × 8 11/16" (34.3 × 22 cm)</t>
  </si>
  <si>
    <t>https://www.moma.org/collection/works/89078</t>
  </si>
  <si>
    <t>https://www.moma.org/media/W1siZiIsIjExOTY3MSJdLFsicCIsImNvbnZlcnQiLCItcmVzaXplIDEwMjR4MTAyNFx1MDAzZSJdXQ.jpg?sha=c21a224758715a34</t>
  </si>
  <si>
    <t>William James Buckley, New York City</t>
  </si>
  <si>
    <t>18 7/8 × 14 15/16" (48 × 38 cm)</t>
  </si>
  <si>
    <t>https://www.moma.org/collection/works/89085</t>
  </si>
  <si>
    <t>https://www.moma.org/media/W1siZiIsIjEyMTQyOCJdLFsicCIsImNvbnZlcnQiLCItcmVzaXplIDEwMjR4MTAyNFx1MDAzZSJdXQ.jpg?sha=91e4bff9e6f8be07</t>
  </si>
  <si>
    <t>Would Like to Exchange Cards with You, Souvenirs Preferred</t>
  </si>
  <si>
    <t>10 13/16 × 13 7/8" (27.4 × 35.2 cm)</t>
  </si>
  <si>
    <t>https://www.moma.org/collection/works/89086</t>
  </si>
  <si>
    <t>https://www.moma.org/media/W1siZiIsIjEyMDkxMCJdLFsicCIsImNvbnZlcnQiLCItcmVzaXplIDEwMjR4MTAyNFx1MDAzZSJdXQ.jpg?sha=b301367edef2cbee</t>
  </si>
  <si>
    <t>Leaning</t>
  </si>
  <si>
    <t>Hannah Wilke</t>
  </si>
  <si>
    <t>Acrylic on wood</t>
  </si>
  <si>
    <t>Conoid, Sphere and Hollow</t>
  </si>
  <si>
    <t>https://www.moma.org/collection/works/89276</t>
  </si>
  <si>
    <t>https://www.moma.org/media/W1siZiIsIjIyNjUyNSJdLFsicCIsImNvbnZlcnQiLCItcmVzaXplIDEwMjR4MTAyNFx1MDAzZSJdXQ.jpg?sha=3a91854d15d28364</t>
  </si>
  <si>
    <t>Visual Synthesis of the Idea: "War"</t>
  </si>
  <si>
    <t>https://www.moma.org/collection/works/89538</t>
  </si>
  <si>
    <t>https://www.moma.org/media/W1siZiIsIjE1MTE2NSJdLFsicCIsImNvbnZlcnQiLCItcmVzaXplIDEwMjR4MTAyNFx1MDAzZSJdXQ.jpg?sha=3128e49e40f2766a</t>
  </si>
  <si>
    <t>Dinh Q. Lê</t>
  </si>
  <si>
    <t>Railroad Car Spring</t>
  </si>
  <si>
    <t>27 1/4 x 15 1/2" (69.2 x 39.4 cm)</t>
  </si>
  <si>
    <t>https://www.moma.org/collection/works/89731</t>
  </si>
  <si>
    <t>https://www.moma.org/media/W1siZiIsIjQwMDA2MCJdLFsicCIsImNvbnZlcnQiLCItcmVzaXplIDEwMjR4MTAyNFx1MDAzZSJdXQ.jpg?sha=ca563ce4075c80a3</t>
  </si>
  <si>
    <t>Chica demountable child's chairs</t>
  </si>
  <si>
    <t>7317, 1438, 7316, 26808</t>
  </si>
  <si>
    <t>assembled: 19 1/4 x 13 x 13" (48.9 x 33 x 33 cm)</t>
  </si>
  <si>
    <t>https://www.moma.org/collection/works/89828</t>
  </si>
  <si>
    <t>https://www.moma.org/media/W1siZiIsIjE2MTI2NyJdLFsicCIsImNvbnZlcnQiLCItcmVzaXplIDEwMjR4MTAyNFx1MDAzZSJdXQ.jpg?sha=f88593592b1aa6e5</t>
  </si>
  <si>
    <t>7' 10" x 8' 4" (238.8 x 254 cm)</t>
  </si>
  <si>
    <t>https://www.moma.org/collection/works/89960</t>
  </si>
  <si>
    <t>https://www.moma.org/media/W1siZiIsIjE1OTIwNCJdLFsicCIsImNvbnZlcnQiLCItcmVzaXplIDEwMjR4MTAyNFx1MDAzZSJdXQ.jpg?sha=2fc30d32cbed3e47</t>
  </si>
  <si>
    <t>c. 1950s</t>
  </si>
  <si>
    <t>Flat-Bottomed Paper Bag</t>
  </si>
  <si>
    <t>27020, 35086</t>
  </si>
  <si>
    <t>Designed 1870s-1880s</t>
  </si>
  <si>
    <t>.1-3: 17 x 12 x 6 3/4" (43.2 x 30.5 x 17.1 cm)_x000D_
.4-6: 13 3/4 x 7 x 4" (34.9 x 17.8 x 10.2 cm)_x000D_
.7-9: 12 1/2 x 6 x 4" (31.8 x 15.2 x 10.2 cm)_x000D_
.10-13: 9 3/4 x 5 x 3" (24.8 x 12.7 x 7.6 cm)_x000D_
.14-16: 8 1/2 x 4 9/16 x 3" (21.6 x 11.6 x 7.6 cm)</t>
  </si>
  <si>
    <t>https://www.moma.org/collection/works/90111</t>
  </si>
  <si>
    <t>https://www.moma.org/media/W1siZiIsIjEzMzI4NyJdLFsicCIsImNvbnZlcnQiLCItcmVzaXplIDEwMjR4MTAyNFx1MDAzZSJdXQ.jpg?sha=ff8ac71e0369e55b</t>
  </si>
  <si>
    <t>The New China Drawing: The World Above, The World Below</t>
  </si>
  <si>
    <t>Pencil and colored pencil with crayon, acrylic, and cut-and-pasted paper on two sheets of transparent paper</t>
  </si>
  <si>
    <t>overall: 95 3/8 x 105" (242.3 x 266.7 cm)</t>
  </si>
  <si>
    <t>https://www.moma.org/collection/works/90664</t>
  </si>
  <si>
    <t>https://www.moma.org/media/W1siZiIsIjIxODE1MyJdLFsicCIsImNvbnZlcnQiLCItcmVzaXplIDEwMjR4MTAyNFx1MDAzZSJdXQ.jpg?sha=69e476abab820f0e</t>
  </si>
  <si>
    <t>Wood I</t>
  </si>
  <si>
    <t>Watercolor, ink and colored ink on paper</t>
  </si>
  <si>
    <t>12 × 11 7/8" (30.5 × 30.2 cm)</t>
  </si>
  <si>
    <t>https://www.moma.org/collection/works/90709</t>
  </si>
  <si>
    <t>https://www.moma.org/media/W1siZiIsIjIwMzM3OSJdLFsicCIsImNvbnZlcnQiLCItcmVzaXplIDEwMjR4MTAyNFx1MDAzZSJdXQ.jpg?sha=cb94af5800ac755f</t>
  </si>
  <si>
    <t>Plate V from Let There Be Fashion, Down With Art (Fiat modes pereat ars)</t>
  </si>
  <si>
    <t>composition (irreg.): 16 13/16 x 12 1/4" (42.7 x 31.2 cm); sheet: 17 3/16 x 12 9/16" (43 x 31.9 cm)</t>
  </si>
  <si>
    <t>https://www.moma.org/collection/works/91109</t>
  </si>
  <si>
    <t>https://www.moma.org/media/W1siZiIsIjUxNjgzOCJdLFsicCIsImNvbnZlcnQiLCItcmVzaXplIDEwMjR4MTAyNFx1MDAzZSJdXQ.jpg?sha=64e3512697872e57</t>
  </si>
  <si>
    <t>Plate III from Let There Be Fashion, Down With Art (Fiat modes pereat ars)</t>
  </si>
  <si>
    <t>composition (irreg.): 16 5/8 x 10 1/16" (42.3 x 25.6 cm); sheet: 17 3/16 x 12 9/16" (43 x 31.9 cm)</t>
  </si>
  <si>
    <t>https://www.moma.org/collection/works/91110</t>
  </si>
  <si>
    <t>https://www.moma.org/media/W1siZiIsIjIxMDg0MCJdLFsicCIsImNvbnZlcnQiLCItcmVzaXplIDEwMjR4MTAyNFx1MDAzZSJdXQ.jpg?sha=4744aba164640393</t>
  </si>
  <si>
    <t>Plate IV from Let There Be Fashion, Down With Art (Fiat modes pereat ars)</t>
  </si>
  <si>
    <t>composition (irreg.): 15 3/16 x 12 1/16" (38.6 x 30.8 cm); sheet: 17 3/16 x 12 9/16" (43 x 31.9 cm)</t>
  </si>
  <si>
    <t>https://www.moma.org/collection/works/91111</t>
  </si>
  <si>
    <t>https://www.moma.org/media/W1siZiIsIjUxNjgzOSJdLFsicCIsImNvbnZlcnQiLCItcmVzaXplIDEwMjR4MTAyNFx1MDAzZSJdXQ.jpg?sha=dbf1837cb3f25b66</t>
  </si>
  <si>
    <t>Juvenile Sex Symbol 1</t>
  </si>
  <si>
    <t>https://www.moma.org/collection/works/91754</t>
  </si>
  <si>
    <t>https://www.moma.org/media/W1siZiIsIjI1NzUzNSJdLFsicCIsImNvbnZlcnQiLCItcmVzaXplIDEwMjR4MTAyNFx1MDAzZSJdXQ.jpg?sha=77e5a510affcaf95</t>
  </si>
  <si>
    <t>Juvenile Sex Symbol 2</t>
  </si>
  <si>
    <t>https://www.moma.org/collection/works/91755</t>
  </si>
  <si>
    <t>https://www.moma.org/media/W1siZiIsIjI1NzUzNiJdLFsicCIsImNvbnZlcnQiLCItcmVzaXplIDEwMjR4MTAyNFx1MDAzZSJdXQ.jpg?sha=8564f7d3f6f491da</t>
  </si>
  <si>
    <t>Juvenile Sex Symbol 3</t>
  </si>
  <si>
    <t>https://www.moma.org/collection/works/91756</t>
  </si>
  <si>
    <t>https://www.moma.org/media/W1siZiIsIjI1NzUzNyJdLFsicCIsImNvbnZlcnQiLCItcmVzaXplIDEwMjR4MTAyNFx1MDAzZSJdXQ.jpg?sha=714d7927c03368e2</t>
  </si>
  <si>
    <t>Juvenile Sex Symbol 4</t>
  </si>
  <si>
    <t>https://www.moma.org/collection/works/91757</t>
  </si>
  <si>
    <t>https://www.moma.org/media/W1siZiIsIjI1NzUzOCJdLFsicCIsImNvbnZlcnQiLCItcmVzaXplIDEwMjR4MTAyNFx1MDAzZSJdXQ.jpg?sha=63aa8764d1d0ee43</t>
  </si>
  <si>
    <t>Juvenile Sex Symbol 5</t>
  </si>
  <si>
    <t>https://www.moma.org/collection/works/91758</t>
  </si>
  <si>
    <t>https://www.moma.org/media/W1siZiIsIjI1NzUzOSJdLFsicCIsImNvbnZlcnQiLCItcmVzaXplIDEwMjR4MTAyNFx1MDAzZSJdXQ.jpg?sha=f1071107cb3fb9c9</t>
  </si>
  <si>
    <t>Bingo</t>
  </si>
  <si>
    <t>Building fragments: painted wood, metal, plaster, and glass, three sections</t>
  </si>
  <si>
    <t>Overall 69" x 25' 7" x 10" (175.3 x 779.8 x 25.4 cm)</t>
  </si>
  <si>
    <t>https://www.moma.org/collection/works/91762</t>
  </si>
  <si>
    <t>https://www.moma.org/media/W1siZiIsIjMxMTkxMCJdLFsicCIsImNvbnZlcnQiLCItcmVzaXplIDEwMjR4MTAyNFx1MDAzZSJdXQ.jpg?sha=1042116113f278b3</t>
  </si>
  <si>
    <t>Lygia Clark</t>
  </si>
  <si>
    <t>Neoconcrete Relief</t>
  </si>
  <si>
    <t>37 7/8 x 51 1/4" (96 x 130 cm)</t>
  </si>
  <si>
    <t>https://www.moma.org/collection/works/91770</t>
  </si>
  <si>
    <t>https://www.moma.org/media/W1siZiIsIjE2OTEzMyJdLFsicCIsImNvbnZlcnQiLCItcmVzaXplIDEwMjR4MTAyNFx1MDAzZSJdXQ.jpg?sha=b3f6304b8684f085</t>
  </si>
  <si>
    <t>Construction in White and Black</t>
  </si>
  <si>
    <t>Glue tempera on cardboard mounted on wood</t>
  </si>
  <si>
    <t>31 3/4 x 40 1/8" (80.7 x 102 cm)</t>
  </si>
  <si>
    <t>https://www.moma.org/collection/works/91774</t>
  </si>
  <si>
    <t>https://www.moma.org/media/W1siZiIsIjE1OTIxMCJdLFsicCIsImNvbnZlcnQiLCItcmVzaXplIDEwMjR4MTAyNFx1MDAzZSJdXQ.jpg?sha=4b0bdbf300cce51d</t>
  </si>
  <si>
    <t>3 1/4 x 3 1/8" (8.3 x 8 cm)</t>
  </si>
  <si>
    <t>https://www.moma.org/collection/works/91791</t>
  </si>
  <si>
    <t>https://www.moma.org/collection/works/91792</t>
  </si>
  <si>
    <t>https://www.moma.org/collection/works/91793</t>
  </si>
  <si>
    <t>https://www.moma.org/collection/works/91794</t>
  </si>
  <si>
    <t>https://www.moma.org/collection/works/91795</t>
  </si>
  <si>
    <t>https://www.moma.org/collection/works/91796</t>
  </si>
  <si>
    <t>Laurids Ortner</t>
  </si>
  <si>
    <t>Split Flap Board Flight Information Display System</t>
  </si>
  <si>
    <t>Solari di Udine, Italy</t>
  </si>
  <si>
    <t>Painted steel and aluminum, Sicodur® and synthetic polymer paint</t>
  </si>
  <si>
    <t>65 9/16 x 130 1/8 x 7 7/8" (166.6 x 330.5 x 20 cm)</t>
  </si>
  <si>
    <t>https://www.moma.org/collection/works/91954</t>
  </si>
  <si>
    <t>https://www.moma.org/media/W1siZiIsIjIzNzM5OSJdLFsicCIsImNvbnZlcnQiLCItcmVzaXplIDEwMjR4MTAyNFx1MDAzZSJdXQ.jpg?sha=856472fdfcc194b8</t>
  </si>
  <si>
    <t>4 1/2 × 3" (11.5 × 7.6 cm)</t>
  </si>
  <si>
    <t>Etched metal sheet from a series of five</t>
  </si>
  <si>
    <t>sheet: 25 9/16 x 20 1/2" (65 x 52 cm)</t>
  </si>
  <si>
    <t>https://www.moma.org/collection/works/92888</t>
  </si>
  <si>
    <t>25 9/16 x 20 1/2" (65 x 52 cm)</t>
  </si>
  <si>
    <t>https://www.moma.org/collection/works/92889</t>
  </si>
  <si>
    <t>https://www.moma.org/media/W1siZiIsIjI1NTQxMiJdLFsicCIsImNvbnZlcnQiLCItcmVzaXplIDEwMjR4MTAyNFx1MDAzZSJdXQ.jpg?sha=73df7671aea6da5f</t>
  </si>
  <si>
    <t>https://www.moma.org/collection/works/92890</t>
  </si>
  <si>
    <t>https://www.moma.org/media/W1siZiIsIjEwMzg1OSJdLFsicCIsImNvbnZlcnQiLCItcmVzaXplIDEwMjR4MTAyNFx1MDAzZSJdXQ.jpg?sha=7e0ed22c5c265df8</t>
  </si>
  <si>
    <t>https://www.moma.org/collection/works/92891</t>
  </si>
  <si>
    <t>https://www.moma.org/media/W1siZiIsIjI4ODk1NiJdLFsicCIsImNvbnZlcnQiLCItcmVzaXplIDEwMjR4MTAyNFx1MDAzZSJdXQ.jpg?sha=b4f01109321f051a</t>
  </si>
  <si>
    <t>https://www.moma.org/collection/works/92892</t>
  </si>
  <si>
    <t>https://www.moma.org/media/W1siZiIsIjI4ODk1NyJdLFsicCIsImNvbnZlcnQiLCItcmVzaXplIDEwMjR4MTAyNFx1MDAzZSJdXQ.jpg?sha=fc7fe8b9e18ce209</t>
  </si>
  <si>
    <t>Untitled from What It Is like to Be What You Are Not</t>
  </si>
  <si>
    <t>One photogravure from a portfolio of eight photogravures and one offset lithograph and screenprint</t>
  </si>
  <si>
    <t>plate: 14 13/16 × 10 5/8" (37.7 × 27 cm); sheet: 22 5/8 × 17 1/2" (57.5 × 44.5 cm)</t>
  </si>
  <si>
    <t>https://www.moma.org/collection/works/93068</t>
  </si>
  <si>
    <t>https://www.moma.org/media/W1siZiIsIjI0ODczMiJdLFsicCIsImNvbnZlcnQiLCItcmVzaXplIDEwMjR4MTAyNFx1MDAzZSJdXQ.jpg?sha=70489856881c569e</t>
  </si>
  <si>
    <t>plate: 14 3/4 × 11 7/16" (37.5 × 29 cm); sheet: 22 5/8 × 17 1/2" (57.5 × 44.5 cm)</t>
  </si>
  <si>
    <t>https://www.moma.org/collection/works/93069</t>
  </si>
  <si>
    <t>https://www.moma.org/media/W1siZiIsIjI0ODczNCJdLFsicCIsImNvbnZlcnQiLCItcmVzaXplIDEwMjR4MTAyNFx1MDAzZSJdXQ.jpg?sha=f4abaddbeacd7254</t>
  </si>
  <si>
    <t>plate: 14 15/16 × 9 7/16" (37.9 × 24 cm); sheet: 22 5/8 × 17 1/2" (57.5 × 44.5 cm)</t>
  </si>
  <si>
    <t>https://www.moma.org/collection/works/93070</t>
  </si>
  <si>
    <t>https://www.moma.org/media/W1siZiIsIjEwNTc3MiJdLFsicCIsImNvbnZlcnQiLCItcmVzaXplIDEwMjR4MTAyNFx1MDAzZSJdXQ.jpg?sha=fab85ed9c8e281b2</t>
  </si>
  <si>
    <t>plate: 14 7/8 × 6 3/4" (37.8 × 17.2 cm); sheet: 22 5/8 × 17 1/2" (57.5 × 44.5 cm)</t>
  </si>
  <si>
    <t>https://www.moma.org/collection/works/93071</t>
  </si>
  <si>
    <t>https://www.moma.org/media/W1siZiIsIjEwNTc3MyJdLFsicCIsImNvbnZlcnQiLCItcmVzaXplIDEwMjR4MTAyNFx1MDAzZSJdXQ.jpg?sha=3e34d24739d90d4a</t>
  </si>
  <si>
    <t>plate: 14 15/16 × 11 7/16" (38 × 29 cm); sheet: 22 5/8 × 17 1/2" (57.5 × 44.5 cm)</t>
  </si>
  <si>
    <t>https://www.moma.org/collection/works/93072</t>
  </si>
  <si>
    <t>https://www.moma.org/media/W1siZiIsIjEwNTc3NCJdLFsicCIsImNvbnZlcnQiLCItcmVzaXplIDEwMjR4MTAyNFx1MDAzZSJdXQ.jpg?sha=5ba9ac181b2ace76</t>
  </si>
  <si>
    <t>plate: 15 1/16 × 9 13/16" (38.3 × 25 cm); sheet: 22 5/8 × 17 1/2" (57.5 × 44.5 cm)</t>
  </si>
  <si>
    <t>https://www.moma.org/collection/works/93073</t>
  </si>
  <si>
    <t>https://www.moma.org/media/W1siZiIsIjI0ODczOCJdLFsicCIsImNvbnZlcnQiLCItcmVzaXplIDEwMjR4MTAyNFx1MDAzZSJdXQ.jpg?sha=6917ba07253100b1</t>
  </si>
  <si>
    <t>plate: 14 15/16 × 10 5/8" (38 × 27 cm); sheet: 22 5/8 × 17 1/2" (57.5 × 44.5 cm)</t>
  </si>
  <si>
    <t>https://www.moma.org/collection/works/93074</t>
  </si>
  <si>
    <t>https://www.moma.org/media/W1siZiIsIjI0ODczOSJdLFsicCIsImNvbnZlcnQiLCItcmVzaXplIDEwMjR4MTAyNFx1MDAzZSJdXQ.jpg?sha=224061bce18dc6c2</t>
  </si>
  <si>
    <t>plate: 14 15/16 × 10 9/16" (38 × 26.8 cm); sheet: 22 5/8 × 17 1/2" (57.5 × 44.5 cm)</t>
  </si>
  <si>
    <t>https://www.moma.org/collection/works/93075</t>
  </si>
  <si>
    <t>https://www.moma.org/media/W1siZiIsIjEwNTc3NSJdLFsicCIsImNvbnZlcnQiLCItcmVzaXplIDEwMjR4MTAyNFx1MDAzZSJdXQ.jpg?sha=a616ea276063218d</t>
  </si>
  <si>
    <t>Los Angeles—February 4th—I Wake Up—Turn On TV</t>
  </si>
  <si>
    <t>19 11/16 × 14" (50 × 35.5 cm)</t>
  </si>
  <si>
    <t>https://www.moma.org/collection/works/93443</t>
  </si>
  <si>
    <t>https://www.moma.org/media/W1siZiIsIjI1NzEyNyJdLFsicCIsImNvbnZlcnQiLCItcmVzaXplIDEwMjR4MTAyNFx1MDAzZSJdXQ.jpg?sha=137a469f02cf2813</t>
  </si>
  <si>
    <t xml:space="preserve">7 5/16 × 19 5/16" (18.5 × 49 cm)_x000D_
</t>
  </si>
  <si>
    <t>https://www.moma.org/collection/works/93444</t>
  </si>
  <si>
    <t>https://www.moma.org/media/W1siZiIsIjI1NzEyOCJdLFsicCIsImNvbnZlcnQiLCItcmVzaXplIDEwMjR4MTAyNFx1MDAzZSJdXQ.jpg?sha=ce6a37bac84d7821</t>
  </si>
  <si>
    <t>15 13/16 × 36 5/8" (40.2 × 93 cm) (overall)</t>
  </si>
  <si>
    <t>https://www.moma.org/collection/works/93445</t>
  </si>
  <si>
    <t>https://www.moma.org/media/W1siZiIsIjI1ODY0NCJdLFsicCIsImNvbnZlcnQiLCItcmVzaXplIDEwMjR4MTAyNFx1MDAzZSJdXQ.jpg?sha=30073be233680dc1</t>
  </si>
  <si>
    <t>15 13/16 × 19 7/8" (40.2 × 50.5 cm) (overall)</t>
  </si>
  <si>
    <t>https://www.moma.org/collection/works/93446</t>
  </si>
  <si>
    <t>https://www.moma.org/media/W1siZiIsIjI1NzEyNSJdLFsicCIsImNvbnZlcnQiLCItcmVzaXplIDEwMjR4MTAyNFx1MDAzZSJdXQ.jpg?sha=867bf3d1537b15dd</t>
  </si>
  <si>
    <t>St. Rita's Hospital #401, Sydney, Nova Scotia</t>
  </si>
  <si>
    <t>22 13/16 × 19 1/2" (57.9 × 49.5 cm)</t>
  </si>
  <si>
    <t>https://www.moma.org/collection/works/93448</t>
  </si>
  <si>
    <t>https://www.moma.org/media/W1siZiIsIjI1NzEyNiJdLFsicCIsImNvbnZlcnQiLCItcmVzaXplIDEwMjR4MTAyNFx1MDAzZSJdXQ.jpg?sha=7e5c9a29471f449b</t>
  </si>
  <si>
    <t>Wall Drawing #1144, Broken Bands of Color in Four Directions</t>
  </si>
  <si>
    <t>Acrylic on wall</t>
  </si>
  <si>
    <t>8' x 37' (243.8 x 1127.8 cm)</t>
  </si>
  <si>
    <t>https://www.moma.org/collection/works/94278</t>
  </si>
  <si>
    <t>https://www.moma.org/media/W1siZiIsIjEyOTMzNyJdLFsicCIsImNvbnZlcnQiLCItcmVzaXplIDEwMjR4MTAyNFx1MDAzZSJdXQ.jpg?sha=2eea337faa47d22c</t>
  </si>
  <si>
    <t>Naoto Fukasawa</t>
  </si>
  <si>
    <t>Paul Kirps</t>
  </si>
  <si>
    <t>2002-03</t>
  </si>
  <si>
    <t>Rivane Neuenschwander</t>
  </si>
  <si>
    <t>Wangechi Mutu</t>
  </si>
  <si>
    <t>56 min.</t>
  </si>
  <si>
    <t>Portrait of Igor Stravinsky</t>
  </si>
  <si>
    <t>51 x 45" (129.5 x 114.3 cm)</t>
  </si>
  <si>
    <t>https://www.moma.org/collection/works/95069</t>
  </si>
  <si>
    <t>https://www.moma.org/media/W1siZiIsIjE3MzIyNiJdLFsicCIsImNvbnZlcnQiLCItcmVzaXplIDEwMjR4MTAyNFx1MDAzZSJdXQ.jpg?sha=da0957441c51bd15</t>
  </si>
  <si>
    <t>Jazz II</t>
  </si>
  <si>
    <t>composition: 26 7/8 x 37 11/16" (68.3 x 95.8 cm); sheet: 31 x 41 1/2" (78.7 x 105.4 cm)</t>
  </si>
  <si>
    <t>https://www.moma.org/collection/works/95190</t>
  </si>
  <si>
    <t>https://www.moma.org/media/W1siZiIsIjI1MTgwNCJdLFsicCIsImNvbnZlcnQiLCItcmVzaXplIDEwMjR4MTAyNFx1MDAzZSJdXQ.jpg?sha=d0b4e2455fa7768b</t>
  </si>
  <si>
    <t>Return I</t>
  </si>
  <si>
    <t>50 1/4 x 68 1/4" (127.6 x 173.4 cm)</t>
  </si>
  <si>
    <t>https://www.moma.org/collection/works/95227</t>
  </si>
  <si>
    <t>https://www.moma.org/media/W1siZiIsIjE1OTIzMiJdLFsicCIsImNvbnZlcnQiLCItcmVzaXplIDEwMjR4MTAyNFx1MDAzZSJdXQ.jpg?sha=62eeaaaa09848beb</t>
  </si>
  <si>
    <t>Couplet IV</t>
  </si>
  <si>
    <t>9' x 60" (274.3 x 152.4 cm)</t>
  </si>
  <si>
    <t>https://www.moma.org/collection/works/95259</t>
  </si>
  <si>
    <t>https://www.moma.org/media/W1siZiIsIjE1MTUzNSJdLFsicCIsImNvbnZlcnQiLCItcmVzaXplIDEwMjR4MTAyNFx1MDAzZSJdXQ.jpg?sha=48766541ff024022</t>
  </si>
  <si>
    <t>Tomma Abts</t>
  </si>
  <si>
    <t>Sex Symbol</t>
  </si>
  <si>
    <t>6 x 3 1/4" (15.3 x 8.3 cm)</t>
  </si>
  <si>
    <t>https://www.moma.org/collection/works/95442</t>
  </si>
  <si>
    <t>https://www.moma.org/media/W1siZiIsIjExMTgzMSJdLFsicCIsImNvbnZlcnQiLCItcmVzaXplIDEwMjR4MTAyNFx1MDAzZSJdXQ.jpg?sha=378da7a151558a78</t>
  </si>
  <si>
    <t>12 x 12" (30.5 x 30.5 cm)</t>
  </si>
  <si>
    <t>8 1/2 x 10 1/2" (21.6 x 26.7 cm)</t>
  </si>
  <si>
    <t>5th Avenue and Broadway Store</t>
  </si>
  <si>
    <t>Pearl Blauvelt</t>
  </si>
  <si>
    <t xml:space="preserve">Colored pencil and pencil on paper_x000D_
</t>
  </si>
  <si>
    <t>6 x 9 1/2" (15.2 x 24.1 cm)</t>
  </si>
  <si>
    <t>https://www.moma.org/collection/works/95551</t>
  </si>
  <si>
    <t>https://www.moma.org/media/W1siZiIsIjExMzcwOCJdLFsicCIsImNvbnZlcnQiLCItcmVzaXplIDEwMjR4MTAyNFx1MDAzZSJdXQ.jpg?sha=8ec29882cf1f1dc6</t>
  </si>
  <si>
    <t xml:space="preserve">Colored pencil and pencil on notebook paper_x000D_
</t>
  </si>
  <si>
    <t>Store Shelves with Yeast Cakes</t>
  </si>
  <si>
    <t>https://www.moma.org/collection/works/95555</t>
  </si>
  <si>
    <t>https://www.moma.org/media/W1siZiIsIjExNDMwNiJdLFsicCIsImNvbnZlcnQiLCItcmVzaXplIDEwMjR4MTAyNFx1MDAzZSJdXQ.jpg?sha=b4056254d9adc2aa</t>
  </si>
  <si>
    <t>Isa Genzken</t>
  </si>
  <si>
    <t>Untitled (Soldiers at Rest)</t>
  </si>
  <si>
    <t xml:space="preserve">Cut-and-woven chromogenic prints and linen tape_x000D_
</t>
  </si>
  <si>
    <t>46 x 71 1/2" (116.8 x 181.6 cm)</t>
  </si>
  <si>
    <t>https://www.moma.org/collection/works/96473</t>
  </si>
  <si>
    <t>https://www.moma.org/media/W1siZiIsIjEzMDUwNCJdLFsicCIsImNvbnZlcnQiLCItcmVzaXplIDEwMjR4MTAyNFx1MDAzZSJdXQ.jpg?sha=55b8576267d53ff8</t>
  </si>
  <si>
    <t>Untitled (Tool)</t>
  </si>
  <si>
    <t>https://www.moma.org/collection/works/96565</t>
  </si>
  <si>
    <t>https://www.moma.org/media/W1siZiIsIjExNzk5NiJdLFsicCIsImNvbnZlcnQiLCItcmVzaXplIDEwMjR4MTAyNFx1MDAzZSJdXQ.jpg?sha=c17b1e4032bd5a62</t>
  </si>
  <si>
    <t>Jonathan Monk</t>
  </si>
  <si>
    <t>21 x 29" (53.3 x 73.7 cm)</t>
  </si>
  <si>
    <t>Charline von Heyl</t>
  </si>
  <si>
    <t>https://www.moma.org/collection/works/97763</t>
  </si>
  <si>
    <t>https://www.moma.org/media/W1siZiIsIjExNDM5MiJdLFsicCIsImNvbnZlcnQiLCItcmVzaXplIDEwMjR4MTAyNFx1MDAzZSJdXQ.jpg?sha=18d926df684c33bb</t>
  </si>
  <si>
    <t>Colored pencil, pencil, and graphite on paper</t>
  </si>
  <si>
    <t>https://www.moma.org/collection/works/97765</t>
  </si>
  <si>
    <t>https://www.moma.org/media/W1siZiIsIjExNDM5NCJdLFsicCIsImNvbnZlcnQiLCItcmVzaXplIDEwMjR4MTAyNFx1MDAzZSJdXQ.jpg?sha=5e212319d6498de6</t>
  </si>
  <si>
    <t>4 1/16 × 2 3/8" (10.3 × 6 cm)</t>
  </si>
  <si>
    <t>Blue About</t>
  </si>
  <si>
    <t>1983/2002</t>
  </si>
  <si>
    <t>5' 11" x 58 3/4" (180.7 x 149.2 cm)</t>
  </si>
  <si>
    <t>https://www.moma.org/collection/works/98633</t>
  </si>
  <si>
    <t>https://www.moma.org/media/W1siZiIsIjM4MTUxOSJdLFsicCIsImNvbnZlcnQiLCItcmVzaXplIDEwMjR4MTAyNFx1MDAzZSJdXQ.jpg?sha=27e9df3617dd7bda</t>
  </si>
  <si>
    <t>Ringaround Arosie</t>
  </si>
  <si>
    <t>Pencil, acetone, varnish, enamel paint, ink, and cloth covered electrical wire on papier-mâché and masonite</t>
  </si>
  <si>
    <t>26 3/8 x 16 1/2 x 4 1/2" (67 x 41.9 x 11.4 cm)</t>
  </si>
  <si>
    <t>https://www.moma.org/collection/works/98638</t>
  </si>
  <si>
    <t>https://www.moma.org/media/W1siZiIsIjM0Nzk4NSJdLFsicCIsImNvbnZlcnQiLCItcmVzaXplIDEwMjR4MTAyNFx1MDAzZSJdXQ.jpg?sha=a6b8a2d222231923</t>
  </si>
  <si>
    <t>Nuages (Cloud) Bookcase</t>
  </si>
  <si>
    <t>Each: 41 3/8 x 73 7/8 x 15 3/4" (105.1 x 187.6 x 40 cm)</t>
  </si>
  <si>
    <t>https://www.moma.org/collection/works/98957</t>
  </si>
  <si>
    <t>https://www.moma.org/media/W1siZiIsIjU3Njg1MyJdLFsicCIsImNvbnZlcnQiLCItcmVzaXplIDEwMjR4MTAyNFx1MDAzZSJdXQ.jpg?sha=c26eebcea3dcc5da</t>
  </si>
  <si>
    <t>Video (black and white, sound)</t>
  </si>
  <si>
    <t>Johnson Wax Building</t>
  </si>
  <si>
    <t>Acrylic on board with metal frame</t>
  </si>
  <si>
    <t>47 1/2 x 59 1/2" (120.7 x 151.1 cm) including frame</t>
  </si>
  <si>
    <t>https://www.moma.org/collection/works/100188</t>
  </si>
  <si>
    <t>https://www.moma.org/media/W1siZiIsIjI0ODcyNiJdLFsicCIsImNvbnZlcnQiLCItcmVzaXplIDEwMjR4MTAyNFx1MDAzZSJdXQ.jpg?sha=f29af2e60985c9c4</t>
  </si>
  <si>
    <t>Variable</t>
  </si>
  <si>
    <t>The Table (Still Life with Fan)</t>
  </si>
  <si>
    <t>L'Estaque or Paris, fall 1910</t>
  </si>
  <si>
    <t>15 x 21 3/4" (38 x 55.3 cm)</t>
  </si>
  <si>
    <t>https://www.moma.org/collection/works/102385</t>
  </si>
  <si>
    <t>https://www.moma.org/media/W1siZiIsIjQ2ODM3MCJdLFsicCIsImNvbnZlcnQiLCItcmVzaXplIDEwMjR4MTAyNFx1MDAzZSJdXQ.jpg?sha=7f467a61fbc8bca9</t>
  </si>
  <si>
    <t>One Moment in Time (Kitchen)</t>
  </si>
  <si>
    <t>35 mm slide projection</t>
  </si>
  <si>
    <t>7 min., 6 sec.</t>
  </si>
  <si>
    <t>https://www.moma.org/collection/works/102580</t>
  </si>
  <si>
    <t>https://www.moma.org/media/W1siZiIsIjMxNDMzOCJdLFsicCIsImNvbnZlcnQiLCItcmVzaXplIDEwMjR4MTAyNFx1MDAzZSJdXQ.jpg?sha=edfd5bff62df2728</t>
  </si>
  <si>
    <t>Embossed lead on paper</t>
  </si>
  <si>
    <t>The Great Wall</t>
  </si>
  <si>
    <t>Composition (irreg.): 23 15/16 x 17 5/8" (60.8 x 44.8 cm); sheet: 29 13/16 x 25 3/16" (75.8 x 63.9 cm)</t>
  </si>
  <si>
    <t>https://www.moma.org/collection/works/102758</t>
  </si>
  <si>
    <t>https://www.moma.org/media/W1siZiIsIjI5MTg0NiJdLFsicCIsImNvbnZlcnQiLCItcmVzaXplIDEwMjR4MTAyNFx1MDAzZSJdXQ.jpg?sha=bc097069a1d04267</t>
  </si>
  <si>
    <t>Video (color, silent)</t>
  </si>
  <si>
    <t>Miura Stackable Stools</t>
  </si>
  <si>
    <t>31 7/8 x 18 1/2 x 15 3/4" (81 x 47 x 40 cm)</t>
  </si>
  <si>
    <t>https://www.moma.org/collection/works/102962</t>
  </si>
  <si>
    <t>https://www.moma.org/media/W1siZiIsIjE3MTA3MyJdLFsicCIsImNvbnZlcnQiLCItcmVzaXplIDEwMjR4MTAyNFx1MDAzZSJdXQ.jpg?sha=7aabe8fa164fbc9a</t>
  </si>
  <si>
    <t>Birgit Jürgenssen</t>
  </si>
  <si>
    <t>Krzysztof Wodiczko</t>
  </si>
  <si>
    <t>Valet Chair</t>
  </si>
  <si>
    <t>Teak, brass and leather</t>
  </si>
  <si>
    <t>37 x 20 3/4 x 20 3/4" (94 x 52.7 x 52.7 cm)</t>
  </si>
  <si>
    <t>https://www.moma.org/collection/works/104289</t>
  </si>
  <si>
    <t>https://www.moma.org/media/W1siZiIsIjE2OTg5MSJdLFsicCIsImNvbnZlcnQiLCItcmVzaXplIDEwMjR4MTAyNFx1MDAzZSJdXQ.jpg?sha=36aba8d3fc832124</t>
  </si>
  <si>
    <t>Street Scene, London</t>
  </si>
  <si>
    <t>9 1/16 × 7 11/16" (23 × 19.6 cm)</t>
  </si>
  <si>
    <t>https://www.moma.org/collection/works/104293</t>
  </si>
  <si>
    <t>https://www.moma.org/media/W1siZiIsIjE4NDM4NiJdLFsicCIsImNvbnZlcnQiLCItcmVzaXplIDEwMjR4MTAyNFx1MDAzZSJdXQ.jpg?sha=1a3ba2a5baaaee3d</t>
  </si>
  <si>
    <t>Untitled (Double Head)</t>
  </si>
  <si>
    <t>Nancy Grossman</t>
  </si>
  <si>
    <t>Cut-and-pasted painted paper, pressure-sensitive tape, and pencil on paper</t>
  </si>
  <si>
    <t>https://www.moma.org/collection/works/104957</t>
  </si>
  <si>
    <t>https://www.moma.org/media/W1siZiIsIjM3ODc1MiJdLFsicCIsImNvbnZlcnQiLCItcmVzaXplIDEwMjR4MTAyNFx1MDAzZSJdXQ.jpg?sha=83b56f1c6c438e81</t>
  </si>
  <si>
    <t>In Advance of the Broken Arm</t>
  </si>
  <si>
    <t>August 1964 (fourth version, after lost original of November 1915)</t>
  </si>
  <si>
    <t>Wood and galvanized-iron snow shovel</t>
  </si>
  <si>
    <t>52" (132 cm) high</t>
  </si>
  <si>
    <t>https://www.moma.org/collection/works/105050</t>
  </si>
  <si>
    <t>https://www.moma.org/media/W1siZiIsIjExMDI4MiJdLFsicCIsImNvbnZlcnQiLCItcmVzaXplIDEwMjR4MTAyNFx1MDAzZSJdXQ.jpg?sha=b9a3b9eb8e22a338</t>
  </si>
  <si>
    <t>Plus Minus Zero Humidifier</t>
  </si>
  <si>
    <t>6 1/8 x 12" (15.6 x 30.5 cm)</t>
  </si>
  <si>
    <t>https://www.moma.org/collection/works/105070</t>
  </si>
  <si>
    <t>https://www.moma.org/media/W1siZiIsIjEzMzQwNCJdLFsicCIsImNvbnZlcnQiLCItcmVzaXplIDEwMjR4MTAyNFx1MDAzZSJdXQ.jpg?sha=d12d8a3887f3602b</t>
  </si>
  <si>
    <t>The Clown (Le Clown) from Jazz</t>
  </si>
  <si>
    <t>One from a portfolio of twenty pochoirs</t>
  </si>
  <si>
    <t>composition (irreg.): 16 1/4 x 12 9/16" (41.3 x 31.9 cm); sheet: 16 9/16 x 25 5/8" (42.1 x 65.1 cm)</t>
  </si>
  <si>
    <t>https://www.moma.org/collection/works/105379</t>
  </si>
  <si>
    <t>https://www.moma.org/media/W1siZiIsIjI4NzA3NSJdLFsicCIsImNvbnZlcnQiLCItcmVzaXplIDEwMjR4MTAyNFx1MDAzZSJdXQ.jpg?sha=88d86b5f057a6891</t>
  </si>
  <si>
    <t>Circus (Le Cirque) from Jazz</t>
  </si>
  <si>
    <t>composition (irreg.): 14 1/4 x 21 15/16" (36.2 x 55.7 cm); sheet: 16 5/8 x 25 11/16" (42.2 x 65.3 cm)</t>
  </si>
  <si>
    <t>https://www.moma.org/collection/works/105380</t>
  </si>
  <si>
    <t>https://www.moma.org/media/W1siZiIsIjEwOTYxMSJdLFsicCIsImNvbnZlcnQiLCItcmVzaXplIDEwMjR4MTAyNFx1MDAzZSJdXQ.jpg?sha=508e481025555297</t>
  </si>
  <si>
    <t>Icarus (Icare) from Jazz</t>
  </si>
  <si>
    <t>composition (irreg.): 16 1/8 x 10 15/16" (41 x 27.8 cm); sheet: 16 5/8 x 25 11/16" (42.2 x 65.3 cm)</t>
  </si>
  <si>
    <t>https://www.moma.org/collection/works/105386</t>
  </si>
  <si>
    <t>https://www.moma.org/media/W1siZiIsIjI4NzA4MCJdLFsicCIsImNvbnZlcnQiLCItcmVzaXplIDEwMjR4MTAyNFx1MDAzZSJdXQ.jpg?sha=62fc4398178218b6</t>
  </si>
  <si>
    <t>Forms (Formes) from Jazz</t>
  </si>
  <si>
    <t>composition (irreg.): 16 1/8 x 22 13/16" (41 x 58 cm); sheet: 16 9/16 x 25 11/16" (42.1 x 65.3 cm)</t>
  </si>
  <si>
    <t>https://www.moma.org/collection/works/105387</t>
  </si>
  <si>
    <t>https://www.moma.org/media/W1siZiIsIjEwOTYyMiJdLFsicCIsImNvbnZlcnQiLCItcmVzaXplIDEwMjR4MTAyNFx1MDAzZSJdXQ.jpg?sha=e17d41789e09aab9</t>
  </si>
  <si>
    <t>The Cowboy (Le Cow-boy) from Jazz</t>
  </si>
  <si>
    <t>composition (irreg.) and sheet: 16 5/8 x 25 9/16" (42.3 x 65 cm)</t>
  </si>
  <si>
    <t>https://www.moma.org/collection/works/105392</t>
  </si>
  <si>
    <t>https://www.moma.org/media/W1siZiIsIjEwOTYyNyJdLFsicCIsImNvbnZlcnQiLCItcmVzaXplIDEwMjR4MTAyNFx1MDAzZSJdXQ.jpg?sha=e83c498706ff730b</t>
  </si>
  <si>
    <t>Embryo II</t>
  </si>
  <si>
    <t>1967-76</t>
  </si>
  <si>
    <t>Purified and pigmented beeswax, damar resin, and gesso on masonite</t>
  </si>
  <si>
    <t>36 1/8 x 6 x 5 1/8" (91.8 x 15.2 x 13 cm)</t>
  </si>
  <si>
    <t>https://www.moma.org/collection/works/105739</t>
  </si>
  <si>
    <t>https://www.moma.org/media/W1siZiIsIjU2ODEwOSJdLFsicCIsImNvbnZlcnQiLCItcmVzaXplIDEwMjR4MTAyNFx1MDAzZSJdXQ.jpg?sha=797505f3c48aa6ed</t>
  </si>
  <si>
    <t>1971-73</t>
  </si>
  <si>
    <t>Ceci n'est pas l'architecture (This is not architecture) (Drawing from a Buenos Aires lecture)</t>
  </si>
  <si>
    <t>39 3/4 x 25 9/16" (101 x 65 cm)</t>
  </si>
  <si>
    <t>https://www.moma.org/collection/works/105811</t>
  </si>
  <si>
    <t>https://www.moma.org/media/W1siZiIsIjE5Mjk4NSJdLFsicCIsImNvbnZlcnQiLCItcmVzaXplIDEwMjR4MTAyNFx1MDAzZSJdXQ.jpg?sha=eb4305d0314869eb</t>
  </si>
  <si>
    <t>Untitled (Amategram)</t>
  </si>
  <si>
    <t>Acrylic on amate bark paper</t>
  </si>
  <si>
    <t>https://www.moma.org/collection/works/105855</t>
  </si>
  <si>
    <t>https://www.moma.org/media/W1siZiIsIjEzNTcyMyJdLFsicCIsImNvbnZlcnQiLCItcmVzaXplIDEwMjR4MTAyNFx1MDAzZSJdXQ.jpg?sha=895d919308a8d238</t>
  </si>
  <si>
    <t>Wade Guyton</t>
  </si>
  <si>
    <t>Inkjet on canvas</t>
  </si>
  <si>
    <t>7' 1 1/4" x 69" (216.5 x 175.3 cm)</t>
  </si>
  <si>
    <t>https://www.moma.org/collection/works/106997</t>
  </si>
  <si>
    <t>https://www.moma.org/media/W1siZiIsIjE1OTE4OSJdLFsicCIsImNvbnZlcnQiLCItcmVzaXplIDEwMjR4MTAyNFx1MDAzZSJdXQ.jpg?sha=af8027f1cd4341e6</t>
  </si>
  <si>
    <t>Ant Farm</t>
  </si>
  <si>
    <t>Ohio to Giverny: Memory of Light</t>
  </si>
  <si>
    <t>Mary Lucier</t>
  </si>
  <si>
    <t>19 min.</t>
  </si>
  <si>
    <t>https://www.moma.org/collection/works/107630</t>
  </si>
  <si>
    <t>https://www.moma.org/media/W1siZiIsIjE1MTYxOSJdLFsicCIsImNvbnZlcnQiLCItcmVzaXplIDEwMjR4MTAyNFx1MDAzZSJdXQ.jpg?sha=f979d3800ff541f0</t>
  </si>
  <si>
    <t>Standard-definition video (black and white and color, sound)</t>
  </si>
  <si>
    <t>Pencil and ink on acetate</t>
  </si>
  <si>
    <t>14 x 11" (35.6 x 28 cm)</t>
  </si>
  <si>
    <t>https://www.moma.org/collection/works/108226</t>
  </si>
  <si>
    <t>https://www.moma.org/media/W1siZiIsIjMwOTA4MSJdLFsicCIsImNvbnZlcnQiLCItcmVzaXplIDEwMjR4MTAyNFx1MDAzZSJdXQ.jpg?sha=698713b6ae140eff</t>
  </si>
  <si>
    <t>32176, 32750, 32751, 34045</t>
  </si>
  <si>
    <t>Ink, pencil, and felt-tipped marker on transparentized paper</t>
  </si>
  <si>
    <t>House of the Century (Alvin and Marilyn Lubetkin House), Mojo Lake, TX (South and North Elevations)</t>
  </si>
  <si>
    <t>https://www.moma.org/collection/works/108952</t>
  </si>
  <si>
    <t>https://www.moma.org/media/W1siZiIsIjEyMTQzMyJdLFsicCIsImNvbnZlcnQiLCItcmVzaXplIDEwMjR4MTAyNFx1MDAzZSJdXQ.jpg?sha=6f5ff7b1e5459517</t>
  </si>
  <si>
    <t>House of the Century (Alvin and Marilyn Lubetkin House), Mojo Lake, TX (Sections)</t>
  </si>
  <si>
    <t>https://www.moma.org/collection/works/108953</t>
  </si>
  <si>
    <t>https://www.moma.org/media/W1siZiIsIjEyMTQzNCJdLFsicCIsImNvbnZlcnQiLCItcmVzaXplIDEwMjR4MTAyNFx1MDAzZSJdXQ.jpg?sha=c76d082c9eb47a33</t>
  </si>
  <si>
    <t>Seth Price</t>
  </si>
  <si>
    <t>Audio</t>
  </si>
  <si>
    <t>stanley brouwn</t>
  </si>
  <si>
    <t>Nalini Malani</t>
  </si>
  <si>
    <t>Painting Bitten by a Man</t>
  </si>
  <si>
    <t>Encaustic on canvas mounted on type plate</t>
  </si>
  <si>
    <t>9 1/2 x 6 7/8" (24.1 x 17.5 cm)</t>
  </si>
  <si>
    <t>https://www.moma.org/collection/works/109945</t>
  </si>
  <si>
    <t>https://www.moma.org/media/W1siZiIsIjIwMzUzMiJdLFsicCIsImNvbnZlcnQiLCItcmVzaXplIDEwMjR4MTAyNFx1MDAzZSJdXQ.jpg?sha=94fd7779e554147b</t>
  </si>
  <si>
    <t>18:40 min.</t>
  </si>
  <si>
    <t>Acrylic and oil on canvas</t>
  </si>
  <si>
    <t>Quarta-Feira de Cinzas/Epilogue (Ash Wednesday)</t>
  </si>
  <si>
    <t>27971, 35152</t>
  </si>
  <si>
    <t>High-definition video (color, sound)</t>
  </si>
  <si>
    <t>5:44 min.</t>
  </si>
  <si>
    <t>https://www.moma.org/collection/works/110910</t>
  </si>
  <si>
    <t>https://www.moma.org/media/W1siZiIsIjEzNTI2MiJdLFsicCIsImNvbnZlcnQiLCItcmVzaXplIDEwMjR4MTAyNFx1MDAzZSJdXQ.jpg?sha=5c507190c22deed7</t>
  </si>
  <si>
    <t>Nontransparent Monument</t>
  </si>
  <si>
    <t>Series of five ink rubbings</t>
  </si>
  <si>
    <t>(see child records)</t>
  </si>
  <si>
    <t>https://www.moma.org/collection/works/111269</t>
  </si>
  <si>
    <t>https://www.moma.org/media/W1siZiIsIjIxMzgzMSJdLFsicCIsImNvbnZlcnQiLCItcmVzaXplIDEwMjR4MTAyNFx1MDAzZSJdXQ.jpg?sha=5b3ed95dcbeba879</t>
  </si>
  <si>
    <t>https://www.moma.org/collection/works/111456</t>
  </si>
  <si>
    <t>https://www.moma.org/media/W1siZiIsIjM0OTcwNCJdLFsicCIsImNvbnZlcnQiLCItcmVzaXplIDEwMjR4MTAyNFx1MDAzZSJdXQ.jpg?sha=5e52c7f42b37ba7c</t>
  </si>
  <si>
    <t>https://www.moma.org/collection/works/111457</t>
  </si>
  <si>
    <t>https://www.moma.org/media/W1siZiIsIjM0OTcwNSJdLFsicCIsImNvbnZlcnQiLCItcmVzaXplIDEwMjR4MTAyNFx1MDAzZSJdXQ.jpg?sha=834010b4b5df81c4</t>
  </si>
  <si>
    <t>4 3/16 × 2 1/4" (10.7 × 5.7 cm)</t>
  </si>
  <si>
    <t>https://www.moma.org/collection/works/111458</t>
  </si>
  <si>
    <t>https://www.moma.org/media/W1siZiIsIjM0OTcwNiJdLFsicCIsImNvbnZlcnQiLCItcmVzaXplIDEwMjR4MTAyNFx1MDAzZSJdXQ.jpg?sha=e4e08d25aa166749</t>
  </si>
  <si>
    <t>2 11/16 × 3 15/16" (6.8 × 10 cm)</t>
  </si>
  <si>
    <t>https://www.moma.org/collection/works/111460</t>
  </si>
  <si>
    <t>https://www.moma.org/media/W1siZiIsIjM0OTcwOCJdLFsicCIsImNvbnZlcnQiLCItcmVzaXplIDEwMjR4MTAyNFx1MDAzZSJdXQ.jpg?sha=c808dd163780d878</t>
  </si>
  <si>
    <t>5 1/16 × 3 1/8" (12.8 × 8 cm)</t>
  </si>
  <si>
    <t>https://www.moma.org/collection/works/111461</t>
  </si>
  <si>
    <t>https://www.moma.org/media/W1siZiIsIjM0OTcwOSJdLFsicCIsImNvbnZlcnQiLCItcmVzaXplIDEwMjR4MTAyNFx1MDAzZSJdXQ.jpg?sha=3b4c6edd5f61b177</t>
  </si>
  <si>
    <t>3 × 3" (7.6 × 7.6 cm)</t>
  </si>
  <si>
    <t>https://www.moma.org/collection/works/111463</t>
  </si>
  <si>
    <t>https://www.moma.org/media/W1siZiIsIjM0MTM1MiJdLFsicCIsImNvbnZlcnQiLCItcmVzaXplIDEwMjR4MTAyNFx1MDAzZSJdXQ.jpg?sha=062a5284dcc0bc04</t>
  </si>
  <si>
    <t>4 × 2 1/4" (10.1 × 5.7 cm)</t>
  </si>
  <si>
    <t>https://www.moma.org/collection/works/111464</t>
  </si>
  <si>
    <t>https://www.moma.org/media/W1siZiIsIjM0OTcxMSJdLFsicCIsImNvbnZlcnQiLCItcmVzaXplIDEwMjR4MTAyNFx1MDAzZSJdXQ.jpg?sha=eb92e875aacba753</t>
  </si>
  <si>
    <t>3 3/8 × 5 9/16" (8.6 × 14.2 cm)</t>
  </si>
  <si>
    <t>https://www.moma.org/collection/works/111472</t>
  </si>
  <si>
    <t>https://www.moma.org/media/W1siZiIsIjM0MTMxMyJdLFsicCIsImNvbnZlcnQiLCItcmVzaXplIDEwMjR4MTAyNFx1MDAzZSJdXQ.jpg?sha=00fa0d5ad3a5851b</t>
  </si>
  <si>
    <t>4 1/2 × 2 15/16" (11.5 × 7.5 cm)</t>
  </si>
  <si>
    <t>https://www.moma.org/collection/works/111512</t>
  </si>
  <si>
    <t>https://www.moma.org/media/W1siZiIsIjM0OTczNyJdLFsicCIsImNvbnZlcnQiLCItcmVzaXplIDEwMjR4MTAyNFx1MDAzZSJdXQ.jpg?sha=641a8324e5b20261</t>
  </si>
  <si>
    <t>3 15/16 × 2 5/8" (10 × 6.7 cm)</t>
  </si>
  <si>
    <t>https://www.moma.org/collection/works/111513</t>
  </si>
  <si>
    <t>https://www.moma.org/media/W1siZiIsIjM0OTczOCJdLFsicCIsImNvbnZlcnQiLCItcmVzaXplIDEwMjR4MTAyNFx1MDAzZSJdXQ.jpg?sha=8d46204d86e15f8e</t>
  </si>
  <si>
    <t>https://www.moma.org/collection/works/111532</t>
  </si>
  <si>
    <t>https://www.moma.org/media/W1siZiIsIjM0OTc1OCJdLFsicCIsImNvbnZlcnQiLCItcmVzaXplIDEwMjR4MTAyNFx1MDAzZSJdXQ.jpg?sha=dbf1f539535771e8</t>
  </si>
  <si>
    <t>Ivan Serpa</t>
  </si>
  <si>
    <t>40 min.</t>
  </si>
  <si>
    <t>Huma Bhabha</t>
  </si>
  <si>
    <t>Album (Madeline Tomaini)</t>
  </si>
  <si>
    <t>Inkjet prints and mixed media</t>
  </si>
  <si>
    <t xml:space="preserve">39 3/8" × 8' 9 3/4" (100 × 268.6 cm)_x000D_
</t>
  </si>
  <si>
    <t>https://www.moma.org/collection/works/114922</t>
  </si>
  <si>
    <t>https://www.moma.org/media/W1siZiIsIjEyODMzMCJdLFsicCIsImNvbnZlcnQiLCItcmVzaXplIDEwMjR4MTAyNFx1MDAzZSJdXQ.jpg?sha=fcd085611745643d</t>
  </si>
  <si>
    <t>Charlotte Posenenske</t>
  </si>
  <si>
    <t>Homage to J. S. Bach</t>
  </si>
  <si>
    <t>winter 1911-12</t>
  </si>
  <si>
    <t xml:space="preserve">21 1/4 x 28 3/4" (54 x 73 cm)_x000D_
</t>
  </si>
  <si>
    <t>https://www.moma.org/collection/works/116275</t>
  </si>
  <si>
    <t>https://www.moma.org/media/W1siZiIsIjE2MjMyNiJdLFsicCIsImNvbnZlcnQiLCItcmVzaXplIDEwMjR4MTAyNFx1MDAzZSJdXQ.jpg?sha=4f72d881cd2df965</t>
  </si>
  <si>
    <t>3:40 min.</t>
  </si>
  <si>
    <t>31 min.</t>
  </si>
  <si>
    <t>Chip Lord</t>
  </si>
  <si>
    <t>Michael Smith</t>
  </si>
  <si>
    <t>Simone Forti</t>
  </si>
  <si>
    <t>Solo No. 1</t>
  </si>
  <si>
    <t>https://www.moma.org/collection/works/118244</t>
  </si>
  <si>
    <t>https://www.moma.org/media/W1siZiIsIjI1NTAyNSJdLFsicCIsImNvbnZlcnQiLCItcmVzaXplIDEwMjR4MTAyNFx1MDAzZSJdXQ.jpg?sha=578d749ac6ffa17a</t>
  </si>
  <si>
    <t>9:30 min.</t>
  </si>
  <si>
    <t>https://www.moma.org/collection/works/118501</t>
  </si>
  <si>
    <t>https://www.moma.org/media/W1siZiIsIjE0ODIwOSJdLFsicCIsImNvbnZlcnQiLCItcmVzaXplIDEwMjR4MTAyNFx1MDAzZSJdXQ.jpg?sha=969a891289a769da</t>
  </si>
  <si>
    <t>Cao Guimarães</t>
  </si>
  <si>
    <t>Ponder-r-rosa 4, White Plains, Yellow Rocks</t>
  </si>
  <si>
    <t>Latex, metal snaps, and push pins, 16 sculptures</t>
  </si>
  <si>
    <t xml:space="preserve">Each 17 x 26 x 5 3/4" (43.2 x 66 x 14.6 cm), overall 68" x 20' 10" x 5 3/4" (172.7 x 635 x 14.6 cm)_x000D_
</t>
  </si>
  <si>
    <t>https://www.moma.org/collection/works/118979</t>
  </si>
  <si>
    <t>https://www.moma.org/media/W1siZiIsIjE2Mzg5NiJdLFsicCIsImNvbnZlcnQiLCItcmVzaXplIDEwMjR4MTAyNFx1MDAzZSJdXQ.jpg?sha=46963c766c1c95be</t>
  </si>
  <si>
    <t>One from a series of ten monoprints with lithograph, woodcut, screenprint, and digital print, with ink, acrylic, and collage additions</t>
  </si>
  <si>
    <t>composition (irreg.): 29 1/2 x 21 5/16" (75 x 54.2 cm); sheet: 30 5/16 x 21 15/16" (77 x 55.7 cm)</t>
  </si>
  <si>
    <t>https://www.moma.org/collection/works/119064</t>
  </si>
  <si>
    <t>https://www.moma.org/media/W1siZiIsIjI2MDM4NiJdLFsicCIsImNvbnZlcnQiLCItcmVzaXplIDEwMjR4MTAyNFx1MDAzZSJdXQ.jpg?sha=069ca1d3d91afd43</t>
  </si>
  <si>
    <t>composition (irreg.): 25 5/16 x 18 9/16" (64.3 x 47.2 cm); sheet: 30 1/16 x 22 1/2" (76.4 x 57.2 cm)</t>
  </si>
  <si>
    <t>https://www.moma.org/collection/works/119065</t>
  </si>
  <si>
    <t>https://www.moma.org/media/W1siZiIsIjI2MDM4OCJdLFsicCIsImNvbnZlcnQiLCItcmVzaXplIDEwMjR4MTAyNFx1MDAzZSJdXQ.jpg?sha=ad0a39ca8a930636</t>
  </si>
  <si>
    <t>Trio A</t>
  </si>
  <si>
    <t>Yvonne Rainer</t>
  </si>
  <si>
    <t>16mm film transferred to standard-definition video (black and white, silent)</t>
  </si>
  <si>
    <t>10:21 min.</t>
  </si>
  <si>
    <t>https://www.moma.org/collection/works/119867</t>
  </si>
  <si>
    <t>https://www.moma.org/media/W1siZiIsIjI1MDQ2NiJdLFsicCIsImNvbnZlcnQiLCItcmVzaXplIDEwMjR4MTAyNFx1MDAzZSJdXQ.jpg?sha=11c7e861c952eb44</t>
  </si>
  <si>
    <t>Isaac Julien</t>
  </si>
  <si>
    <t>Guano-Round</t>
  </si>
  <si>
    <t>Judit Reigl</t>
  </si>
  <si>
    <t>1958-64</t>
  </si>
  <si>
    <t>Oil, alkyd, and acrylic on canvas</t>
  </si>
  <si>
    <t>6' 11 1/2" x 69" (212.1 x 175.3 cm)</t>
  </si>
  <si>
    <t>https://www.moma.org/collection/works/122661</t>
  </si>
  <si>
    <t>https://www.moma.org/media/W1siZiIsIjUzMzI1NiJdLFsicCIsImNvbnZlcnQiLCItcmVzaXplIDEwMjR4MTAyNFx1MDAzZSJdXQ.jpg?sha=e8230f225f731aa1</t>
  </si>
  <si>
    <t>Beatriz González</t>
  </si>
  <si>
    <t>Rionegro, Santander</t>
  </si>
  <si>
    <t>36 1/4 x 42 1/8" (92 x 107 cm)</t>
  </si>
  <si>
    <t>https://www.moma.org/collection/works/125438</t>
  </si>
  <si>
    <t>https://www.moma.org/media/W1siZiIsIjE4MjEyNiJdLFsicCIsImNvbnZlcnQiLCItcmVzaXplIDEwMjR4MTAyNFx1MDAzZSJdXQ.jpg?sha=0d30a6142aca65d9</t>
  </si>
  <si>
    <t>protekt, universal protection set, Postcard</t>
  </si>
  <si>
    <t>https://www.moma.org/collection/works/126077</t>
  </si>
  <si>
    <t>https://www.moma.org/media/W1siZiIsIjIzNDkyNiJdLFsicCIsImNvbnZlcnQiLCItcmVzaXplIDEwMjR4MTAyNFx1MDAzZSJdXQ.jpg?sha=5dca5acb9e1664a6</t>
  </si>
  <si>
    <t>George Maciunas</t>
  </si>
  <si>
    <t>Rx: Stress Formula</t>
  </si>
  <si>
    <t>Nye Ffarrabas (formerly Bici Forbes and Bici Forbes Hendricks)</t>
  </si>
  <si>
    <t>c. 1970-78</t>
  </si>
  <si>
    <t>Pill bottle with ink on pressure-sensitive labels, containing photocopy in twenty-six gelatin capsules</t>
  </si>
  <si>
    <t>component (.a (bottle)): 5 1/16 x 1 3/4" (12.9 x 4.4 cm); component (.b (stopper cap)): 7/8 x 1 5/8" (2.3 x 4.1 cm)</t>
  </si>
  <si>
    <t>https://www.moma.org/collection/works/127182</t>
  </si>
  <si>
    <t>https://www.moma.org/media/W1siZiIsIjIwMTc5MiJdLFsicCIsImNvbnZlcnQiLCItcmVzaXplIDEwMjR4MTAyNFx1MDAzZSJdXQ.jpg?sha=ab1ed8e0ebb4f2ba</t>
  </si>
  <si>
    <t>image and sheet: 8 3/16 x 6 5/16" (20.8 x 16 cm)</t>
  </si>
  <si>
    <t>Excerpt from The Friday Book of White Noise (1963-65), performed at Café au Go Go, New York, March 1, 1965</t>
  </si>
  <si>
    <t>2591, 37701</t>
  </si>
  <si>
    <t>Typewriting, ink, colored pencil and tape on paper</t>
  </si>
  <si>
    <t>overall: 12 5/8 x 14 3/8 x 5 1/2" (32 x 36.5 x 14 cm)</t>
  </si>
  <si>
    <t>https://www.moma.org/collection/works/127355</t>
  </si>
  <si>
    <t>https://www.moma.org/media/W1siZiIsIjMwMTUxNiJdLFsicCIsImNvbnZlcnQiLCItcmVzaXplIDEwMjR4MTAyNFx1MDAzZSJdXQ.jpg?sha=38376899f342b543</t>
  </si>
  <si>
    <t>Kate Millett</t>
  </si>
  <si>
    <t>Alison Knowles</t>
  </si>
  <si>
    <t>image and sheet: 6 15/16 x 9 3/8" (17.6 x 23.8 cm)</t>
  </si>
  <si>
    <t>La Monte Young's Composition 1960 #10 (to Bob Morris) performed by Nam June Paik during Fluxus Internationale Festspiele Neuester Musik, Städtisches Museum, Wiesbaden, September 1–23, 1962</t>
  </si>
  <si>
    <t>6520, 4469</t>
  </si>
  <si>
    <t>image and sheet: 6 3/8 x 8 1/4" (16.2 x 20.9 cm)</t>
  </si>
  <si>
    <t>https://www.moma.org/collection/works/127631</t>
  </si>
  <si>
    <t>https://www.moma.org/media/W1siZiIsIjE5MDAwNSJdLFsicCIsImNvbnZlcnQiLCItcmVzaXplIDEwMjR4MTAyNFx1MDAzZSJdXQ.jpg?sha=9bc5753d3aa08b2d</t>
  </si>
  <si>
    <t>image and sheet: 8 3/16 x 6 5/16" (20.8 x 16.1 cm)</t>
  </si>
  <si>
    <t>https://www.moma.org/collection/works/127633</t>
  </si>
  <si>
    <t>https://www.moma.org/media/W1siZiIsIjE5MDAwNiJdLFsicCIsImNvbnZlcnQiLCItcmVzaXplIDEwMjR4MTAyNFx1MDAzZSJdXQ.jpg?sha=6d11ed4257a6a157</t>
  </si>
  <si>
    <t>image and sheet: 9 3/8 x 6 7/8" (23.8 x 17.5 cm)</t>
  </si>
  <si>
    <t>https://www.moma.org/collection/works/127634</t>
  </si>
  <si>
    <t>https://www.moma.org/media/W1siZiIsIjE5MDAwNyJdLFsicCIsImNvbnZlcnQiLCItcmVzaXplIDEwMjR4MTAyNFx1MDAzZSJdXQ.jpg?sha=f4b2da200db5e24c</t>
  </si>
  <si>
    <t>https://www.moma.org/collection/works/127635</t>
  </si>
  <si>
    <t>https://www.moma.org/media/W1siZiIsIjI0NDA4NiJdLFsicCIsImNvbnZlcnQiLCItcmVzaXplIDEwMjR4MTAyNFx1MDAzZSJdXQ.jpg?sha=d3ac545d929b3433</t>
  </si>
  <si>
    <t>https://www.moma.org/collection/works/127636</t>
  </si>
  <si>
    <t>https://www.moma.org/media/W1siZiIsIjI1NTYxMyJdLFsicCIsImNvbnZlcnQiLCItcmVzaXplIDEwMjR4MTAyNFx1MDAzZSJdXQ.jpg?sha=9988f9e30e611aba</t>
  </si>
  <si>
    <t>https://www.moma.org/collection/works/127637</t>
  </si>
  <si>
    <t>https://www.moma.org/media/W1siZiIsIjE5Mzc2OSJdLFsicCIsImNvbnZlcnQiLCItcmVzaXplIDEwMjR4MTAyNFx1MDAzZSJdXQ.jpg?sha=1ccbc76273927ef5</t>
  </si>
  <si>
    <t>Disappearing Music for Face</t>
  </si>
  <si>
    <t>Bean Rolls</t>
  </si>
  <si>
    <t>Metal tin with offset label, containing dried beans and sixteen offset scrolls</t>
  </si>
  <si>
    <t>overall: 3 1/4 x 3 1/4 x 3 1/8" (8.2 x 8.2 x 8 cm)</t>
  </si>
  <si>
    <t>https://www.moma.org/collection/works/128090</t>
  </si>
  <si>
    <t>https://www.moma.org/media/W1siZiIsIjI3ODg2OCJdLFsicCIsImNvbnZlcnQiLCItcmVzaXplIDEwMjR4MTAyNFx1MDAzZSJdXQ.jpg?sha=c3bee1cbba6a4dcd</t>
  </si>
  <si>
    <t>Artist's book, offset printed, and envelope with letterpress</t>
  </si>
  <si>
    <t>page (each): 1 15/16 x 3 1/8" (5 x 8 cm); envelope: 2 3/16 x 3 9/16" (5.5 x 9 cm)</t>
  </si>
  <si>
    <t>https://www.moma.org/collection/works/128127</t>
  </si>
  <si>
    <t>https://www.moma.org/media/W1siZiIsIjI1NTYxNSJdLFsicCIsImNvbnZlcnQiLCItcmVzaXplIDEwMjR4MTAyNFx1MDAzZSJdXQ.jpg?sha=f11614524a4efd1b</t>
  </si>
  <si>
    <t>Apron (Stomach Anatomy Apron)</t>
  </si>
  <si>
    <t>Screenprint on fabric-backed vinyl with metal grommets</t>
  </si>
  <si>
    <t>overall: 19 15/16 x 16" (50.7 x 40.6 cm)</t>
  </si>
  <si>
    <t>https://www.moma.org/collection/works/128172</t>
  </si>
  <si>
    <t>https://www.moma.org/media/W1siZiIsIjI2ODg1MSJdLFsicCIsImNvbnZlcnQiLCItcmVzaXplIDEwMjR4MTAyNFx1MDAzZSJdXQ.jpg?sha=bae211c0631cac43</t>
  </si>
  <si>
    <t>Crayon, watercolor, and felt-tip pen on paper</t>
  </si>
  <si>
    <t>42 7/8 x 30 3/8" (108.9 x 77.2 cm)</t>
  </si>
  <si>
    <t>https://www.moma.org/collection/works/128480</t>
  </si>
  <si>
    <t>https://www.moma.org/media/W1siZiIsIjE4MjY2OSJdLFsicCIsImNvbnZlcnQiLCItcmVzaXplIDEwMjR4MTAyNFx1MDAzZSJdXQ.jpg?sha=c65e3f1b9b7903b1</t>
  </si>
  <si>
    <t>Stenciled Frieze Panel from the Trading Room of the Chicago Stock Exchange, Chicago, IL</t>
  </si>
  <si>
    <t>37368, 5723</t>
  </si>
  <si>
    <t>56 x 53 1/2" (142.2 x 135.9 cm)</t>
  </si>
  <si>
    <t>https://www.moma.org/collection/works/129387</t>
  </si>
  <si>
    <t>https://www.moma.org/media/W1siZiIsIjE5MzMxNyJdLFsicCIsImNvbnZlcnQiLCItcmVzaXplIDEwMjR4MTAyNFx1MDAzZSJdXQ.jpg?sha=a66cc7c5c9c1843f</t>
  </si>
  <si>
    <t>Notebook</t>
  </si>
  <si>
    <t>Nest</t>
  </si>
  <si>
    <t>The Inside Is the Outside</t>
  </si>
  <si>
    <t>16 x 17 1/2 x 14 3/4" (40.6 x 44.5 x 37.5 cm)</t>
  </si>
  <si>
    <t>https://www.moma.org/collection/works/133319</t>
  </si>
  <si>
    <t>https://www.moma.org/media/W1siZiIsIjI0MTI5MSJdLFsicCIsImNvbnZlcnQiLCItcmVzaXplIDEwMjR4MTAyNFx1MDAzZSJdXQ.jpg?sha=92b4be913154b00b</t>
  </si>
  <si>
    <t>14 × 11" (35.6 × 27.9 cm)</t>
  </si>
  <si>
    <t>Sallim</t>
  </si>
  <si>
    <t>Haegue Yang</t>
  </si>
  <si>
    <t>Steel frame, perforated metal plate, caster, aluminum venetian blinds, knitting yarn, acrylic mirror, IV stand, light bulbs, cable, electric fan, timer, garlic, dishes, hot pad, and scent emitter</t>
  </si>
  <si>
    <t>8' 2 1/2" x 13' 9 3/8" x 10' 2" (250 x 420 x 310 cm)</t>
  </si>
  <si>
    <t>https://www.moma.org/collection/works/134272</t>
  </si>
  <si>
    <t>https://www.moma.org/media/W1siZiIsIjE4MzE3MyJdLFsicCIsImNvbnZlcnQiLCItcmVzaXplIDEwMjR4MTAyNFx1MDAzZSJdXQ.jpg?sha=a9cbaa8fd46e4d26</t>
  </si>
  <si>
    <t>Charles Henri Ford</t>
  </si>
  <si>
    <t>Cups Wallpaper</t>
  </si>
  <si>
    <t>composition and sheet: 16 9/16 x 23 7/16" (42.1 x 59.5 cm)</t>
  </si>
  <si>
    <t>https://www.moma.org/collection/works/134489</t>
  </si>
  <si>
    <t>https://www.moma.org/media/W1siZiIsIjE5MDgyNSJdLFsicCIsImNvbnZlcnQiLCItcmVzaXplIDEwMjR4MTAyNFx1MDAzZSJdXQ.jpg?sha=d42870f0f08102ae</t>
  </si>
  <si>
    <t>Harmony Hammond</t>
  </si>
  <si>
    <t>Martha Wilson</t>
  </si>
  <si>
    <t>Punctuation Poems</t>
  </si>
  <si>
    <t>Envelope with offset label containing 20 offset cards</t>
  </si>
  <si>
    <t>envelope: 6 7/16 x 4" (16.3 x 10.1 cm); cards (each approx).: 5 1/2 x 3 3/8" (14 x 8.5 cm)</t>
  </si>
  <si>
    <t>https://www.moma.org/collection/works/135445</t>
  </si>
  <si>
    <t>https://www.moma.org/media/W1siZiIsIjM5NzQyOSJdLFsicCIsImNvbnZlcnQiLCItcmVzaXplIDEwMjR4MTAyNFx1MDAzZSJdXQ.jpg?sha=78a8389c958d9735</t>
  </si>
  <si>
    <t>Egg/Time Event</t>
  </si>
  <si>
    <t>Plaster block with stamped ink</t>
  </si>
  <si>
    <t>3 1/8 × 3 × 2 1/8" (7.9 × 7.6 × 5.4 cm)</t>
  </si>
  <si>
    <t>https://www.moma.org/collection/works/135452</t>
  </si>
  <si>
    <t>https://www.moma.org/media/W1siZiIsIjM5MDAwNSJdLFsicCIsImNvbnZlcnQiLCItcmVzaXplIDEwMjR4MTAyNFx1MDAzZSJdXQ.jpg?sha=d72678711c671c41</t>
  </si>
  <si>
    <t>1973/1977</t>
  </si>
  <si>
    <t>8 1/4 × 11 3/4" (21 × 29.8 cm)</t>
  </si>
  <si>
    <t>5 1/2 × 6 1/2" (14 × 16.5 cm)</t>
  </si>
  <si>
    <t>https://www.moma.org/collection/works/140178</t>
  </si>
  <si>
    <t>https://www.moma.org/media/W1siZiIsIjIxNzg4NSJdLFsicCIsImNvbnZlcnQiLCItcmVzaXplIDEwMjR4MTAyNFx1MDAzZSJdXQ.jpg?sha=dc7087042a605355</t>
  </si>
  <si>
    <t>Bronze, six parts</t>
  </si>
  <si>
    <t xml:space="preserve">Each 50 x 7 x 7" (127 x 17.8 x 17.8 cm), 40 x 6 x 6" (101.6 x 15.2 x 15.2 cm), 39 x 5 x 5" (99.1 x 12.7 x 12.7 cm), 38 x 4 1/2 x 4 1/2" (96.5 x 11.4 x 11.4 cm), 27 1/2 x 5 x 4 1/2" (69.9 x 12.7 x 11.4 cm), and 14 1/2 x 5 x 4" (36.8 x 12.7 x 10.2 cm)_x000D_
_x000D_
</t>
  </si>
  <si>
    <t>https://www.moma.org/collection/works/140333</t>
  </si>
  <si>
    <t>https://www.moma.org/media/W1siZiIsIjE5NDk0NCJdLFsicCIsImNvbnZlcnQiLCItcmVzaXplIDEwMjR4MTAyNFx1MDAzZSJdXQ.jpg?sha=4ff4b79241e85915</t>
  </si>
  <si>
    <t>Academy</t>
  </si>
  <si>
    <t>New York 1955</t>
  </si>
  <si>
    <t>Oil-based house paint, pencil, colored pencil, and pastel on canvas</t>
  </si>
  <si>
    <t>75 1/4 x 94 7/8" (191.1 x 241 cm)</t>
  </si>
  <si>
    <t>https://www.moma.org/collection/works/140482</t>
  </si>
  <si>
    <t>https://www.moma.org/media/W1siZiIsIjI0NzExMCJdLFsicCIsImNvbnZlcnQiLCItcmVzaXplIDEwMjR4MTAyNFx1MDAzZSJdXQ.jpg?sha=f9f8f08c2fda74d0</t>
  </si>
  <si>
    <t>3 13/16 × 3 13/16" (9.7 × 9.7 cm)</t>
  </si>
  <si>
    <t>https://www.moma.org/collection/works/141034</t>
  </si>
  <si>
    <t>https://www.moma.org/media/W1siZiIsIjMyMjQ1MiJdLFsicCIsImNvbnZlcnQiLCItcmVzaXplIDEwMjR4MTAyNFx1MDAzZSJdXQ.jpg?sha=fa55f4136b4e0033</t>
  </si>
  <si>
    <t>Shirley Jean Emerman</t>
  </si>
  <si>
    <t>Louis Emerman</t>
  </si>
  <si>
    <t>Summer 1923</t>
  </si>
  <si>
    <t>4 1/8 × 2 3/8" (10.4 × 6.1 cm)</t>
  </si>
  <si>
    <t>https://www.moma.org/collection/works/141041</t>
  </si>
  <si>
    <t>https://www.moma.org/media/W1siZiIsIjMyMjM3NyJdLFsicCIsImNvbnZlcnQiLCItcmVzaXplIDEwMjR4MTAyNFx1MDAzZSJdXQ.jpg?sha=989752f16542f0ba</t>
  </si>
  <si>
    <t>5 3/4 × 3 9/16" (14.6 × 9 cm)</t>
  </si>
  <si>
    <t>https://www.moma.org/collection/works/141097</t>
  </si>
  <si>
    <t>https://www.moma.org/media/W1siZiIsIjM5MjI3NCJdLFsicCIsImNvbnZlcnQiLCItcmVzaXplIDEwMjR4MTAyNFx1MDAzZSJdXQ.jpg?sha=68b2a38becea0703</t>
  </si>
  <si>
    <t>3 1/16 × 5 1/4" (7.7 × 13.4 cm)</t>
  </si>
  <si>
    <t>https://www.moma.org/collection/works/141124</t>
  </si>
  <si>
    <t>https://www.moma.org/media/W1siZiIsIjQyODkzMiJdLFsicCIsImNvbnZlcnQiLCItcmVzaXplIDEwMjR4MTAyNFx1MDAzZSJdXQ.jpg?sha=64b82e1858b8e3f2</t>
  </si>
  <si>
    <t>2 3/8 × 4 3/16" (6.1 × 10.7 cm)</t>
  </si>
  <si>
    <t>https://www.moma.org/collection/works/141225</t>
  </si>
  <si>
    <t>https://www.moma.org/media/W1siZiIsIjMyMjQ0MSJdLFsicCIsImNvbnZlcnQiLCItcmVzaXplIDEwMjR4MTAyNFx1MDAzZSJdXQ.jpg?sha=218a624fa81965bf</t>
  </si>
  <si>
    <t>2 3/4 × 4 1/2" (7 × 11.4 cm)</t>
  </si>
  <si>
    <t>https://www.moma.org/collection/works/141264</t>
  </si>
  <si>
    <t>https://www.moma.org/media/W1siZiIsIjMyMzkyOSJdLFsicCIsImNvbnZlcnQiLCItcmVzaXplIDEwMjR4MTAyNFx1MDAzZSJdXQ.jpg?sha=c8221b82ab12e08e</t>
  </si>
  <si>
    <t>Thai</t>
  </si>
  <si>
    <t>Bleekmen</t>
  </si>
  <si>
    <t>Clay, wood, wire, Styrofoam, plastic, cast iron, fabric, aluminum, synthetic polymer paint, ink, paper, and brass wire</t>
  </si>
  <si>
    <t>7' 8 1/2" x 36" x 31 1/2" (235 x 91.4 x 80 cm)</t>
  </si>
  <si>
    <t>https://www.moma.org/collection/works/143370</t>
  </si>
  <si>
    <t>https://www.moma.org/media/W1siZiIsIjIzNDg5MSJdLFsicCIsImNvbnZlcnQiLCItcmVzaXplIDEwMjR4MTAyNFx1MDAzZSJdXQ.jpg?sha=159908ba23ea2356</t>
  </si>
  <si>
    <t>Kerstin Brätsch</t>
  </si>
  <si>
    <t>Nontransparent Monument (Stele 1)</t>
  </si>
  <si>
    <t>One from a series of five ink rubbings</t>
  </si>
  <si>
    <t>composition (irreg.): 90 3/16 x 49 5/8" (229 x 126 cm); sheet (irreg.): 96 1/16 x 51 3/16" (244 x 130 cm)</t>
  </si>
  <si>
    <t>https://www.moma.org/collection/works/145867</t>
  </si>
  <si>
    <t>Nontransparent Monument (Stele 3)</t>
  </si>
  <si>
    <t>composition (irreg.): 73 1/4 x 49 3/16" (186 x 125 cm); sheet (irreg.): 76 15/16 x 51 3/16" (195.5 x 130 cm)</t>
  </si>
  <si>
    <t>https://www.moma.org/collection/works/145868</t>
  </si>
  <si>
    <t>https://www.moma.org/media/W1siZiIsIjIxMzgzMiJdLFsicCIsImNvbnZlcnQiLCItcmVzaXplIDEwMjR4MTAyNFx1MDAzZSJdXQ.jpg?sha=5a4b23241a12378a</t>
  </si>
  <si>
    <t>Nontransparent Monument (Stele 4)</t>
  </si>
  <si>
    <t>composition (irreg.): 61 13/16 x 51 3/16" (157 x 130 cm); sheet (irreg.): 69 5/16 x 51 9/16" (176 x 131 cm)</t>
  </si>
  <si>
    <t>https://www.moma.org/collection/works/145869</t>
  </si>
  <si>
    <t>https://www.moma.org/media/W1siZiIsIjIxMzgzMyJdLFsicCIsImNvbnZlcnQiLCItcmVzaXplIDEwMjR4MTAyNFx1MDAzZSJdXQ.jpg?sha=c773a980aa186edb</t>
  </si>
  <si>
    <t>Nontransparent Monument (Stele 6)</t>
  </si>
  <si>
    <t>composition (irreg.): 83 1/4 × 46 5/8" (211.5 × 118.5 cm); sheet (irreg.): 88 7/8 × 51 3/16" (225.7 × 130 cm)</t>
  </si>
  <si>
    <t>https://www.moma.org/collection/works/145870</t>
  </si>
  <si>
    <t>https://www.moma.org/media/W1siZiIsIjIxMzgzNCJdLFsicCIsImNvbnZlcnQiLCItcmVzaXplIDEwMjR4MTAyNFx1MDAzZSJdXQ.jpg?sha=a71d9419585609bb</t>
  </si>
  <si>
    <t>Nontransparent Monument (Stele 7)</t>
  </si>
  <si>
    <t>composition (irreg.): 67 5/16 x 48 13/16" (171 x 124 cm); sheet (irreg.): 76 3/8 x 51 3/16" (194 x 130 cm)</t>
  </si>
  <si>
    <t>https://www.moma.org/collection/works/145871</t>
  </si>
  <si>
    <t>https://www.moma.org/media/W1siZiIsIjIxMzgzNSJdLFsicCIsImNvbnZlcnQiLCItcmVzaXplIDEwMjR4MTAyNFx1MDAzZSJdXQ.jpg?sha=9f3168b1861f59ce</t>
  </si>
  <si>
    <t>Gelatin silver print, printed 2011</t>
  </si>
  <si>
    <t>Vibrational Structure from a Circle, Series B</t>
  </si>
  <si>
    <t>Lidy Prati</t>
  </si>
  <si>
    <t>31 1/2 x 11 13/16" (80 x 30 cm)</t>
  </si>
  <si>
    <t>https://www.moma.org/collection/works/146845</t>
  </si>
  <si>
    <t>https://www.moma.org/media/W1siZiIsIjQ2MjY1NiJdLFsicCIsImNvbnZlcnQiLCItcmVzaXplIDEwMjR4MTAyNFx1MDAzZSJdXQ.jpg?sha=eb9e3b1c8c10b5e7</t>
  </si>
  <si>
    <t>A Second of Time</t>
  </si>
  <si>
    <t>Kathy Acker</t>
  </si>
  <si>
    <t>Spiral-bound notebook with marker, crayon, pencil, colored pencil, paint, correction fluid, cut-and-pasted paper, and tape, containing photocopy, typewriting on paper, and ink on card</t>
  </si>
  <si>
    <t>12 3/8 × 10 × 1 1/2" (31.4 × 25.4 × 3.8 cm)</t>
  </si>
  <si>
    <t>https://www.moma.org/collection/works/146951</t>
  </si>
  <si>
    <t>https://www.moma.org/media/W1siZiIsIjU1ODQ0NiJdLFsicCIsImNvbnZlcnQiLCItcmVzaXplIDEwMjR4MTAyNFx1MDAzZSJdXQ.jpg?sha=99705918c8c7b674</t>
  </si>
  <si>
    <t>Antwerp-Brussels (People and Time)</t>
  </si>
  <si>
    <t>35162, 41483</t>
  </si>
  <si>
    <t>Each 11 11/16 × 9 5/16" (29.7 × 23.6 cm)</t>
  </si>
  <si>
    <t>https://www.moma.org/collection/works/147070</t>
  </si>
  <si>
    <t>https://www.moma.org/media/W1siZiIsIjI0MDIxMCJdLFsicCIsImNvbnZlcnQiLCItcmVzaXplIDEwMjR4MTAyNFx1MDAzZSJdXQ.jpg?sha=7d53cfae008cab77</t>
  </si>
  <si>
    <t>Lynn Hershman Leeson</t>
  </si>
  <si>
    <t>Roberta's Construction Chart #2</t>
  </si>
  <si>
    <t>Chromogenic print, printed 2003</t>
  </si>
  <si>
    <t>22 15/16 × 29 5/8" (58.3 × 75.3 cm)</t>
  </si>
  <si>
    <t>https://www.moma.org/collection/works/147308</t>
  </si>
  <si>
    <t>https://www.moma.org/media/W1siZiIsIjIzMTk5OCJdLFsicCIsImNvbnZlcnQiLCItcmVzaXplIDEwMjR4MTAyNFx1MDAzZSJdXQ.jpg?sha=37ae17f619c07aea</t>
  </si>
  <si>
    <t>Saburo Murakami</t>
  </si>
  <si>
    <t>16mm film transferred to standard-definition video (color, sound)</t>
  </si>
  <si>
    <t>58 5/8 x 42 7/8" (149 x 108.9 cm)</t>
  </si>
  <si>
    <t>Theatrical Composition</t>
  </si>
  <si>
    <t>https://www.moma.org/collection/works/147941</t>
  </si>
  <si>
    <t>https://www.moma.org/media/W1siZiIsIjE3OTU0NiJdLFsicCIsImNvbnZlcnQiLCItcmVzaXplIDEwMjR4MTAyNFx1MDAzZSJdXQ.jpg?sha=39d65d9e0ea4b773</t>
  </si>
  <si>
    <t>Tauba Auerbach</t>
  </si>
  <si>
    <t>Dial-A-Poem</t>
  </si>
  <si>
    <t>1968/2012</t>
  </si>
  <si>
    <t>8 1/4 × 11 5/8" (21 × 29.5 cm)</t>
  </si>
  <si>
    <t>Geopark, Stavanger, Norway (Scale model, 1:200)</t>
  </si>
  <si>
    <t>40431, 40432</t>
  </si>
  <si>
    <t>Plexiglass, metal, sand, plastic and card</t>
  </si>
  <si>
    <t>1 3/8 × 25 1/4 × 15 1/8" (3.5 × 64.1 × 38.4 cm)_x000D_
.a (left side): 1 3/8 × 15 1/8 × 15 1/8" (3.5 × 38.4 × 38.4 cm)_x000D_
.b (right side): 1 3/8 × 15 1/8 × 15 1/8" (3.5 × 38.4 × 38.4 cm)</t>
  </si>
  <si>
    <t>https://www.moma.org/collection/works/150061</t>
  </si>
  <si>
    <t>https://www.moma.org/media/W1siZiIsIjU4NTkwMCJdLFsicCIsImNvbnZlcnQiLCItcmVzaXplIDEwMjR4MTAyNFx1MDAzZSJdXQ.jpg?sha=689fef19340d13c7</t>
  </si>
  <si>
    <t>Geopark, Stavanger, Norway (Plan sketch)</t>
  </si>
  <si>
    <t>40432, 40431</t>
  </si>
  <si>
    <t>11 13/16 x 7 7/8" (30 x 20 cm)</t>
  </si>
  <si>
    <t>https://www.moma.org/collection/works/150077</t>
  </si>
  <si>
    <t>https://www.moma.org/media/W1siZiIsIjIzMzUyNCJdLFsicCIsImNvbnZlcnQiLCItcmVzaXplIDEwMjR4MTAyNFx1MDAzZSJdXQ.jpg?sha=2ef8e2e57f80d200</t>
  </si>
  <si>
    <t>Shooting Painting American Embassy</t>
  </si>
  <si>
    <t>Paint, plaster, wood, plastic bags, shoe, twine, metal seat, axe, metal can, toy gun, wire mesh, shot pellets, and other objects on wood</t>
  </si>
  <si>
    <t>96 3/8 x 25 7/8 x 8 5/8" (244.8 x 65.7 x 21.9 cm)</t>
  </si>
  <si>
    <t>https://www.moma.org/collection/works/150143</t>
  </si>
  <si>
    <t>https://www.moma.org/media/W1siZiIsIjQ0OTI4NiJdLFsicCIsImNvbnZlcnQiLCItcmVzaXplIDEwMjR4MTAyNFx1MDAzZSJdXQ.jpg?sha=b9e41e5d2709bba8</t>
  </si>
  <si>
    <t>R.S.V.P. I</t>
  </si>
  <si>
    <t>Senga Nengudi</t>
  </si>
  <si>
    <t>1977/2003</t>
  </si>
  <si>
    <t>Pantyhose and sand, 10 pieces</t>
  </si>
  <si>
    <t>https://www.moma.org/collection/works/151035</t>
  </si>
  <si>
    <t>https://www.moma.org/media/W1siZiIsIjIzNTAzNiJdLFsicCIsImNvbnZlcnQiLCItcmVzaXplIDEwMjR4MTAyNFx1MDAzZSJdXQ.jpg?sha=41870757f51597d0</t>
  </si>
  <si>
    <t>Faces: Men and Women, #11, "Mary Ann Aloojian"</t>
  </si>
  <si>
    <t>Charles Gaines</t>
  </si>
  <si>
    <t>Gelatin silver print and ink on three sheets of paper</t>
  </si>
  <si>
    <t>sheet (each): 23 x 19" (58.4 x 48.3 cm)</t>
  </si>
  <si>
    <t>https://www.moma.org/collection/works/151314</t>
  </si>
  <si>
    <t>https://www.moma.org/media/W1siZiIsIjMyODE0OCJdLFsicCIsImNvbnZlcnQiLCItcmVzaXplIDEwMjR4MTAyNFx1MDAzZSJdXQ.jpg?sha=6d3b5e349af1b858</t>
  </si>
  <si>
    <t>Daar is geen Indiane in Suide Afrika</t>
  </si>
  <si>
    <t>14 5/8 x 9 3/4" (37.1 x 24.8 cm)</t>
  </si>
  <si>
    <t>https://www.moma.org/collection/works/151482</t>
  </si>
  <si>
    <t>https://www.moma.org/media/W1siZiIsIjIzNDE0MCJdLFsicCIsImNvbnZlcnQiLCItcmVzaXplIDEwMjR4MTAyNFx1MDAzZSJdXQ.jpg?sha=46031e9b2fa40cc3</t>
  </si>
  <si>
    <t>14 3/4 x 9 3/4" (37.5 x 24.8 cm)</t>
  </si>
  <si>
    <t>https://www.moma.org/collection/works/151484</t>
  </si>
  <si>
    <t>https://www.moma.org/media/W1siZiIsIjIzNDE0MyJdLFsicCIsImNvbnZlcnQiLCItcmVzaXplIDEwMjR4MTAyNFx1MDAzZSJdXQ.jpg?sha=2d31dcbf8dba7163</t>
  </si>
  <si>
    <t>14 5/8 x 9 5/8" (37.1 x 24.4 cm)</t>
  </si>
  <si>
    <t>https://www.moma.org/collection/works/151487</t>
  </si>
  <si>
    <t>https://www.moma.org/media/W1siZiIsIjIzNDE0NiJdLFsicCIsImNvbnZlcnQiLCItcmVzaXplIDEwMjR4MTAyNFx1MDAzZSJdXQ.jpg?sha=1a4f7d98b934b1fe</t>
  </si>
  <si>
    <t>https://www.moma.org/collection/works/151488</t>
  </si>
  <si>
    <t>https://www.moma.org/media/W1siZiIsIjIzNDE0NyJdLFsicCIsImNvbnZlcnQiLCItcmVzaXplIDEwMjR4MTAyNFx1MDAzZSJdXQ.jpg?sha=98e973d1d1a5a6ff</t>
  </si>
  <si>
    <t>14 3/4 x 9 7/8" (37.5 x 25.1 cm)</t>
  </si>
  <si>
    <t>https://www.moma.org/collection/works/151489</t>
  </si>
  <si>
    <t>https://www.moma.org/media/W1siZiIsIjIzNDE0OCJdLFsicCIsImNvbnZlcnQiLCItcmVzaXplIDEwMjR4MTAyNFx1MDAzZSJdXQ.jpg?sha=acba31d8e46c1b46</t>
  </si>
  <si>
    <t>Ekke?</t>
  </si>
  <si>
    <t>https://www.moma.org/collection/works/151490</t>
  </si>
  <si>
    <t>https://www.moma.org/media/W1siZiIsIjIzNDE0MSJdLFsicCIsImNvbnZlcnQiLCItcmVzaXplIDEwMjR4MTAyNFx1MDAzZSJdXQ.jpg?sha=fb10a01c2172688d</t>
  </si>
  <si>
    <t>Rot-gelb-schwarzes Doppelellipsoid 'Zwilling' (Red-Yellow-Black Double Ellipsoid "Twin")</t>
  </si>
  <si>
    <t>Lacquer on wood, two parts</t>
  </si>
  <si>
    <t>4 5/16 x 5 1/2 x 237" (11 x 14 x 602 cm) and 5 1/8 x 8 1/16 x 259 13/16" (13 x 20.5 x 660 cm)</t>
  </si>
  <si>
    <t>https://www.moma.org/collection/works/152620</t>
  </si>
  <si>
    <t>https://www.moma.org/media/W1siZiIsIjIyNTM2OCJdLFsicCIsImNvbnZlcnQiLCItcmVzaXplIDEwMjR4MTAyNFx1MDAzZSJdXQ.jpg?sha=32b13aac40cca83b</t>
  </si>
  <si>
    <t>35 7/16 x 23 5/8" (90 x 60 cm)</t>
  </si>
  <si>
    <t>Uphe</t>
  </si>
  <si>
    <t>19 x 15" (48.1 x 38.1 cm)</t>
  </si>
  <si>
    <t>https://www.moma.org/collection/works/156383</t>
  </si>
  <si>
    <t>https://www.moma.org/media/W1siZiIsIjQyMzIwMyJdLFsicCIsImNvbnZlcnQiLCItcmVzaXplIDEwMjR4MTAyNFx1MDAzZSJdXQ.jpg?sha=40b189959a658b23</t>
  </si>
  <si>
    <t>Shannon Ebner</t>
  </si>
  <si>
    <t>Synthetic resin paint on canvas</t>
  </si>
  <si>
    <t>72 x 58" (182.9 x 147.3 cm)</t>
  </si>
  <si>
    <t>https://www.moma.org/collection/works/156681</t>
  </si>
  <si>
    <t>https://www.moma.org/media/W1siZiIsIjI1MTIwNSJdLFsicCIsImNvbnZlcnQiLCItcmVzaXplIDEwMjR4MTAyNFx1MDAzZSJdXQ.jpg?sha=788ffe249e6bfd8a</t>
  </si>
  <si>
    <t>Andrés Jaque</t>
  </si>
  <si>
    <t>One from a boxed set of six die-cut folios</t>
  </si>
  <si>
    <t>Ziggurat from [2,3]</t>
  </si>
  <si>
    <t>overall (open): 20 1/4 x 32 5/16 x 9 7/16" (51.5 x 82 x 24 cm); overall (closed): 20 1/4 x 16 1/8 x 9/16" (51.5 x 41 x 1.5 cm)</t>
  </si>
  <si>
    <t>https://www.moma.org/collection/works/157565</t>
  </si>
  <si>
    <t>https://www.moma.org/media/W1siZiIsIjI0NDYwNyJdLFsicCIsImNvbnZlcnQiLCItcmVzaXplIDEwMjR4MTAyNFx1MDAzZSJdXQ.jpg?sha=33bb78ae6e084b8a</t>
  </si>
  <si>
    <t>Untitled (Self with Little Fur), Untitled (Self with Pelts)</t>
  </si>
  <si>
    <t>https://www.moma.org/collection/works/158541</t>
  </si>
  <si>
    <t>https://www.moma.org/media/W1siZiIsIjI1MTIyMCJdLFsicCIsImNvbnZlcnQiLCItcmVzaXplIDEwMjR4MTAyNFx1MDAzZSJdXQ.jpg?sha=4eff1981b91fa7ca</t>
  </si>
  <si>
    <t>7 1/2 × 5 3/8" (19.1 × 13.7 cm)</t>
  </si>
  <si>
    <t>https://www.moma.org/collection/works/158543</t>
  </si>
  <si>
    <t>https://www.moma.org/media/W1siZiIsIjI1MTIyMiJdLFsicCIsImNvbnZlcnQiLCItcmVzaXplIDEwMjR4MTAyNFx1MDAzZSJdXQ.jpg?sha=38f67416457f2493</t>
  </si>
  <si>
    <t>https://www.moma.org/collection/works/158546</t>
  </si>
  <si>
    <t>https://www.moma.org/media/W1siZiIsIjI1MTQ2OCJdLFsicCIsImNvbnZlcnQiLCItcmVzaXplIDEwMjR4MTAyNFx1MDAzZSJdXQ.jpg?sha=101f0aab53639de0</t>
  </si>
  <si>
    <t>David Lamelas</t>
  </si>
  <si>
    <t>Krieger</t>
  </si>
  <si>
    <t>9' 11 1/4" x 49 1/2" x 45 1/8" (302.9 x 125.7 x 114.6 cm) and 9' 9" 1/2 x 49 1/2" x 45 1/8" (298.5 x 125.7 x 114.6 cm)</t>
  </si>
  <si>
    <t>https://www.moma.org/collection/works/159919</t>
  </si>
  <si>
    <t>https://www.moma.org/media/W1siZiIsIjI0NzEzMiJdLFsicCIsImNvbnZlcnQiLCItcmVzaXplIDEwMjR4MTAyNFx1MDAzZSJdXQ.jpg?sha=9c91965c0ba6e855</t>
  </si>
  <si>
    <t>Bootjack (Stiefelknecht)</t>
  </si>
  <si>
    <t>Colored pencil, pencil, and gouache on paper</t>
  </si>
  <si>
    <t>20 3/4 × 15 1/2" (52.7 × 39.4 cm)</t>
  </si>
  <si>
    <t>https://www.moma.org/collection/works/159965</t>
  </si>
  <si>
    <t>https://www.moma.org/media/W1siZiIsIjI4OTI1OSJdLFsicCIsImNvbnZlcnQiLCItcmVzaXplIDEwMjR4MTAyNFx1MDAzZSJdXQ.jpg?sha=00e6c86dcc091bd5</t>
  </si>
  <si>
    <t>Support (Stütze)</t>
  </si>
  <si>
    <t>24 3/4 × 17 3/4" (62.9 × 45.1 cm)</t>
  </si>
  <si>
    <t>https://www.moma.org/collection/works/159966</t>
  </si>
  <si>
    <t>https://www.moma.org/media/W1siZiIsIjI4OTI1OCJdLFsicCIsImNvbnZlcnQiLCItcmVzaXplIDEwMjR4MTAyNFx1MDAzZSJdXQ.jpg?sha=f1dc9e33fb041002</t>
  </si>
  <si>
    <t>14 3/8 x 17" (36.5 x 43.2 cm)</t>
  </si>
  <si>
    <t>https://www.moma.org/collection/works/160132</t>
  </si>
  <si>
    <t>https://www.moma.org/media/W1siZiIsIjI1NDQ3MCJdLFsicCIsImNvbnZlcnQiLCItcmVzaXplIDEwMjR4MTAyNFx1MDAzZSJdXQ.jpg?sha=878356a2dd130138</t>
  </si>
  <si>
    <t>9 7/8 x 14 1/4" (25.1 x 36.2 cm)</t>
  </si>
  <si>
    <t>https://www.moma.org/collection/works/160207</t>
  </si>
  <si>
    <t>https://www.moma.org/media/W1siZiIsIjI1NDQ3MSJdLFsicCIsImNvbnZlcnQiLCItcmVzaXplIDEwMjR4MTAyNFx1MDAzZSJdXQ.jpg?sha=b8d56bcddbd44b6e</t>
  </si>
  <si>
    <t>Elegy for a New Conscript: Under the Shadow of a Rifle Stand</t>
  </si>
  <si>
    <t>plate: 7 13/16 x 6 7/8" (19.9 x 17.5 cm); sheet: 14 13/16 x 12 13/16" (37.7 x 32.6 cm)</t>
  </si>
  <si>
    <t>https://www.moma.org/collection/works/161017</t>
  </si>
  <si>
    <t>https://www.moma.org/media/W1siZiIsIjI0NzQzNiJdLFsicCIsImNvbnZlcnQiLCItcmVzaXplIDEwMjR4MTAyNFx1MDAzZSJdXQ.jpg?sha=c472a57f04c14c5c</t>
  </si>
  <si>
    <t>Elegy for a New Conscript: Landscape</t>
  </si>
  <si>
    <t>plate: 6 x 8 1/4" (15.3 x 20.9 cm); sheet: 11 9/16 x 13 9/16" (29.4 x 34.4 cm)</t>
  </si>
  <si>
    <t>https://www.moma.org/collection/works/161018</t>
  </si>
  <si>
    <t>https://www.moma.org/media/W1siZiIsIjI0NzQzNyJdLFsicCIsImNvbnZlcnQiLCItcmVzaXplIDEwMjR4MTAyNFx1MDAzZSJdXQ.jpg?sha=b307634f0aad7706</t>
  </si>
  <si>
    <t>plate: 14 1/4 x 11 3/4" (36.2 x 29.8 cm); sheet: 20 13/16 x 17 1/4" (52.9 x 43.8 cm)</t>
  </si>
  <si>
    <t>https://www.moma.org/collection/works/161019</t>
  </si>
  <si>
    <t>https://www.moma.org/media/W1siZiIsIjI0NzQzOCJdLFsicCIsImNvbnZlcnQiLCItcmVzaXplIDEwMjR4MTAyNFx1MDAzZSJdXQ.jpg?sha=af3bc6688a56f6a0</t>
  </si>
  <si>
    <t>plate: 9 3/4 x 14 3/16" (24.8 x 36.1 cm); sheet: 15 9/16 x 20 3/8" (39.6 x 51.8 cm)</t>
  </si>
  <si>
    <t>https://www.moma.org/collection/works/161020</t>
  </si>
  <si>
    <t>https://www.moma.org/media/W1siZiIsIjI0NzQ0MCJdLFsicCIsImNvbnZlcnQiLCItcmVzaXplIDEwMjR4MTAyNFx1MDAzZSJdXQ.jpg?sha=781032f9b70abf57</t>
  </si>
  <si>
    <t>Execution Ground (A)</t>
  </si>
  <si>
    <t>plate: 9 3/4 x 7 1/2" (24.8 x 19 cm); sheet: 16 5/8 x 12 5/8" (42.3 x 32 cm)</t>
  </si>
  <si>
    <t>https://www.moma.org/collection/works/161021</t>
  </si>
  <si>
    <t>https://www.moma.org/media/W1siZiIsIjI0NzQzOSJdLFsicCIsImNvbnZlcnQiLCItcmVzaXplIDEwMjR4MTAyNFx1MDAzZSJdXQ.jpg?sha=fa6afb0dc2354337</t>
  </si>
  <si>
    <t>Frank Lloyd Wright Archive</t>
  </si>
  <si>
    <t>Davidson Little Farms Unit Project (Model)</t>
  </si>
  <si>
    <t>Painted wood and particle board</t>
  </si>
  <si>
    <t>7 3/4 × 70 × 54 3/4" (19.7 × 177.8 × 139.1 cm)</t>
  </si>
  <si>
    <t>https://www.moma.org/collection/works/161772</t>
  </si>
  <si>
    <t>https://www.moma.org/media/W1siZiIsIjMzNjk2MSJdLFsicCIsImNvbnZlcnQiLCItcmVzaXplIDEwMjR4MTAyNFx1MDAzZSJdXQ.jpg?sha=3ed3a74c00dec92b</t>
  </si>
  <si>
    <t>Broadacre City Project (Model in four sections)</t>
  </si>
  <si>
    <t>Painted wood, cardboard, and paper</t>
  </si>
  <si>
    <t>9" x 12'8" × 12' (22.9 × 388.6 × 365.8 cm)</t>
  </si>
  <si>
    <t>https://www.moma.org/collection/works/161773</t>
  </si>
  <si>
    <t>https://www.moma.org/media/W1siZiIsIjQwMjYwMSJdLFsicCIsImNvbnZlcnQiLCItcmVzaXplIDEwMjR4MTAyNFx1MDAzZSJdXQ.jpg?sha=82eebc8051af7d19</t>
  </si>
  <si>
    <t>Text panel for Broadacre City Project</t>
  </si>
  <si>
    <t>Painted plywood</t>
  </si>
  <si>
    <t>48 x 78 1/4 x 5/8" (121.9 x 198.8 x 1.6 cm)</t>
  </si>
  <si>
    <t>https://www.moma.org/collection/works/162353</t>
  </si>
  <si>
    <t>https://www.moma.org/media/W1siZiIsIjM4NzM1MiJdLFsicCIsImNvbnZlcnQiLCItcmVzaXplIDEwMjR4MTAyNFx1MDAzZSJdXQ.jpg?sha=7d220ecd3edb46f5</t>
  </si>
  <si>
    <t>48 x 79 x 5/8" (121.9 x 200.7 x 1.6 cm)</t>
  </si>
  <si>
    <t>https://www.moma.org/collection/works/162354</t>
  </si>
  <si>
    <t>https://www.moma.org/media/W1siZiIsIjM4NzM0OCJdLFsicCIsImNvbnZlcnQiLCItcmVzaXplIDEwMjR4MTAyNFx1MDAzZSJdXQ.jpg?sha=d3d2c5a569b4bd28</t>
  </si>
  <si>
    <t>Accumulation No. 1</t>
  </si>
  <si>
    <t>Sewn stuffed fabric, paint, and chair fringe</t>
  </si>
  <si>
    <t>37 x 39 x 43" (94 x 99.1 x 109.2 cm)</t>
  </si>
  <si>
    <t>https://www.moma.org/collection/works/163826</t>
  </si>
  <si>
    <t>https://www.moma.org/media/W1siZiIsIjMwNDk2MSJdLFsicCIsImNvbnZlcnQiLCItcmVzaXplIDEwMjR4MTAyNFx1MDAzZSJdXQ.jpg?sha=149543e9e98b2816</t>
  </si>
  <si>
    <t>Construction with Curved Forms</t>
  </si>
  <si>
    <t>Oil and nails on wood</t>
  </si>
  <si>
    <t>19 1/2 x 16 1/8 x 1/2" (49.5 x 41 x 1.3 cm)</t>
  </si>
  <si>
    <t>https://www.moma.org/collection/works/164938</t>
  </si>
  <si>
    <t>https://www.moma.org/media/W1siZiIsIjI2Nzk0MyJdLFsicCIsImNvbnZlcnQiLCItcmVzaXplIDEwMjR4MTAyNFx1MDAzZSJdXQ.jpg?sha=7d39c65ec11677df</t>
  </si>
  <si>
    <t>Chromogenic print, printed 2011</t>
  </si>
  <si>
    <t>Canyon</t>
  </si>
  <si>
    <t>Oil, pencil, paper, metal, photograph, fabric, wood, canvas, buttons, mirror, taxidermied eagle, cardboard, pillow, paint tube and other materials</t>
  </si>
  <si>
    <t>81 3/4 x 70 x 24" (207.6 x 177.8 x 61 cm)</t>
  </si>
  <si>
    <t>https://www.moma.org/collection/works/165011</t>
  </si>
  <si>
    <t>https://www.moma.org/media/W1siZiIsIjI1NTc5NyJdLFsicCIsImNvbnZlcnQiLCItcmVzaXplIDEwMjR4MTAyNFx1MDAzZSJdXQ.jpg?sha=c4c6cafadbf8389f</t>
  </si>
  <si>
    <t>A Portfolio of Models</t>
  </si>
  <si>
    <t>Six gelatin silver prints with text plus additional text panel, printed 2008</t>
  </si>
  <si>
    <t>Each 20 × 14" (50.8 × 35.6 cm)</t>
  </si>
  <si>
    <t>https://www.moma.org/collection/works/165440</t>
  </si>
  <si>
    <t>https://www.moma.org/media/W1siZiIsIjMwMjY0NCJdLFsicCIsImNvbnZlcnQiLCItcmVzaXplIDEwMjR4MTAyNFx1MDAzZSJdXQ.jpg?sha=34f69b5e1ee78c18</t>
  </si>
  <si>
    <t>Sigis Erben (Agate Psychics)</t>
  </si>
  <si>
    <t>Antique-style glass with luster, enamel, and stained black pigments, float glass, agates, and powder-coated steel</t>
  </si>
  <si>
    <t xml:space="preserve">Overall dimensions variable_x000D_
</t>
  </si>
  <si>
    <t>https://www.moma.org/collection/works/165801</t>
  </si>
  <si>
    <t>https://www.moma.org/media/W1siZiIsIjMxODIzMiJdLFsicCIsImNvbnZlcnQiLCItcmVzaXplIDEwMjR4MTAyNFx1MDAzZSJdXQ.jpg?sha=d8afc44380c119a1</t>
  </si>
  <si>
    <t>Waldemar Cordeiro</t>
  </si>
  <si>
    <t>Deodorized Central Mass with Satellites</t>
  </si>
  <si>
    <t>1991/1999</t>
  </si>
  <si>
    <t>Plush toys sewn over wood and wire frames with styrofoam packing material, nylon rope, pulleys, steel hardware and hanging plates, fiberglass, car paint, and disinfectant</t>
  </si>
  <si>
    <t>https://www.moma.org/collection/works/166044</t>
  </si>
  <si>
    <t>https://www.moma.org/media/W1siZiIsIjI3OTAxMyJdLFsicCIsImNvbnZlcnQiLCItcmVzaXplIDEwMjR4MTAyNFx1MDAzZSJdXQ.jpg?sha=d7977dfb4d23401e</t>
  </si>
  <si>
    <t>Blatt</t>
  </si>
  <si>
    <t>Dayglo pigment and poured latex</t>
  </si>
  <si>
    <t>128 x 103" (325.1 x 261.6 cm)</t>
  </si>
  <si>
    <t>https://www.moma.org/collection/works/166133</t>
  </si>
  <si>
    <t>https://www.moma.org/media/W1siZiIsIjU2ODA4OCJdLFsicCIsImNvbnZlcnQiLCItcmVzaXplIDEwMjR4MTAyNFx1MDAzZSJdXQ.jpg?sha=baa5e19e1a8a16f8</t>
  </si>
  <si>
    <t>Double Fountain, Mother and Child</t>
  </si>
  <si>
    <t>Bronze, in two parts</t>
  </si>
  <si>
    <t>80 x 72 1/2 x 54" (203.2 x 184.2 x 137.2 cm) and 44 x 60 1/2 x 36" (111.8 x 153.7 x 91.4 cm)</t>
  </si>
  <si>
    <t>https://www.moma.org/collection/works/166135</t>
  </si>
  <si>
    <t>https://www.moma.org/media/W1siZiIsIjU4NzE4OSJdLFsicCIsImNvbnZlcnQiLCItcmVzaXplIDEwMjR4MTAyNFx1MDAzZSJdXQ.jpg?sha=4426bd533a5d02ab</t>
  </si>
  <si>
    <t>The Lifted X</t>
  </si>
  <si>
    <t>65 x 45 x 22" (165.1 x 114.3 x 55.9 cm)</t>
  </si>
  <si>
    <t>https://www.moma.org/collection/works/166963</t>
  </si>
  <si>
    <t>https://www.moma.org/media/W1siZiIsIjQyOTM4MyJdLFsicCIsImNvbnZlcnQiLCItcmVzaXplIDEwMjR4MTAyNFx1MDAzZSJdXQ.jpg?sha=feefd931727f0368</t>
  </si>
  <si>
    <t>Geta Brătescu</t>
  </si>
  <si>
    <t>Medea's Hypostases II</t>
  </si>
  <si>
    <t>Drawing with sewing machine on textile</t>
  </si>
  <si>
    <t>https://www.moma.org/collection/works/167211</t>
  </si>
  <si>
    <t>https://www.moma.org/media/W1siZiIsIjI3NjQ3NCJdLFsicCIsImNvbnZlcnQiLCItcmVzaXplIDEwMjR4MTAyNFx1MDAzZSJdXQ.jpg?sha=a5f39cb5abf94b62</t>
  </si>
  <si>
    <t>Medea's Hypostases III</t>
  </si>
  <si>
    <t>https://www.moma.org/collection/works/167212</t>
  </si>
  <si>
    <t>https://www.moma.org/media/W1siZiIsIjI3NjQ3NSJdLFsicCIsImNvbnZlcnQiLCItcmVzaXplIDEwMjR4MTAyNFx1MDAzZSJdXQ.jpg?sha=8a3dc53599199f71</t>
  </si>
  <si>
    <t>Medea's Hypostases IV</t>
  </si>
  <si>
    <t>https://www.moma.org/collection/works/167213</t>
  </si>
  <si>
    <t>https://www.moma.org/media/W1siZiIsIjI3NjQ3NiJdLFsicCIsImNvbnZlcnQiLCItcmVzaXplIDEwMjR4MTAyNFx1MDAzZSJdXQ.jpg?sha=f7e2141aea62e35f</t>
  </si>
  <si>
    <t>5 1/4 × 7 3/4" (13.3 × 19.7 cm)</t>
  </si>
  <si>
    <t>Re-visions #16</t>
  </si>
  <si>
    <t>https://www.moma.org/collection/works/168066</t>
  </si>
  <si>
    <t>https://www.moma.org/media/W1siZiIsIjI3MTk0NSJdLFsicCIsImNvbnZlcnQiLCItcmVzaXplIDEwMjR4MTAyNFx1MDAzZSJdXQ.jpg?sha=9a1f46a9fe75cc01</t>
  </si>
  <si>
    <t>The Cuckoo Egg Cup Under Spilling Plastic Flowers</t>
  </si>
  <si>
    <t>Thomas Lanigan-Schmidt</t>
  </si>
  <si>
    <t>Foil, wood, plastic wrap, cellophane, tape, staples, vinyl record, printed matter, plastic, plastic bottles, plastic flowers, plastic spoon, and other materials</t>
  </si>
  <si>
    <t>39 x 12 x 12" (99.1 x 30.5 x 30.5 cm)</t>
  </si>
  <si>
    <t>https://www.moma.org/collection/works/168958</t>
  </si>
  <si>
    <t>https://www.moma.org/media/W1siZiIsIjI4NzA3MSJdLFsicCIsImNvbnZlcnQiLCItcmVzaXplIDEwMjR4MTAyNFx1MDAzZSJdXQ.jpg?sha=194627667b18a0a9</t>
  </si>
  <si>
    <t>1993–96</t>
  </si>
  <si>
    <t>62 1/2 × 59" (158.8 × 149.9 cm)</t>
  </si>
  <si>
    <t>https://www.moma.org/collection/works/169939</t>
  </si>
  <si>
    <t>https://www.moma.org/media/W1siZiIsIjI5Mjk5MyJdLFsicCIsImNvbnZlcnQiLCItcmVzaXplIDEwMjR4MTAyNFx1MDAzZSJdXQ.jpg?sha=958d874a3e2aa92c</t>
  </si>
  <si>
    <t>11 7/16 × 13 9/16" (29 × 34.5 cm)</t>
  </si>
  <si>
    <t>https://www.moma.org/collection/works/172349</t>
  </si>
  <si>
    <t>https://www.moma.org/media/W1siZiIsIjI4NDc2OCJdLFsicCIsImNvbnZlcnQiLCItcmVzaXplIDEwMjR4MTAyNFx1MDAzZSJdXQ.jpg?sha=2d17f793bae3d6f4</t>
  </si>
  <si>
    <t>DOES IT MAKE SENSE? Design Quarterly #133 (Design for special issue of Design Quarterly, no. 133)</t>
  </si>
  <si>
    <t>opened: 27 1/8 × 76 1/8" (68.9 × 193.4 cm)</t>
  </si>
  <si>
    <t>https://www.moma.org/collection/works/172729</t>
  </si>
  <si>
    <t>https://www.moma.org/media/W1siZiIsIjU1MDE1NCJdLFsicCIsImNvbnZlcnQiLCItcmVzaXplIDEwMjR4MTAyNFx1MDAzZSJdXQ.jpg?sha=fdfd6537dd963cd1</t>
  </si>
  <si>
    <t>10 5/8 × 15 3/8" (27 × 39.1 cm)</t>
  </si>
  <si>
    <t>https://www.moma.org/collection/works/173204</t>
  </si>
  <si>
    <t>https://www.moma.org/media/W1siZiIsIjI4NDg2NSJdLFsicCIsImNvbnZlcnQiLCItcmVzaXplIDEwMjR4MTAyNFx1MDAzZSJdXQ.jpg?sha=2fc73ea05bbb5fb0</t>
  </si>
  <si>
    <t>https://www.moma.org/collection/works/173503</t>
  </si>
  <si>
    <t>https://www.moma.org/media/W1siZiIsIjI4NDc4MyJdLFsicCIsImNvbnZlcnQiLCItcmVzaXplIDEwMjR4MTAyNFx1MDAzZSJdXQ.jpg?sha=9641285ab80e5260</t>
  </si>
  <si>
    <t>https://www.moma.org/collection/works/173508</t>
  </si>
  <si>
    <t>https://www.moma.org/media/W1siZiIsIjI4NDc4OCJdLFsicCIsImNvbnZlcnQiLCItcmVzaXplIDEwMjR4MTAyNFx1MDAzZSJdXQ.jpg?sha=6e005357bd5dd7dd</t>
  </si>
  <si>
    <t>Digital image</t>
  </si>
  <si>
    <t>12-inch vinyl record</t>
  </si>
  <si>
    <t>44767, 4010</t>
  </si>
  <si>
    <t>Transformador de Cuerpos, Buenos Aires, Argentina</t>
  </si>
  <si>
    <t>29 x 39" (73.7 x 99.1 cm)</t>
  </si>
  <si>
    <t>https://www.moma.org/collection/works/175368</t>
  </si>
  <si>
    <t>https://www.moma.org/media/W1siZiIsIjMzOTQ1NiJdLFsicCIsImNvbnZlcnQiLCItcmVzaXplIDEwMjR4MTAyNFx1MDAzZSJdXQ.jpg?sha=7f259b7613bcf609</t>
  </si>
  <si>
    <t>140 x 185 x 16" (355.6 x 469.9 x 40.6 cm)</t>
  </si>
  <si>
    <t>https://www.moma.org/collection/works/177634</t>
  </si>
  <si>
    <t>https://www.moma.org/media/W1siZiIsIjI5ODczMyJdLFsicCIsImNvbnZlcnQiLCItcmVzaXplIDEwMjR4MTAyNFx1MDAzZSJdXQ.jpg?sha=61829dfd561b7552</t>
  </si>
  <si>
    <t>7 7/8 × 5 1/2" (20 × 14 cm)</t>
  </si>
  <si>
    <t>Inkjet print, printed 2014</t>
  </si>
  <si>
    <t>Building as Classifier, project</t>
  </si>
  <si>
    <t>Mario Gandelsonas</t>
  </si>
  <si>
    <t>1970-1976</t>
  </si>
  <si>
    <t>Ink, pencil and colored pencil on vellum</t>
  </si>
  <si>
    <t>36 x 26 1/2" (91.4 x 67.3 cm)</t>
  </si>
  <si>
    <t>https://www.moma.org/collection/works/179624</t>
  </si>
  <si>
    <t>https://www.moma.org/media/W1siZiIsIjU0OTgzNSJdLFsicCIsImNvbnZlcnQiLCItcmVzaXplIDEwMjR4MTAyNFx1MDAzZSJdXQ.jpg?sha=e381fd8c7fad9ab3</t>
  </si>
  <si>
    <t>Lutz Bacher</t>
  </si>
  <si>
    <t>https://www.moma.org/collection/works/179688</t>
  </si>
  <si>
    <t>https://www.moma.org/media/W1siZiIsIjI4OTI3OSJdLFsicCIsImNvbnZlcnQiLCItcmVzaXplIDEwMjR4MTAyNFx1MDAzZSJdXQ.jpg?sha=325527afb7c2e72f</t>
  </si>
  <si>
    <t>Ed Clark</t>
  </si>
  <si>
    <t>gesture/data</t>
  </si>
  <si>
    <t>Ken Okiishi</t>
  </si>
  <si>
    <t>Oil and chroma key video paint, two LCD monitors, and two-channel standard- and high-definition video (color, sound; varying durations)</t>
  </si>
  <si>
    <t>Left screen: 12:21 min. Right screen: 75:13 min.</t>
  </si>
  <si>
    <t>https://www.moma.org/collection/works/180678</t>
  </si>
  <si>
    <t>https://www.moma.org/media/W1siZiIsIjU4Njg5NSJdLFsicCIsImNvbnZlcnQiLCItcmVzaXplIDEwMjR4MTAyNFx1MDAzZSJdXQ.jpg?sha=e94d717373dd4811</t>
  </si>
  <si>
    <t>Michel Majerus</t>
  </si>
  <si>
    <t>image: 7 1/2 x 7 1/2" (19 x 19 cm); sheet: 9 15/16 x 8" (25.2 x 20.3 cm)</t>
  </si>
  <si>
    <t>Inner Man</t>
  </si>
  <si>
    <t>https://www.moma.org/collection/works/181796</t>
  </si>
  <si>
    <t>https://www.moma.org/media/W1siZiIsIjMxMDk1MSJdLFsicCIsImNvbnZlcnQiLCItcmVzaXplIDEwMjR4MTAyNFx1MDAzZSJdXQ.jpg?sha=0ab18ddae46179e3</t>
  </si>
  <si>
    <t>Bag Piece (1964), performed during Perpetual Fluxfest, Cinematheque, New York, June 27, 1965</t>
  </si>
  <si>
    <t>https://www.moma.org/collection/works/181803</t>
  </si>
  <si>
    <t>https://www.moma.org/media/W1siZiIsIjI5NTk2NCJdLFsicCIsImNvbnZlcnQiLCItcmVzaXplIDEwMjR4MTAyNFx1MDAzZSJdXQ.jpg?sha=bbd859263c71d250</t>
  </si>
  <si>
    <t>https://www.moma.org/collection/works/181804</t>
  </si>
  <si>
    <t>https://www.moma.org/media/W1siZiIsIjMxMjAxOCJdLFsicCIsImNvbnZlcnQiLCItcmVzaXplIDEwMjR4MTAyNFx1MDAzZSJdXQ.jpg?sha=4c18cbdf9815c0c0</t>
  </si>
  <si>
    <t>https://www.moma.org/collection/works/181810</t>
  </si>
  <si>
    <t>https://www.moma.org/media/W1siZiIsIjI5NTk3MCJdLFsicCIsImNvbnZlcnQiLCItcmVzaXplIDEwMjR4MTAyNFx1MDAzZSJdXQ.jpg?sha=158fd6d9678709a8</t>
  </si>
  <si>
    <t>cover: 12 1/4 × 12 3/8" (31.1 × 31.4 cm)</t>
  </si>
  <si>
    <t>Autumn Lamp</t>
  </si>
  <si>
    <t>Cut-and-pasted painted paper, fabric, and metallic foil with oil, ink, and pencil on board</t>
  </si>
  <si>
    <t>40 x 31" (101.6 x 78.7 cm)</t>
  </si>
  <si>
    <t>https://www.moma.org/collection/works/184051</t>
  </si>
  <si>
    <t>https://www.moma.org/media/W1siZiIsIjMxMTgxOCJdLFsicCIsImNvbnZlcnQiLCItcmVzaXplIDEwMjR4MTAyNFx1MDAzZSJdXQ.jpg?sha=bf5c1542adea5deb</t>
  </si>
  <si>
    <t>Accordion &amp; Voice</t>
  </si>
  <si>
    <t>Pauline Oliveros</t>
  </si>
  <si>
    <t>https://www.moma.org/collection/works/184180</t>
  </si>
  <si>
    <t>https://www.moma.org/media/W1siZiIsIjQyMTE4MSJdLFsicCIsImNvbnZlcnQiLCItcmVzaXplIDEwMjR4MTAyNFx1MDAzZSJdXQ.jpg?sha=52c51f153e7d5753</t>
  </si>
  <si>
    <t>Hand Grasp I</t>
  </si>
  <si>
    <t>Keiji Uematsu</t>
  </si>
  <si>
    <t>Each 15 3/4 × 19 7/8" (40 × 50.5 cm)</t>
  </si>
  <si>
    <t>https://www.moma.org/collection/works/184288</t>
  </si>
  <si>
    <t>https://www.moma.org/media/W1siZiIsIjMwNjM3MiJdLFsicCIsImNvbnZlcnQiLCItcmVzaXplIDEwMjR4MTAyNFx1MDAzZSJdXQ.jpg?sha=0f547983ea21b300</t>
  </si>
  <si>
    <t>Casa Mara, Caracas, Venezuela</t>
  </si>
  <si>
    <t>Print on cellulose acetate</t>
  </si>
  <si>
    <t>13 3/4 × 21 1/2" (34.9 × 54.6 cm)</t>
  </si>
  <si>
    <t>https://www.moma.org/collection/works/184956</t>
  </si>
  <si>
    <t>https://www.moma.org/media/W1siZiIsIjU1MDE0OCJdLFsicCIsImNvbnZlcnQiLCItcmVzaXplIDEwMjR4MTAyNFx1MDAzZSJdXQ.jpg?sha=d25e3b7141e09e33</t>
  </si>
  <si>
    <t>https://www.moma.org/collection/works/184957</t>
  </si>
  <si>
    <t>https://www.moma.org/media/W1siZiIsIjU1MDE0OSJdLFsicCIsImNvbnZlcnQiLCItcmVzaXplIDEwMjR4MTAyNFx1MDAzZSJdXQ.jpg?sha=1a47983470da6ffc</t>
  </si>
  <si>
    <t>https://www.moma.org/collection/works/184960</t>
  </si>
  <si>
    <t>https://www.moma.org/media/W1siZiIsIjU1MDE1MiJdLFsicCIsImNvbnZlcnQiLCItcmVzaXplIDEwMjR4MTAyNFx1MDAzZSJdXQ.jpg?sha=c472117a2200102c</t>
  </si>
  <si>
    <t>Turntable (model SL-1200)</t>
  </si>
  <si>
    <t>Technics, Osaka, Japan</t>
  </si>
  <si>
    <t>Steel, plastic, perspex, rubber and electronic components</t>
  </si>
  <si>
    <t>6 1/4 x 17 7/8 x 14 1/4" (15.9 x 45.4 x 36.2 cm)</t>
  </si>
  <si>
    <t>https://www.moma.org/collection/works/185018</t>
  </si>
  <si>
    <t>https://www.moma.org/media/W1siZiIsIjU1MTg5OSJdLFsicCIsImNvbnZlcnQiLCItcmVzaXplIDEwMjR4MTAyNFx1MDAzZSJdXQ.jpg?sha=2ef08ef1fe01b232</t>
  </si>
  <si>
    <t>"Boombox" portable audio system (model M-90)</t>
  </si>
  <si>
    <t>Japan Victor Corporation (JVC), Japan</t>
  </si>
  <si>
    <t>Plastic, aluminum, steel and electronic components</t>
  </si>
  <si>
    <t>13 3/4 x 26 1/4 x 6 3/4" (34.9 x 66.7 x 17.1 cm)</t>
  </si>
  <si>
    <t>https://www.moma.org/collection/works/185042</t>
  </si>
  <si>
    <t>https://www.moma.org/media/W1siZiIsIjU1MjE3MCJdLFsicCIsImNvbnZlcnQiLCItcmVzaXplIDEwMjR4MTAyNFx1MDAzZSJdXQ.jpg?sha=b4cef30b27d6f72d</t>
  </si>
  <si>
    <t>Album cover for The Rolling Stones, Exile on Main St.</t>
  </si>
  <si>
    <t>8324, 42463, 1973, 46785</t>
  </si>
  <si>
    <t>https://www.moma.org/collection/works/185436</t>
  </si>
  <si>
    <t>https://www.moma.org/media/W1siZiIsIjMwNTUwMyJdLFsicCIsImNvbnZlcnQiLCItcmVzaXplIDEwMjR4MTAyNFx1MDAzZSJdXQ.jpg?sha=86822a928c472f15</t>
  </si>
  <si>
    <t>Radio (model AD-65)</t>
  </si>
  <si>
    <t>Wells Coates</t>
  </si>
  <si>
    <t>Bakelite, stainless steel, and woven cloth</t>
  </si>
  <si>
    <t>15 15/16 x 15 9/16 x 8 1/4" (40.5 x 39.5 x 21 cm)</t>
  </si>
  <si>
    <t>https://www.moma.org/collection/works/185452</t>
  </si>
  <si>
    <t>https://www.moma.org/media/W1siZiIsIjQwMjg4NCJdLFsicCIsImNvbnZlcnQiLCItcmVzaXplIDEwMjR4MTAyNFx1MDAzZSJdXQ.jpg?sha=74c999337826f75b</t>
  </si>
  <si>
    <t>Sheer Curtains</t>
  </si>
  <si>
    <t>34 5/8 x 31 1/8" (88 x 79 cm)</t>
  </si>
  <si>
    <t>https://www.moma.org/collection/works/185657</t>
  </si>
  <si>
    <t>https://www.moma.org/media/W1siZiIsIjMwMzI0MyJdLFsicCIsImNvbnZlcnQiLCItcmVzaXplIDEwMjR4MTAyNFx1MDAzZSJdXQ.jpg?sha=ed915fb777b15308</t>
  </si>
  <si>
    <t>Bibliography 1, 1976 reprinted from Photography and Language, Camerawork Press</t>
  </si>
  <si>
    <t>23 1/2 × 20" (59.7 × 50.8 cm)</t>
  </si>
  <si>
    <t>https://www.moma.org/collection/works/185950</t>
  </si>
  <si>
    <t>https://www.moma.org/media/W1siZiIsIjMxNjk1NiJdLFsicCIsImNvbnZlcnQiLCItcmVzaXplIDEwMjR4MTAyNFx1MDAzZSJdXQ.jpg?sha=2081347cb606385b</t>
  </si>
  <si>
    <t>Digital video</t>
  </si>
  <si>
    <t>splash bombs I</t>
  </si>
  <si>
    <t>110 1/4 x 157 5/8" (280 x 400.4 cm)</t>
  </si>
  <si>
    <t>https://www.moma.org/collection/works/186570</t>
  </si>
  <si>
    <t>https://www.moma.org/media/W1siZiIsIjUxNDUzMCJdLFsicCIsImNvbnZlcnQiLCItcmVzaXplIDEwMjR4MTAyNFx1MDAzZSJdXQ.jpg?sha=1568a21c03c62a9b</t>
  </si>
  <si>
    <t>Lynette Yiadom-Boakye</t>
  </si>
  <si>
    <t>11 15/16 × 9 7/16" (30.3 × 24 cm)</t>
  </si>
  <si>
    <t>https://www.moma.org/collection/works/188330</t>
  </si>
  <si>
    <t>https://www.moma.org/media/W1siZiIsIjMxNDY0MyJdLFsicCIsImNvbnZlcnQiLCItcmVzaXplIDEwMjR4MTAyNFx1MDAzZSJdXQ.jpg?sha=e8e9d83291a4b972</t>
  </si>
  <si>
    <t>Memory: Record/Erase</t>
  </si>
  <si>
    <t>10:27 min.</t>
  </si>
  <si>
    <t>https://www.moma.org/collection/works/188788</t>
  </si>
  <si>
    <t>https://www.moma.org/media/W1siZiIsIjQ0NTQwOCJdLFsicCIsImNvbnZlcnQiLCItcmVzaXplIDEwMjR4MTAyNFx1MDAzZSJdXQ.jpg?sha=aca0bd21b5dc7966</t>
  </si>
  <si>
    <t>Add</t>
  </si>
  <si>
    <t>Sarah Grilo</t>
  </si>
  <si>
    <t>59 13/16 x 59 13/16" (152 x 152 cm)</t>
  </si>
  <si>
    <t>https://www.moma.org/collection/works/190112</t>
  </si>
  <si>
    <t>https://www.moma.org/media/W1siZiIsIjM0MDU5NSJdLFsicCIsImNvbnZlcnQiLCItcmVzaXplIDEwMjR4MTAyNFx1MDAzZSJdXQ.jpg?sha=b2802b200ea779a4</t>
  </si>
  <si>
    <t>Ulrike Müller</t>
  </si>
  <si>
    <t>Jackie Winsor: Work in Progress: Part I, II, III</t>
  </si>
  <si>
    <t>6402, 35406</t>
  </si>
  <si>
    <t>1975–1978</t>
  </si>
  <si>
    <t>https://www.moma.org/collection/works/190933</t>
  </si>
  <si>
    <t>https://www.moma.org/media/W1siZiIsIjMxNzQ4MSJdLFsicCIsImNvbnZlcnQiLCItcmVzaXplIDEwMjR4MTAyNFx1MDAzZSJdXQ.jpg?sha=20dbcd77418498fd</t>
  </si>
  <si>
    <t>Felt-tip pen and colored pencil on paper</t>
  </si>
  <si>
    <t>https://www.moma.org/collection/works/192291</t>
  </si>
  <si>
    <t>https://www.moma.org/media/W1siZiIsIjMzNDgwMyJdLFsicCIsImNvbnZlcnQiLCItcmVzaXplIDEwMjR4MTAyNFx1MDAzZSJdXQ.jpg?sha=90d0b4c7c5ce08fd</t>
  </si>
  <si>
    <t>Endless House Project (Preliminary perspective, 1947)</t>
  </si>
  <si>
    <t>1947–1960</t>
  </si>
  <si>
    <t>11 7/8 x 18" (30.2 x 45.7 cm)</t>
  </si>
  <si>
    <t>https://www.moma.org/collection/works/192892</t>
  </si>
  <si>
    <t>https://www.moma.org/media/W1siZiIsIjU2Mzg4OSJdLFsicCIsImNvbnZlcnQiLCItcmVzaXplIDEwMjR4MTAyNFx1MDAzZSJdXQ.jpg?sha=638e8ec61cd38f6b</t>
  </si>
  <si>
    <t>Equal</t>
  </si>
  <si>
    <t>Forged weatherproof steel, 8 blocks</t>
  </si>
  <si>
    <t>Each block 60 x 66 x 72" (152.4 x 167.6 x 182.9 cm)</t>
  </si>
  <si>
    <t>https://www.moma.org/collection/works/193590</t>
  </si>
  <si>
    <t>https://www.moma.org/media/W1siZiIsIjMyMzA5MCJdLFsicCIsImNvbnZlcnQiLCItcmVzaXplIDEwMjR4MTAyNFx1MDAzZSJdXQ.jpg?sha=10be26a780edba1b</t>
  </si>
  <si>
    <t>10 3/16 × 7 3/8" (25.8 × 18.7 cm)</t>
  </si>
  <si>
    <t>Wholesale Merchant and Wife</t>
  </si>
  <si>
    <t>https://www.moma.org/collection/works/193811</t>
  </si>
  <si>
    <t>https://www.moma.org/media/W1siZiIsIjMyNDE2NCJdLFsicCIsImNvbnZlcnQiLCItcmVzaXplIDEwMjR4MTAyNFx1MDAzZSJdXQ.jpg?sha=e9e314e10bc94f67</t>
  </si>
  <si>
    <t>Skilled Tradesman and his Wife</t>
  </si>
  <si>
    <t>https://www.moma.org/collection/works/193812</t>
  </si>
  <si>
    <t>https://www.moma.org/media/W1siZiIsIjMyNDMxOSJdLFsicCIsImNvbnZlcnQiLCItcmVzaXplIDEwMjR4MTAyNFx1MDAzZSJdXQ.jpg?sha=d4237ad79ba60e54</t>
  </si>
  <si>
    <t>Middle-class Couple</t>
  </si>
  <si>
    <t>https://www.moma.org/collection/works/193813</t>
  </si>
  <si>
    <t>https://www.moma.org/media/W1siZiIsIjMyNDE5MyJdLFsicCIsImNvbnZlcnQiLCItcmVzaXplIDEwMjR4MTAyNFx1MDAzZSJdXQ.jpg?sha=82bd36464dc20d10</t>
  </si>
  <si>
    <t>The Innkeeper and his Wife</t>
  </si>
  <si>
    <t>https://www.moma.org/collection/works/193814</t>
  </si>
  <si>
    <t>https://www.moma.org/media/W1siZiIsIjMyNDI5NiJdLFsicCIsImNvbnZlcnQiLCItcmVzaXplIDEwMjR4MTAyNFx1MDAzZSJdXQ.jpg?sha=0f252de7121303fb</t>
  </si>
  <si>
    <t>Paper Manufacturer and Wife</t>
  </si>
  <si>
    <t>https://www.moma.org/collection/works/193816</t>
  </si>
  <si>
    <t>https://www.moma.org/media/W1siZiIsIjMyNDI0OCJdLFsicCIsImNvbnZlcnQiLCItcmVzaXplIDEwMjR4MTAyNFx1MDAzZSJdXQ.jpg?sha=1819bc403429b5ea</t>
  </si>
  <si>
    <t>Young Married Couple</t>
  </si>
  <si>
    <t>https://www.moma.org/collection/works/193818</t>
  </si>
  <si>
    <t>https://www.moma.org/media/W1siZiIsIjMyNDI5NyJdLFsicCIsImNvbnZlcnQiLCItcmVzaXplIDEwMjR4MTAyNFx1MDAzZSJdXQ.jpg?sha=ed06cb265ff10a8c</t>
  </si>
  <si>
    <t>The Painter Ludwig E. Ronig and his Wife Anna</t>
  </si>
  <si>
    <t>https://www.moma.org/collection/works/193819</t>
  </si>
  <si>
    <t>https://www.moma.org/media/W1siZiIsIjMyNDI1NSJdLFsicCIsImNvbnZlcnQiLCItcmVzaXplIDEwMjR4MTAyNFx1MDAzZSJdXQ.jpg?sha=87f2c248df7cfc84</t>
  </si>
  <si>
    <t>The Architect Hans Heinz Lüttgen and his Wife Dora</t>
  </si>
  <si>
    <t>https://www.moma.org/collection/works/193820</t>
  </si>
  <si>
    <t>https://www.moma.org/media/W1siZiIsIjMyNDI5OCJdLFsicCIsImNvbnZlcnQiLCItcmVzaXplIDEwMjR4MTAyNFx1MDAzZSJdXQ.jpg?sha=458cf4d36bdadda0</t>
  </si>
  <si>
    <t>The Painter Otto Dix and his Wife Martha</t>
  </si>
  <si>
    <t>https://www.moma.org/collection/works/193821</t>
  </si>
  <si>
    <t>https://www.moma.org/media/W1siZiIsIjMyNDI5MSJdLFsicCIsImNvbnZlcnQiLCItcmVzaXplIDEwMjR4MTAyNFx1MDAzZSJdXQ.jpg?sha=9eac735fdb5033db</t>
  </si>
  <si>
    <t>The Painter Heinrich Hoerle and his Wife Tata</t>
  </si>
  <si>
    <t>https://www.moma.org/collection/works/193822</t>
  </si>
  <si>
    <t>https://www.moma.org/media/W1siZiIsIjMyNDIzNSJdLFsicCIsImNvbnZlcnQiLCItcmVzaXplIDEwMjR4MTAyNFx1MDAzZSJdXQ.jpg?sha=98fac09c4a84cbb4</t>
  </si>
  <si>
    <t>The Painter Anton Räderscheidt and his Wife Marta Hegemann</t>
  </si>
  <si>
    <t>https://www.moma.org/collection/works/193823</t>
  </si>
  <si>
    <t>https://www.moma.org/media/W1siZiIsIjMyNDMyMCJdLFsicCIsImNvbnZlcnQiLCItcmVzaXplIDEwMjR4MTAyNFx1MDAzZSJdXQ.jpg?sha=d2d5e2b3db97b15b</t>
  </si>
  <si>
    <t>The Dadaist Raoul Hausmann [with Hedwig Mankiewitz and Vera Broïdo]</t>
  </si>
  <si>
    <t>https://www.moma.org/collection/works/193824</t>
  </si>
  <si>
    <t>https://www.moma.org/media/W1siZiIsIjMyNDIzMiJdLFsicCIsImNvbnZlcnQiLCItcmVzaXplIDEwMjR4MTAyNFx1MDAzZSJdXQ.jpg?sha=7b029be7579e61a6</t>
  </si>
  <si>
    <t>Keys</t>
  </si>
  <si>
    <t>6 × 4" (15.2 × 10.2 cm)</t>
  </si>
  <si>
    <t>Approx. 9 3/4 × 7 3/4" (24.8 × 19.7 cm) (.1-.4),  9 1/2 × 4" (24.1 × 10.2 cm) (.5-.8)</t>
  </si>
  <si>
    <t>https://www.moma.org/collection/works/195435</t>
  </si>
  <si>
    <t>https://www.moma.org/media/W1siZiIsIjMzMTIxOCJdLFsicCIsImNvbnZlcnQiLCItcmVzaXplIDEwMjR4MTAyNFx1MDAzZSJdXQ.jpg?sha=8f8770da483d0a53</t>
  </si>
  <si>
    <t>Extendable Table from E-1027</t>
  </si>
  <si>
    <t>Cork, nickel-plated tubular steel, and painted wood</t>
  </si>
  <si>
    <t>28 3/4 × 46 1/2 × 24 3/4" (73 × 118.1 × 62.9 cm)</t>
  </si>
  <si>
    <t>https://www.moma.org/collection/works/196027</t>
  </si>
  <si>
    <t>https://www.moma.org/media/W1siZiIsIjMzNjU2NyJdLFsicCIsImNvbnZlcnQiLCItcmVzaXplIDEwMjR4MTAyNFx1MDAzZSJdXQ.jpg?sha=deef8b413f5c540f</t>
  </si>
  <si>
    <t>Chair for the Villa Tempe a Pailla</t>
  </si>
  <si>
    <t>Nickel-plated tubular steel and leather</t>
  </si>
  <si>
    <t>28 3/4 × 21 3/4 × 16 1/2" (73 × 55.2 × 41.9 cm)</t>
  </si>
  <si>
    <t>Emoji</t>
  </si>
  <si>
    <t>Shigetaka Kurita</t>
  </si>
  <si>
    <t>https://www.moma.org/collection/works/196070</t>
  </si>
  <si>
    <t>https://www.moma.org/media/W1siZiIsIjM4MTk4MiJdLFsicCIsImNvbnZlcnQiLCItcmVzaXplIDEwMjR4MTAyNFx1MDAzZSJdXQ.jpg?sha=9b50a60deffed722</t>
  </si>
  <si>
    <t>18 × 24" (45.7 × 61 cm)</t>
  </si>
  <si>
    <t>Tehachapi II</t>
  </si>
  <si>
    <t>Acrylic on canvas, two panels</t>
  </si>
  <si>
    <t>48 × 72 × 2 1/2" (121.9 × 182.9 × 6.4 cm)</t>
  </si>
  <si>
    <t>https://www.moma.org/collection/works/196478</t>
  </si>
  <si>
    <t>https://www.moma.org/media/W1siZiIsIjMzMTY3MiJdLFsicCIsImNvbnZlcnQiLCItcmVzaXplIDEwMjR4MTAyNFx1MDAzZSJdXQ.jpg?sha=b6ae6d80f23fffa6</t>
  </si>
  <si>
    <t>10 15/16 × 10 3/8" (27.8 × 26.3 cm)</t>
  </si>
  <si>
    <t>Pleasures and Terrors of Levitation 92</t>
  </si>
  <si>
    <t>https://www.moma.org/collection/works/196642</t>
  </si>
  <si>
    <t>https://www.moma.org/media/W1siZiIsIjMzMjI5MCJdLFsicCIsImNvbnZlcnQiLCItcmVzaXplIDEwMjR4MTAyNFx1MDAzZSJdXQ.jpg?sha=8cc14fcb042a844e</t>
  </si>
  <si>
    <t>50 1/2 × 70 1/2" (128.3 × 179.1 cm)</t>
  </si>
  <si>
    <t>https://www.moma.org/collection/works/196975</t>
  </si>
  <si>
    <t>https://www.moma.org/media/W1siZiIsIjM5NTQ1OCJdLFsicCIsImNvbnZlcnQiLCItcmVzaXplIDEwMjR4MTAyNFx1MDAzZSJdXQ.jpg?sha=ae73832102407c02</t>
  </si>
  <si>
    <t>https://www.moma.org/collection/works/199096</t>
  </si>
  <si>
    <t>https://www.moma.org/media/W1siZiIsIjMzNjU3MiJdLFsicCIsImNvbnZlcnQiLCItcmVzaXplIDEwMjR4MTAyNFx1MDAzZSJdXQ.jpg?sha=4e19b3dbb121f3ca</t>
  </si>
  <si>
    <t>Tarsila do Amaral</t>
  </si>
  <si>
    <t>American People Series #20: Die</t>
  </si>
  <si>
    <t>72 × 144" (182.9 × 365.8 cm)</t>
  </si>
  <si>
    <t>https://www.moma.org/collection/works/199915</t>
  </si>
  <si>
    <t>https://www.moma.org/media/W1siZiIsIjQyNTEyMyJdLFsicCIsImNvbnZlcnQiLCItcmVzaXplIDEwMjR4MTAyNFx1MDAzZSJdXQ.jpg?sha=8118b5a2f8aecff3</t>
  </si>
  <si>
    <t>Bob Love</t>
  </si>
  <si>
    <t>https://www.moma.org/collection/works/199943</t>
  </si>
  <si>
    <t>https://www.moma.org/media/W1siZiIsIjM0NTI1NyJdLFsicCIsImNvbnZlcnQiLCItcmVzaXplIDEwMjR4MTAyNFx1MDAzZSJdXQ.jpg?sha=ccec625d8a86d0d4</t>
  </si>
  <si>
    <t>Alistair Butler</t>
  </si>
  <si>
    <t>13 3/4 × 13 3/4" (35 × 35 cm)</t>
  </si>
  <si>
    <t>https://www.moma.org/collection/works/199946</t>
  </si>
  <si>
    <t>https://www.moma.org/media/W1siZiIsIjM1MzgwMiJdLFsicCIsImNvbnZlcnQiLCItcmVzaXplIDEwMjR4MTAyNFx1MDAzZSJdXQ.jpg?sha=b29bee4335af0f6f</t>
  </si>
  <si>
    <t>Ajitto</t>
  </si>
  <si>
    <t>17 11/16 × 14" (45 × 35.6 cm)</t>
  </si>
  <si>
    <t>https://www.moma.org/collection/works/199950</t>
  </si>
  <si>
    <t>https://www.moma.org/media/W1siZiIsIjM0NTI1OSJdLFsicCIsImNvbnZlcnQiLCItcmVzaXplIDEwMjR4MTAyNFx1MDAzZSJdXQ.jpg?sha=12efdd5c34a6f522</t>
  </si>
  <si>
    <t>43 5/16 × 43 5/16" (110 × 110 cm)</t>
  </si>
  <si>
    <t>https://www.moma.org/collection/works/199984</t>
  </si>
  <si>
    <t>https://www.moma.org/media/W1siZiIsIjQ1MDQyMyJdLFsicCIsImNvbnZlcnQiLCItcmVzaXplIDEwMjR4MTAyNFx1MDAzZSJdXQ.jpg?sha=1e8139def977d204</t>
  </si>
  <si>
    <t>36 × 36" (91.4 × 91.4 cm)</t>
  </si>
  <si>
    <t>19 1/2 × 31 1/4" (49.5 × 79.4 cm)</t>
  </si>
  <si>
    <t>https://www.moma.org/collection/works/203380</t>
  </si>
  <si>
    <t>https://www.moma.org/media/W1siZiIsIjM0NjE1MCJdLFsicCIsImNvbnZlcnQiLCItcmVzaXplIDEwMjR4MTAyNFx1MDAzZSJdXQ.jpg?sha=db3eaa48ee531247</t>
  </si>
  <si>
    <t>Red / Red (Untitled) Diptych 1</t>
  </si>
  <si>
    <t>Aslı Çavuşoğlu</t>
  </si>
  <si>
    <t>Armenian cochineal ink and Turkish red on two sheets of painted paper</t>
  </si>
  <si>
    <t>Each: 39 × 27 3/8" (99.1 × 69.5 cm)</t>
  </si>
  <si>
    <t>https://www.moma.org/collection/works/203419</t>
  </si>
  <si>
    <t>https://www.moma.org/media/W1siZiIsIjM3OTM4MyJdLFsicCIsImNvbnZlcnQiLCItcmVzaXplIDEwMjR4MTAyNFx1MDAzZSJdXQ.jpg?sha=528f65f497a84267</t>
  </si>
  <si>
    <t>Red / Red (Untitled) Diptych 2</t>
  </si>
  <si>
    <t>https://www.moma.org/collection/works/203420</t>
  </si>
  <si>
    <t>https://www.moma.org/media/W1siZiIsIjM3OTM2MyJdLFsicCIsImNvbnZlcnQiLCItcmVzaXplIDEwMjR4MTAyNFx1MDAzZSJdXQ.jpg?sha=fa9286328e3a6216</t>
  </si>
  <si>
    <t>Why Pictures Now</t>
  </si>
  <si>
    <t>3 × 6" (7.6 × 15.2 cm)</t>
  </si>
  <si>
    <t>https://www.moma.org/collection/works/204109</t>
  </si>
  <si>
    <t>https://www.moma.org/media/W1siZiIsIjM3MTQxOCJdLFsicCIsImNvbnZlcnQiLCItcmVzaXplIDEwMjR4MTAyNFx1MDAzZSJdXQ.jpg?sha=ddc41d3df7baa187</t>
  </si>
  <si>
    <t>Big (adjusted to fit)</t>
  </si>
  <si>
    <t>2002/2003/2016</t>
  </si>
  <si>
    <t>Adhesive wall material</t>
  </si>
  <si>
    <t>Dimensions variable, constrained to match aspect ratio of wall</t>
  </si>
  <si>
    <t>https://www.moma.org/collection/works/204434</t>
  </si>
  <si>
    <t>https://www.moma.org/media/W1siZiIsIjM0NzQ2NSJdLFsicCIsImNvbnZlcnQiLCItcmVzaXplIDEwMjR4MTAyNFx1MDAzZSJdXQ.jpg?sha=a15ef0b3d6961bc9</t>
  </si>
  <si>
    <t>Untitled. Transformable Structure</t>
  </si>
  <si>
    <t>Oil on hinged wood elements</t>
  </si>
  <si>
    <t>Variable (approximately 15 3/8 x 19 1/2 x 7/8")</t>
  </si>
  <si>
    <t>https://www.moma.org/collection/works/204788</t>
  </si>
  <si>
    <t>https://www.moma.org/media/W1siZiIsIjU2ODEwMiJdLFsicCIsImNvbnZlcnQiLCItcmVzaXplIDEwMjR4MTAyNFx1MDAzZSJdXQ.jpg?sha=ef7204870bfbbe2a</t>
  </si>
  <si>
    <t>Meeting</t>
  </si>
  <si>
    <t>1980-86/2016</t>
  </si>
  <si>
    <t>https://www.moma.org/collection/works/204919</t>
  </si>
  <si>
    <t>https://www.moma.org/media/W1siZiIsIjM4MDkwOSJdLFsicCIsImNvbnZlcnQiLCItcmVzaXplIDEwMjR4MTAyNFx1MDAzZSJdXQ.jpg?sha=aee791a2305853b3</t>
  </si>
  <si>
    <t>Alkyd on board</t>
  </si>
  <si>
    <t>Cocoon no. 2</t>
  </si>
  <si>
    <t>Cellulose nitrate on sheetmetal</t>
  </si>
  <si>
    <t>11 13/16 × 11 13/16 × 4 5/16" (30 × 30 × 11 cm)</t>
  </si>
  <si>
    <t>https://www.moma.org/collection/works/205927</t>
  </si>
  <si>
    <t>https://www.moma.org/media/W1siZiIsIjQ0ODM4MiJdLFsicCIsImNvbnZlcnQiLCItcmVzaXplIDEwMjR4MTAyNFx1MDAzZSJdXQ.jpg?sha=970d5b630dbbb3e9</t>
  </si>
  <si>
    <t>Visible Idea</t>
  </si>
  <si>
    <t>23 9/16 × 23 5/8" (59.9 × 60 cm)</t>
  </si>
  <si>
    <t>https://www.moma.org/collection/works/205928</t>
  </si>
  <si>
    <t>https://www.moma.org/media/W1siZiIsIjU1MzQ2OCJdLFsicCIsImNvbnZlcnQiLCItcmVzaXplIDEwMjR4MTAyNFx1MDAzZSJdXQ.jpg?sha=edefc1a159278aa6</t>
  </si>
  <si>
    <t>Curves and Straight Series</t>
  </si>
  <si>
    <t>Alfredo Hlito</t>
  </si>
  <si>
    <t>27 3/4 × 27 3/4" (70.5 × 70.5 cm)</t>
  </si>
  <si>
    <t>https://www.moma.org/collection/works/205953</t>
  </si>
  <si>
    <t>https://www.moma.org/media/W1siZiIsIjQ1MTI4MSJdLFsicCIsImNvbnZlcnQiLCItcmVzaXplIDEwMjR4MTAyNFx1MDAzZSJdXQ.jpg?sha=aafc1033190766d6</t>
  </si>
  <si>
    <t>Concrete 61</t>
  </si>
  <si>
    <t>Judith Lauand</t>
  </si>
  <si>
    <t>23 5/8 × 23 5/8" (60 × 60 cm)</t>
  </si>
  <si>
    <t>https://www.moma.org/collection/works/205955</t>
  </si>
  <si>
    <t>https://www.moma.org/media/W1siZiIsIjQzMzYyNCJdLFsicCIsImNvbnZlcnQiLCItcmVzaXplIDEwMjR4MTAyNFx1MDAzZSJdXQ.jpg?sha=eb011a28a4f89e3d</t>
  </si>
  <si>
    <t>13 3/4 × 13 3/4 × 3 1/8" (35 × 35 × 8 cm)</t>
  </si>
  <si>
    <t>https://www.moma.org/collection/works/205988</t>
  </si>
  <si>
    <t>https://www.moma.org/media/W1siZiIsIjQ0ODc2OSJdLFsicCIsImNvbnZlcnQiLCItcmVzaXplIDEwMjR4MTAyNFx1MDAzZSJdXQ.jpg?sha=2ece47b50ac39e5d</t>
  </si>
  <si>
    <t>Yellow Quadrangle</t>
  </si>
  <si>
    <t>Rhod Rothfuss</t>
  </si>
  <si>
    <t>Alkyd and gouache on board</t>
  </si>
  <si>
    <t>14 9/16 × 13" (37 × 33 cm)</t>
  </si>
  <si>
    <t>https://www.moma.org/collection/works/205989</t>
  </si>
  <si>
    <t>https://www.moma.org/media/W1siZiIsIjQ1NTQ4NCJdLFsicCIsImNvbnZlcnQiLCItcmVzaXplIDEwMjR4MTAyNFx1MDAzZSJdXQ.jpg?sha=13e25eb9fec56193</t>
  </si>
  <si>
    <t>45 3/4 × 35 1/4" (116.2 × 89.5 cm)</t>
  </si>
  <si>
    <t>https://www.moma.org/collection/works/205996</t>
  </si>
  <si>
    <t>https://www.moma.org/media/W1siZiIsIjM3OTMwMiJdLFsicCIsImNvbnZlcnQiLCItcmVzaXplIDEwMjR4MTAyNFx1MDAzZSJdXQ.jpg?sha=d69b9eabdb671ff7</t>
  </si>
  <si>
    <t>Inkjet print, printed 2016</t>
  </si>
  <si>
    <t>Self-Portrait at Age 5 with Doll</t>
  </si>
  <si>
    <t>Oil on canvas, doll</t>
  </si>
  <si>
    <t>30 1/2 × 20 5/8 × 4 1/2" (77.5 × 52.4 × 11.4 cm)</t>
  </si>
  <si>
    <t>https://www.moma.org/collection/works/214451</t>
  </si>
  <si>
    <t>https://www.moma.org/media/W1siZiIsIjU1OTYyNiJdLFsicCIsImNvbnZlcnQiLCItcmVzaXplIDEwMjR4MTAyNFx1MDAzZSJdXQ.jpg?sha=fd44b4f990377d62</t>
  </si>
  <si>
    <t>Plow</t>
  </si>
  <si>
    <t>16 × 23 3/16" (40.6 × 58.9 cm)</t>
  </si>
  <si>
    <t>https://www.moma.org/collection/works/215292</t>
  </si>
  <si>
    <t>https://www.moma.org/media/W1siZiIsIjM4NzczNyJdLFsicCIsImNvbnZlcnQiLCItcmVzaXplIDEwMjR4MTAyNFx1MDAzZSJdXQ.jpg?sha=88c6da3006cedd3d</t>
  </si>
  <si>
    <t>Plowed Field in Frost</t>
  </si>
  <si>
    <t>Dr. Arvid Gutschow</t>
  </si>
  <si>
    <t>15 3/16 × 19 3/16" (38.5 × 48.8 cm)</t>
  </si>
  <si>
    <t>https://www.moma.org/collection/works/215303</t>
  </si>
  <si>
    <t>https://www.moma.org/media/W1siZiIsIjM4NzczOCJdLFsicCIsImNvbnZlcnQiLCItcmVzaXplIDEwMjR4MTAyNFx1MDAzZSJdXQ.jpg?sha=3c80b5a337e4f469</t>
  </si>
  <si>
    <t>Kazuo Shiraga</t>
  </si>
  <si>
    <t>51 1/2 × 76 3/8" (130.8 × 194 cm)</t>
  </si>
  <si>
    <t>https://www.moma.org/collection/works/215351</t>
  </si>
  <si>
    <t>https://www.moma.org/media/W1siZiIsIjQ2ODMxMyJdLFsicCIsImNvbnZlcnQiLCItcmVzaXplIDEwMjR4MTAyNFx1MDAzZSJdXQ.jpg?sha=9a99b870f082dd51</t>
  </si>
  <si>
    <t>Yakshi</t>
  </si>
  <si>
    <t>Mrinalini Mukherjee</t>
  </si>
  <si>
    <t>Dyed hemp</t>
  </si>
  <si>
    <t>97 × 48 × 29" (246.4 × 121.9 × 73.7 cm)</t>
  </si>
  <si>
    <t>https://www.moma.org/collection/works/215656</t>
  </si>
  <si>
    <t>https://www.moma.org/media/W1siZiIsIjQ3NjU4NSJdLFsicCIsImNvbnZlcnQiLCItcmVzaXplIDEwMjR4MTAyNFx1MDAzZSJdXQ.jpg?sha=4f79bbab35182f6c</t>
  </si>
  <si>
    <t>Gauri Gill</t>
  </si>
  <si>
    <t>Sunil Gupta</t>
  </si>
  <si>
    <t>Humayun's Tomb, Americans--talking about AIDS and distributing condoms. Nobody believes them. They're always telling us what to do</t>
  </si>
  <si>
    <t>https://www.moma.org/collection/works/217283</t>
  </si>
  <si>
    <t>https://www.moma.org/media/W1siZiIsIjM5MjI1NSJdLFsicCIsImNvbnZlcnQiLCItcmVzaXplIDEwMjR4MTAyNFx1MDAzZSJdXQ.jpg?sha=4b95b81286e6b6c3</t>
  </si>
  <si>
    <t>Untitled (red square)</t>
  </si>
  <si>
    <t xml:space="preserve">Cut-and-pasted printed and painted paper on board_x000D_
</t>
  </si>
  <si>
    <t>19 11/16 × 13 9/16" (50 × 34.5 cm)</t>
  </si>
  <si>
    <t>https://www.moma.org/collection/works/217681</t>
  </si>
  <si>
    <t>https://www.moma.org/media/W1siZiIsIjQzNjQzNyJdLFsicCIsImNvbnZlcnQiLCItcmVzaXplIDEwMjR4MTAyNFx1MDAzZSJdXQ.jpg?sha=ccb84058fa359e04</t>
  </si>
  <si>
    <t>Building the City</t>
  </si>
  <si>
    <t>67529, 68082</t>
  </si>
  <si>
    <t>Ink on digital print</t>
  </si>
  <si>
    <t>48 × 68" (121.9 × 172.7 cm)</t>
  </si>
  <si>
    <t>https://www.moma.org/collection/works/218220</t>
  </si>
  <si>
    <t>https://www.moma.org/media/W1siZiIsIjQxODkzMyJdLFsicCIsImNvbnZlcnQiLCItcmVzaXplIDEwMjR4MTAyNFx1MDAzZSJdXQ.jpg?sha=430c2d88fae17dd2</t>
  </si>
  <si>
    <t>The Drought, The Flood</t>
  </si>
  <si>
    <t>https://www.moma.org/collection/works/218221</t>
  </si>
  <si>
    <t>https://www.moma.org/media/W1siZiIsIjQxODkzNCJdLFsicCIsImNvbnZlcnQiLCItcmVzaXplIDEwMjR4MTAyNFx1MDAzZSJdXQ.jpg?sha=da8e7d647a08bd77</t>
  </si>
  <si>
    <t>Poster for appliance manufacturer Oscar Winter's "Patent-Germane" stoves</t>
  </si>
  <si>
    <t>c.1901</t>
  </si>
  <si>
    <t>63 × 19 11/16" (160 × 50 cm)</t>
  </si>
  <si>
    <t>https://www.moma.org/collection/works/218700</t>
  </si>
  <si>
    <t>https://www.moma.org/media/W1siZiIsIjQ0Nzg2NSJdLFsicCIsImNvbnZlcnQiLCItcmVzaXplIDEwMjR4MTAyNFx1MDAzZSJdXQ.jpg?sha=6874dbdfba87d763</t>
  </si>
  <si>
    <t>Design related to poster for the magazine Poligraficheskoe proizvodstvo (Polygraphic Production)</t>
  </si>
  <si>
    <t>Vasili Elkin</t>
  </si>
  <si>
    <t xml:space="preserve">Cut-and-pasted printed and colored paper on paper with pencil_x000D_
</t>
  </si>
  <si>
    <t>22 1/16 × 16 9/16" (56 × 42 cm)</t>
  </si>
  <si>
    <t>https://www.moma.org/collection/works/218721</t>
  </si>
  <si>
    <t>https://www.moma.org/media/W1siZiIsIjQzNzM5MSJdLFsicCIsImNvbnZlcnQiLCItcmVzaXplIDEwMjR4MTAyNFx1MDAzZSJdXQ.jpg?sha=d68744bf84db3083</t>
  </si>
  <si>
    <t>16mm film transferred to video</t>
  </si>
  <si>
    <t>The Fiberglass Chairs: Something of How They Get the Way They Are</t>
  </si>
  <si>
    <t>https://www.moma.org/collection/works/218761</t>
  </si>
  <si>
    <t>https://www.moma.org/media/W1siZiIsIjU4Mzk3MiJdLFsicCIsImNvbnZlcnQiLCItcmVzaXplIDEwMjR4MTAyNFx1MDAzZSJdXQ.jpg?sha=4309ce2fcce5b9cf</t>
  </si>
  <si>
    <t>A Ground (0083)</t>
  </si>
  <si>
    <t>Paul Mpagi Sepuya</t>
  </si>
  <si>
    <t>13 5/16 × 10" (33.9 × 25.4 cm)</t>
  </si>
  <si>
    <t>https://www.moma.org/collection/works/219267</t>
  </si>
  <si>
    <t>https://www.moma.org/media/W1siZiIsIjU2NTY1OSJdLFsicCIsImNvbnZlcnQiLCItcmVzaXplIDEwMjR4MTAyNFx1MDAzZSJdXQ.jpg?sha=b77862583ef62fec</t>
  </si>
  <si>
    <t>Mirror Ground Study (\1990600)</t>
  </si>
  <si>
    <t>https://www.moma.org/collection/works/219270</t>
  </si>
  <si>
    <t>https://www.moma.org/media/W1siZiIsIjU2NTY2MSJdLFsicCIsImNvbnZlcnQiLCItcmVzaXplIDEwMjR4MTAyNFx1MDAzZSJdXQ.jpg?sha=08ef6c08f9ecc6c7</t>
  </si>
  <si>
    <t>Hauptstadt (Capital)</t>
  </si>
  <si>
    <t>Acrylic on seven sheets of paper</t>
  </si>
  <si>
    <t>Each: 53 1/8 × 43 5/16" (135 × 110 cm)</t>
  </si>
  <si>
    <t>https://www.moma.org/collection/works/219627</t>
  </si>
  <si>
    <t>https://www.moma.org/media/W1siZiIsIjQwMjM2OSJdLFsicCIsImNvbnZlcnQiLCItcmVzaXplIDEwMjR4MTAyNFx1MDAzZSJdXQ.jpg?sha=f1ce535b63605039</t>
  </si>
  <si>
    <t>Rosemary Mayer</t>
  </si>
  <si>
    <t>Paso del Quindío I (Quindío Pass I)</t>
  </si>
  <si>
    <t>José Alejandro Restrepo</t>
  </si>
  <si>
    <t>Three-channel standard-definition video (black and white, sound) on seventeen cathode-ray-tube monitors</t>
  </si>
  <si>
    <t>29:28 min.</t>
  </si>
  <si>
    <t>https://www.moma.org/collection/works/220346</t>
  </si>
  <si>
    <t>https://www.moma.org/media/W1siZiIsIjU0OTg2OSJdLFsicCIsImNvbnZlcnQiLCItcmVzaXplIDEwMjR4MTAyNFx1MDAzZSJdXQ.jpg?sha=4e501729ed4082e9</t>
  </si>
  <si>
    <t>Martine Syms</t>
  </si>
  <si>
    <t>Naotaka Hiro</t>
  </si>
  <si>
    <t>Hal Fischer</t>
  </si>
  <si>
    <t>Donna-Lee Phillips</t>
  </si>
  <si>
    <t>Signifiers for a Male Response</t>
  </si>
  <si>
    <t xml:space="preserve">18 1/2 × 12 3/8" (47 × 31.4 cm)_x000D_
</t>
  </si>
  <si>
    <t>https://www.moma.org/collection/works/273170</t>
  </si>
  <si>
    <t>https://www.moma.org/media/W1siZiIsIjQxMDczMyJdLFsicCIsImNvbnZlcnQiLCItcmVzaXplIDEwMjR4MTAyNFx1MDAzZSJdXQ.jpg?sha=d1766894d9fac7d9</t>
  </si>
  <si>
    <t>Blue Handkerchief, Red Handkerchief</t>
  </si>
  <si>
    <t xml:space="preserve">12 3/8 × 18 1/2" (31.4 × 47 cm)_x000D_
</t>
  </si>
  <si>
    <t>https://www.moma.org/collection/works/273171</t>
  </si>
  <si>
    <t>https://www.moma.org/media/W1siZiIsIjQxMDc0NiJdLFsicCIsImNvbnZlcnQiLCItcmVzaXplIDEwMjR4MTAyNFx1MDAzZSJdXQ.jpg?sha=66f8cb9f6738b230</t>
  </si>
  <si>
    <t>https://www.moma.org/collection/works/273172</t>
  </si>
  <si>
    <t>https://www.moma.org/media/W1siZiIsIjQxMDc5OCJdLFsicCIsImNvbnZlcnQiLCItcmVzaXplIDEwMjR4MTAyNFx1MDAzZSJdXQ.jpg?sha=d7fccf18bb627f28</t>
  </si>
  <si>
    <t>Earring</t>
  </si>
  <si>
    <t>https://www.moma.org/collection/works/273173</t>
  </si>
  <si>
    <t>https://www.moma.org/media/W1siZiIsIjQxMDc5OSJdLFsicCIsImNvbnZlcnQiLCItcmVzaXplIDEwMjR4MTAyNFx1MDAzZSJdXQ.jpg?sha=6046760192072227</t>
  </si>
  <si>
    <t>Skylark</t>
  </si>
  <si>
    <t>42 7/8 × 27 9/16" (108.9 × 70.1 cm)</t>
  </si>
  <si>
    <t>https://www.moma.org/collection/works/273588</t>
  </si>
  <si>
    <t>https://www.moma.org/media/W1siZiIsIjQyODY2MSJdLFsicCIsImNvbnZlcnQiLCItcmVzaXplIDEwMjR4MTAyNFx1MDAzZSJdXQ.jpg?sha=d3195cbfafd33394</t>
  </si>
  <si>
    <t>Digital photograph</t>
  </si>
  <si>
    <t>No Drones</t>
  </si>
  <si>
    <t>Pair of embossed glasses</t>
  </si>
  <si>
    <t>overall (each): 5 15/16 × 2 × 2" (15.1 × 5.1 × 5.1 cm)</t>
  </si>
  <si>
    <t>https://www.moma.org/collection/works/273909</t>
  </si>
  <si>
    <t>https://www.moma.org/media/W1siZiIsIjQyMTg5NiJdLFsicCIsImNvbnZlcnQiLCItcmVzaXplIDEwMjR4MTAyNFx1MDAzZSJdXQ.jpg?sha=9bcf658c11f7c433</t>
  </si>
  <si>
    <t>Pushpamala N</t>
  </si>
  <si>
    <t>https://www.moma.org/media/W1siZiIsIjQyMzIxNyJdLFsicCIsImNvbnZlcnQiLCItcmVzaXplIDEwMjR4MTAyNFx1MDAzZSJdXQ.jpg?sha=2452c95bb0d910c4</t>
  </si>
  <si>
    <t xml:space="preserve">25 7/8 × 19 15/16" (65.7 × 50.6 cm)_x000D_
</t>
  </si>
  <si>
    <t>PHOTORAMA</t>
  </si>
  <si>
    <t>71 1/2 × 75 3/4" (181.6 × 192.4 cm)</t>
  </si>
  <si>
    <t>https://www.moma.org/collection/works/275273</t>
  </si>
  <si>
    <t>https://www.moma.org/media/W1siZiIsIjUwMDI3OSJdLFsicCIsImNvbnZlcnQiLCItcmVzaXplIDEwMjR4MTAyNFx1MDAzZSJdXQ.jpg?sha=d4cebb87657b299e</t>
  </si>
  <si>
    <t>The Navarasa Suite from the series Bombay Photo Studio</t>
  </si>
  <si>
    <t>https://www.moma.org/collection/works/279734</t>
  </si>
  <si>
    <t>Here I Am Briefly (Eccomi in breve). Maquette for the journal L’ala d’Italia (The wing of Italy)</t>
  </si>
  <si>
    <t xml:space="preserve">Cut-and-pasted printed paper on paper with ink, pencil, and gouache_x000D_
</t>
  </si>
  <si>
    <t>6 7/8 × 3 3/4" (17.5 × 9.6 cm)</t>
  </si>
  <si>
    <t>https://www.moma.org/collection/works/280234</t>
  </si>
  <si>
    <t>https://www.moma.org/media/W1siZiIsIjQzNjI3OCJdLFsicCIsImNvbnZlcnQiLCItcmVzaXplIDEwMjR4MTAyNFx1MDAzZSJdXQ.jpg?sha=64ff43317a36ecd3</t>
  </si>
  <si>
    <t>View through Elliot's Shack Looking South</t>
  </si>
  <si>
    <t>Lois Dodd</t>
  </si>
  <si>
    <t>53 × 36" (134.6 × 91.4 cm)</t>
  </si>
  <si>
    <t>https://www.moma.org/collection/works/280439</t>
  </si>
  <si>
    <t>https://www.moma.org/media/W1siZiIsIjQ2MDcxMCJdLFsicCIsImNvbnZlcnQiLCItcmVzaXplIDEwMjR4MTAyNFx1MDAzZSJdXQ.jpg?sha=1d3aff170e974a11</t>
  </si>
  <si>
    <t>Maren Hassinger</t>
  </si>
  <si>
    <t>Wire rope and wire, 32 bundles</t>
  </si>
  <si>
    <t>Each 16" (40.6 cm) high</t>
  </si>
  <si>
    <t>https://www.moma.org/collection/works/283693</t>
  </si>
  <si>
    <t>https://www.moma.org/media/W1siZiIsIjQ0MzY2NCJdLFsicCIsImNvbnZlcnQiLCItcmVzaXplIDEwMjR4MTAyNFx1MDAzZSJdXQ.jpg?sha=bdd604ab34360727</t>
  </si>
  <si>
    <t>9 15/16 × 13 5/8" (25.2 × 34.6 cm)</t>
  </si>
  <si>
    <t>https://www.moma.org/collection/works/283753</t>
  </si>
  <si>
    <t>https://www.moma.org/media/W1siZiIsIjQyOTg4MSJdLFsicCIsImNvbnZlcnQiLCItcmVzaXplIDEwMjR4MTAyNFx1MDAzZSJdXQ.jpg?sha=38ad26aa3673a604</t>
  </si>
  <si>
    <t>Some</t>
  </si>
  <si>
    <t>Vitreous enamel on steel</t>
  </si>
  <si>
    <t>https://www.moma.org/collection/works/284354</t>
  </si>
  <si>
    <t>https://www.moma.org/media/W1siZiIsIjU4MjA1MSJdLFsicCIsImNvbnZlcnQiLCItcmVzaXplIDEwMjR4MTAyNFx1MDAzZSJdXQ.jpg?sha=c60b895f583c52ce</t>
  </si>
  <si>
    <t>TV-Dé-coll/age, no. 1</t>
  </si>
  <si>
    <t>Six cathode-ray tube monitors, canvas, and painted plywood</t>
  </si>
  <si>
    <t>99 × 134 × 32" (251.5 × 340.4 × 81.3 cm)</t>
  </si>
  <si>
    <t>https://www.moma.org/collection/works/284439</t>
  </si>
  <si>
    <t>https://www.moma.org/media/W1siZiIsIjU2ODIxMCJdLFsicCIsImNvbnZlcnQiLCItcmVzaXplIDEwMjR4MTAyNFx1MDAzZSJdXQ.jpg?sha=d8e2d178239a2ce5</t>
  </si>
  <si>
    <t>Untitled from the series Chicago</t>
  </si>
  <si>
    <t>https://www.moma.org/collection/works/288407</t>
  </si>
  <si>
    <t>https://www.moma.org/media/W1siZiIsIjMzMTIxOSJdLFsicCIsImNvbnZlcnQiLCItcmVzaXplIDEwMjR4MTAyNFx1MDAzZSJdXQ.jpg?sha=6df5bbbd244deebf</t>
  </si>
  <si>
    <t>https://www.moma.org/collection/works/288408</t>
  </si>
  <si>
    <t>https://www.moma.org/media/W1siZiIsIjMzMTIyMCJdLFsicCIsImNvbnZlcnQiLCItcmVzaXplIDEwMjR4MTAyNFx1MDAzZSJdXQ.jpg?sha=8eeaaa5fba04b804</t>
  </si>
  <si>
    <t>https://www.moma.org/collection/works/288409</t>
  </si>
  <si>
    <t>https://www.moma.org/media/W1siZiIsIjMzMTIyMSJdLFsicCIsImNvbnZlcnQiLCItcmVzaXplIDEwMjR4MTAyNFx1MDAzZSJdXQ.jpg?sha=4da7fa2223f6c4ea</t>
  </si>
  <si>
    <t>https://www.moma.org/collection/works/288410</t>
  </si>
  <si>
    <t>https://www.moma.org/media/W1siZiIsIjMzMTIyMiJdLFsicCIsImNvbnZlcnQiLCItcmVzaXplIDEwMjR4MTAyNFx1MDAzZSJdXQ.jpg?sha=d96c52e028a25fb0</t>
  </si>
  <si>
    <t>https://www.moma.org/collection/works/288411</t>
  </si>
  <si>
    <t>https://www.moma.org/media/W1siZiIsIjMzMTIyMyJdLFsicCIsImNvbnZlcnQiLCItcmVzaXplIDEwMjR4MTAyNFx1MDAzZSJdXQ.jpg?sha=4fd8e3d184829352</t>
  </si>
  <si>
    <t>Approx. 9 1/2 × 4" (24.1 × 10.2 cm)</t>
  </si>
  <si>
    <t>https://www.moma.org/collection/works/288412</t>
  </si>
  <si>
    <t>https://www.moma.org/media/W1siZiIsIjMzMTIyNCJdLFsicCIsImNvbnZlcnQiLCItcmVzaXplIDEwMjR4MTAyNFx1MDAzZSJdXQ.jpg?sha=8a0077bb39a00ad6</t>
  </si>
  <si>
    <t>https://www.moma.org/collection/works/288413</t>
  </si>
  <si>
    <t>https://www.moma.org/media/W1siZiIsIjMzMTIyNSJdLFsicCIsImNvbnZlcnQiLCItcmVzaXplIDEwMjR4MTAyNFx1MDAzZSJdXQ.jpg?sha=8abb71514fe732e1</t>
  </si>
  <si>
    <t>Plan for Construction of Nana Maison (Projet pour construction de Nana maison)</t>
  </si>
  <si>
    <t>5 3/8 × 8 1/4" (13.7 × 21 cm)</t>
  </si>
  <si>
    <t>https://www.moma.org/collection/works/288972</t>
  </si>
  <si>
    <t>https://www.moma.org/media/W1siZiIsIjQ0NDgyNCJdLFsicCIsImNvbnZlcnQiLCItcmVzaXplIDEwMjR4MTAyNFx1MDAzZSJdXQ.jpg?sha=47b1a8d55ea035ac</t>
  </si>
  <si>
    <t>Studies for Hiroshima Projection</t>
  </si>
  <si>
    <t>Cut-and-pasted printed paper, pencil, felt-tip pen, colored pencil, and ink on thirteen sheets of paper</t>
  </si>
  <si>
    <t>sheet (.a-k): 14 3/8 × 10 1/8" (36.5 × 25.7 cm); sheet (.l): 14 3/8 × 10 1/4" (36.5 × 26 cm); sheet (.m): 14 3/8 × 10 1/8" (36.5 × 25.7 cm)</t>
  </si>
  <si>
    <t>https://www.moma.org/collection/works/289512</t>
  </si>
  <si>
    <t>https://www.moma.org/media/W1siZiIsIjQ1OTYzNCJdLFsicCIsImNvbnZlcnQiLCItcmVzaXplIDEwMjR4MTAyNFx1MDAzZSJdXQ.jpg?sha=3dbde95507f729f8</t>
  </si>
  <si>
    <t>Cecilia Vicuña</t>
  </si>
  <si>
    <t>Black Panther and Me (ii)</t>
  </si>
  <si>
    <t>Bogotá 1978</t>
  </si>
  <si>
    <t>26 1/2 x 33" (67.3 x 83.8 cm)</t>
  </si>
  <si>
    <t>https://www.moma.org/collection/works/290939</t>
  </si>
  <si>
    <t>https://www.moma.org/media/W1siZiIsIjQ1NTQ4MyJdLFsicCIsImNvbnZlcnQiLCItcmVzaXplIDEwMjR4MTAyNFx1MDAzZSJdXQ.jpg?sha=83f56bd41ebcd1d9</t>
  </si>
  <si>
    <t>The Juggler (The Magician)</t>
  </si>
  <si>
    <t>Remedios Varo</t>
  </si>
  <si>
    <t>Oil and inlaid mother of pearl on board</t>
  </si>
  <si>
    <t>35 13/16 × 48 1/16" (91 × 122 cm)</t>
  </si>
  <si>
    <t>https://www.moma.org/collection/works/291307</t>
  </si>
  <si>
    <t>https://www.moma.org/media/W1siZiIsIjUzODYxOSJdLFsicCIsImNvbnZlcnQiLCItcmVzaXplIDEwMjR4MTAyNFx1MDAzZSJdXQ.jpg?sha=0459c5b86b39bd05</t>
  </si>
  <si>
    <t>https://www.moma.org/collection/works/292571</t>
  </si>
  <si>
    <t>https://www.moma.org/media/W1siZiIsIjU4MjA1MiJdLFsicCIsImNvbnZlcnQiLCItcmVzaXplIDEwMjR4MTAyNFx1MDAzZSJdXQ.jpg?sha=c485bd001f119372</t>
  </si>
  <si>
    <t>https://www.moma.org/collection/works/292572</t>
  </si>
  <si>
    <t>https://www.moma.org/media/W1siZiIsIjU4MjA1NCJdLFsicCIsImNvbnZlcnQiLCItcmVzaXplIDEwMjR4MTAyNFx1MDAzZSJdXQ.jpg?sha=b5914f1905d31b1d</t>
  </si>
  <si>
    <t>https://www.moma.org/collection/works/292573</t>
  </si>
  <si>
    <t>https://www.moma.org/media/W1siZiIsIjU4MjA1NSJdLFsicCIsImNvbnZlcnQiLCItcmVzaXplIDEwMjR4MTAyNFx1MDAzZSJdXQ.jpg?sha=664e445370339abb</t>
  </si>
  <si>
    <t>https://www.moma.org/collection/works/292574</t>
  </si>
  <si>
    <t>https://www.moma.org/media/W1siZiIsIjU4MjA1MyJdLFsicCIsImNvbnZlcnQiLCItcmVzaXplIDEwMjR4MTAyNFx1MDAzZSJdXQ.jpg?sha=cd0b488e6178de24</t>
  </si>
  <si>
    <t>"Hang-it-All" clothes hanger</t>
  </si>
  <si>
    <t>Enameled steel and lacquered wood</t>
  </si>
  <si>
    <t>15 × 20 × 6" (38.1 × 50.8 × 15.2 cm)</t>
  </si>
  <si>
    <t>https://www.moma.org/collection/works/292720</t>
  </si>
  <si>
    <t>https://www.moma.org/media/W1siZiIsIjUzNjU5NCJdLFsicCIsImNvbnZlcnQiLCItcmVzaXplIDEwMjR4MTAyNFx1MDAzZSJdXQ.jpg?sha=6a6a5de17a54e5e4</t>
  </si>
  <si>
    <t>13 × 17" (33 × 43.2 cm)</t>
  </si>
  <si>
    <t>https://www.moma.org/collection/works/293592</t>
  </si>
  <si>
    <t>https://www.moma.org/media/W1siZiIsIjQ1NzQxMSJdLFsicCIsImNvbnZlcnQiLCItcmVzaXplIDEwMjR4MTAyNFx1MDAzZSJdXQ.jpg?sha=96546052bb51d2f5</t>
  </si>
  <si>
    <t>Recordings of 200 poems by 80 poets, four telephones; original answering machine, telephone, reel-to-reel tape recorders, and microphone; printed and handwritten ephemera</t>
  </si>
  <si>
    <t>https://www.moma.org/collection/works/294325</t>
  </si>
  <si>
    <t>https://www.moma.org/media/W1siZiIsIjUxNDIwMCJdLFsicCIsImNvbnZlcnQiLCItcmVzaXplIDEwMjR4MTAyNFx1MDAzZSJdXQ.jpg?sha=75aacf986db9fc4d</t>
  </si>
  <si>
    <t>Albumen silver print (Kodak No. 1)</t>
  </si>
  <si>
    <t>And Then We Saw the Daughter of the Minotaur</t>
  </si>
  <si>
    <t>23 5/8 × 27 9/16" (60 × 70 cm)</t>
  </si>
  <si>
    <t>https://www.moma.org/collection/works/393384</t>
  </si>
  <si>
    <t>https://www.moma.org/media/W1siZiIsIjQ1OTMxMSJdLFsicCIsImNvbnZlcnQiLCItcmVzaXplIDEwMjR4MTAyNFx1MDAzZSJdXQ.jpg?sha=8f5f3cb963699207</t>
  </si>
  <si>
    <t>Andrea</t>
  </si>
  <si>
    <t>Five gelatin silver prints and ink on paper</t>
  </si>
  <si>
    <t xml:space="preserve">10 15/16 × 13 7/8" (27.8 × 35.2 cm)_x000D_
</t>
  </si>
  <si>
    <t>https://www.moma.org/collection/works/395666</t>
  </si>
  <si>
    <t>https://www.moma.org/media/W1siZiIsIjU3MDEwMyJdLFsicCIsImNvbnZlcnQiLCItcmVzaXplIDEwMjR4MTAyNFx1MDAzZSJdXQ.jpg?sha=8fa4b64391f49ca4</t>
  </si>
  <si>
    <t>Intake Facility for an Anonymous Client</t>
  </si>
  <si>
    <t>Mustafa Faruki</t>
  </si>
  <si>
    <t>Bound book of collages and drawings</t>
  </si>
  <si>
    <t>bound overall: 13 × 18 1/8 x 1" (33 × 46 x 2.5 cm)</t>
  </si>
  <si>
    <t>https://www.moma.org/collection/works/396742</t>
  </si>
  <si>
    <t>https://www.moma.org/media/W1siZiIsIjQ5MDAzMiJdLFsicCIsImNvbnZlcnQiLCItcmVzaXplIDEwMjR4MTAyNFx1MDAzZSJdXQ.jpg?sha=d82bec173fd0e1b9</t>
  </si>
  <si>
    <t xml:space="preserve">3 1/4 × 3 5/16" (8.2 × 8.4 cm)_x000D_
</t>
  </si>
  <si>
    <t>https://www.moma.org/collection/works/400021</t>
  </si>
  <si>
    <t>https://www.moma.org/media/W1siZiIsIjQ3NDgyMCJdLFsicCIsImNvbnZlcnQiLCItcmVzaXplIDEwMjR4MTAyNFx1MDAzZSJdXQ.jpg?sha=7e94a8deb62ca75a</t>
  </si>
  <si>
    <t xml:space="preserve">3 1/16 × 2 1/8" (7.7 × 5.4 cm)_x000D_
</t>
  </si>
  <si>
    <t>https://www.moma.org/collection/works/400023</t>
  </si>
  <si>
    <t>https://www.moma.org/media/W1siZiIsIjQ3Mzk2OSJdLFsicCIsImNvbnZlcnQiLCItcmVzaXplIDEwMjR4MTAyNFx1MDAzZSJdXQ.jpg?sha=4efd97ddb4271276</t>
  </si>
  <si>
    <t xml:space="preserve">4 15/16 × 2 3/4" (12.5 × 7 cm)_x000D_
</t>
  </si>
  <si>
    <t>https://www.moma.org/collection/works/400052</t>
  </si>
  <si>
    <t>https://www.moma.org/media/W1siZiIsIjQ3MzM5MCJdLFsicCIsImNvbnZlcnQiLCItcmVzaXplIDEwMjR4MTAyNFx1MDAzZSJdXQ.jpg?sha=dac97b294b02e394</t>
  </si>
  <si>
    <t xml:space="preserve">3 1/8 × 5 5/16" (8 × 13.5 cm)_x000D_
</t>
  </si>
  <si>
    <t>https://www.moma.org/collection/works/400159</t>
  </si>
  <si>
    <t>https://www.moma.org/media/W1siZiIsIjQ3MTIxNCJdLFsicCIsImNvbnZlcnQiLCItcmVzaXplIDEwMjR4MTAyNFx1MDAzZSJdXQ.jpg?sha=cd1ff8964b8a947f</t>
  </si>
  <si>
    <t xml:space="preserve">2 3/8" (6.1 cm)_x000D_
</t>
  </si>
  <si>
    <t>https://www.moma.org/collection/works/400216</t>
  </si>
  <si>
    <t>https://www.moma.org/media/W1siZiIsIjQ3MTIyMyJdLFsicCIsImNvbnZlcnQiLCItcmVzaXplIDEwMjR4MTAyNFx1MDAzZSJdXQ.jpg?sha=5f53c1d43a73fcbc</t>
  </si>
  <si>
    <t xml:space="preserve">2 1/2" (6.3 cm)_x000D_
</t>
  </si>
  <si>
    <t>https://www.moma.org/collection/works/400218</t>
  </si>
  <si>
    <t>https://www.moma.org/media/W1siZiIsIjQ3MTIyNSJdLFsicCIsImNvbnZlcnQiLCItcmVzaXplIDEwMjR4MTAyNFx1MDAzZSJdXQ.jpg?sha=d9a6d470af08c891</t>
  </si>
  <si>
    <t>https://www.moma.org/collection/works/400219</t>
  </si>
  <si>
    <t>https://www.moma.org/media/W1siZiIsIjQ3MTIyNiJdLFsicCIsImNvbnZlcnQiLCItcmVzaXplIDEwMjR4MTAyNFx1MDAzZSJdXQ.jpg?sha=fcbf3b6a756ec19e</t>
  </si>
  <si>
    <t>https://www.moma.org/collection/works/400220</t>
  </si>
  <si>
    <t>https://www.moma.org/media/W1siZiIsIjQ3MTIyNyJdLFsicCIsImNvbnZlcnQiLCItcmVzaXplIDEwMjR4MTAyNFx1MDAzZSJdXQ.jpg?sha=73b3f1882aca83a1</t>
  </si>
  <si>
    <t>https://www.moma.org/collection/works/400223</t>
  </si>
  <si>
    <t>https://www.moma.org/media/W1siZiIsIjQ3MTIzMCJdLFsicCIsImNvbnZlcnQiLCItcmVzaXplIDEwMjR4MTAyNFx1MDAzZSJdXQ.jpg?sha=386d4137ad1f67db</t>
  </si>
  <si>
    <t>https://www.moma.org/collection/works/400225</t>
  </si>
  <si>
    <t>https://www.moma.org/media/W1siZiIsIjQ3MTIzMiJdLFsicCIsImNvbnZlcnQiLCItcmVzaXplIDEwMjR4MTAyNFx1MDAzZSJdXQ.jpg?sha=b6b7c115bc85401a</t>
  </si>
  <si>
    <t>https://www.moma.org/collection/works/400226</t>
  </si>
  <si>
    <t>https://www.moma.org/media/W1siZiIsIjQ3MTIzMyJdLFsicCIsImNvbnZlcnQiLCItcmVzaXplIDEwMjR4MTAyNFx1MDAzZSJdXQ.jpg?sha=ca3c306da5bc2d00</t>
  </si>
  <si>
    <t xml:space="preserve">2 5/8" (6.7 cm)_x000D_
</t>
  </si>
  <si>
    <t>https://www.moma.org/collection/works/400228</t>
  </si>
  <si>
    <t>https://www.moma.org/media/W1siZiIsIjQ3MTIzNSJdLFsicCIsImNvbnZlcnQiLCItcmVzaXplIDEwMjR4MTAyNFx1MDAzZSJdXQ.jpg?sha=2a3a75eb1defe517</t>
  </si>
  <si>
    <t>https://www.moma.org/collection/works/400229</t>
  </si>
  <si>
    <t>https://www.moma.org/media/W1siZiIsIjQ3MTIzNiJdLFsicCIsImNvbnZlcnQiLCItcmVzaXplIDEwMjR4MTAyNFx1MDAzZSJdXQ.jpg?sha=802f0368ddd34d8e</t>
  </si>
  <si>
    <t>Black Power Afro pick hair comb</t>
  </si>
  <si>
    <t>131886, 131887, 131888</t>
  </si>
  <si>
    <t>1972–1976</t>
  </si>
  <si>
    <t>Injection-molded plastic</t>
  </si>
  <si>
    <t>6 1/2 × 3 × 1/4" (16.5 × 7.6 × 0.6 cm)</t>
  </si>
  <si>
    <t>https://www.moma.org/collection/works/401235</t>
  </si>
  <si>
    <t>https://www.moma.org/media/W1siZiIsIjUwNTg4MiJdLFsicCIsImNvbnZlcnQiLCItcmVzaXplIDEwMjR4MTAyNFx1MDAzZSJdXQ.jpg?sha=8ecdb7e41f853111</t>
  </si>
  <si>
    <t>Algae Geographies glasses and carafes</t>
  </si>
  <si>
    <t>131930, 132165, 132166, 132113</t>
  </si>
  <si>
    <t>Microalgae and sugar-based biopolymer</t>
  </si>
  <si>
    <t xml:space="preserve">.1 Carafe (high): 9 13/16' x 3 15/16' x 3 15/16" (25 x 10 x 10 cm)_x000D_
.2 Carafe (short) : 7 7/8 x 3 15/16 x 3 15/16" (20 x 10 x 10 cm)_x000D_
.3-.4 Glasses: 3 1/2 x 3 3/8 x 3 3/8"  (9 x 8.5 x 8.5 cm)_x000D_
.5 Antique cup: 2 3/8 x 4 1/2 x 4 1/2" (6 x 9 x 9 cm)_x000D_
.6 Antique cup: 2 3/8 x 3 1/2 x 3 1/2" (6 x 9 x 9 cm)_x000D_
.7 3-sided cup (big): 2 1/2 x 4 3/8 x 4 3/8" (6.5 x 9 x 9 cm)_x000D_
.8 3-sided cup (small) : 2 3/16 x 2 3/4 x 2 3/4"  (5.5 x 7 x 7 cm)_x000D_
.9-14 Tiger cups: 2 3/4 x 2 3/4 x 2 3/4" (7 x 7 x 7 cm)_x000D_
</t>
  </si>
  <si>
    <t>https://www.moma.org/collection/works/401429</t>
  </si>
  <si>
    <t>https://www.moma.org/media/W1siZiIsIjUzNzgwOCJdLFsicCIsImNvbnZlcnQiLCItcmVzaXplIDEwMjR4MTAyNFx1MDAzZSJdXQ.jpg?sha=c95a8e4998a525e9</t>
  </si>
  <si>
    <t>Yente (Eugenia Crenovich)</t>
  </si>
  <si>
    <t>9 1/16 × 10 5/8 × 5 1/8" (23 × 27 × 13 cm)</t>
  </si>
  <si>
    <t>https://www.moma.org/collection/works/401490</t>
  </si>
  <si>
    <t>https://www.moma.org/media/W1siZiIsIjQ4MjM0MiJdLFsicCIsImNvbnZlcnQiLCItcmVzaXplIDEwMjR4MTAyNFx1MDAzZSJdXQ.jpg?sha=26cda036c1aedd64</t>
  </si>
  <si>
    <t>Tapestry no. 6</t>
  </si>
  <si>
    <t>Wool and paint on canvas</t>
  </si>
  <si>
    <t>47 5/8 × 18 7/16" (121 × 46.9 cm)</t>
  </si>
  <si>
    <t>https://www.moma.org/collection/works/401491</t>
  </si>
  <si>
    <t>https://www.moma.org/media/W1siZiIsIjQ3NDEyNSJdLFsicCIsImNvbnZlcnQiLCItcmVzaXplIDEwMjR4MTAyNFx1MDAzZSJdXQ.jpg?sha=c2d78635fbcbdf3b</t>
  </si>
  <si>
    <t>Guadalupe Maravilla</t>
  </si>
  <si>
    <t>Tsuruko Yamazaki</t>
  </si>
  <si>
    <t>Aniline dye on tin</t>
  </si>
  <si>
    <t>28 7/8 × 32 1/2" (73.3 × 82.6 cm)</t>
  </si>
  <si>
    <t>https://www.moma.org/collection/works/402420</t>
  </si>
  <si>
    <t>https://www.moma.org/media/W1siZiIsIjQ3NTM1MSJdLFsicCIsImNvbnZlcnQiLCItcmVzaXplIDEwMjR4MTAyNFx1MDAzZSJdXQ.jpg?sha=3a7240bc4d699391</t>
  </si>
  <si>
    <t>Post-Partum Document: Documentation IV, Transitional Objects, Diary and Diagram (prototype)</t>
  </si>
  <si>
    <t>Mary Kelly</t>
  </si>
  <si>
    <t>1976/2015</t>
  </si>
  <si>
    <t>Plexiglass, card, plaster, cotton string, ink, and wood, 11 units</t>
  </si>
  <si>
    <t>Each 14 × 11" (35.6 × 27.9 cm), overall installation variable</t>
  </si>
  <si>
    <t>https://www.moma.org/collection/works/402559</t>
  </si>
  <si>
    <t>https://www.moma.org/media/W1siZiIsIjQ3NTM1MyJdLFsicCIsImNvbnZlcnQiLCItcmVzaXplIDEwMjR4MTAyNFx1MDAzZSJdXQ.jpg?sha=89fa243abd78ad75</t>
  </si>
  <si>
    <t>The Couple in the Cage: Guatinaui Odyssey</t>
  </si>
  <si>
    <t>71206, 100523</t>
  </si>
  <si>
    <t>https://www.moma.org/collection/works/403501</t>
  </si>
  <si>
    <t>https://www.moma.org/media/W1siZiIsIjQ5Mzg0MiJdLFsicCIsImNvbnZlcnQiLCItcmVzaXplIDEwMjR4MTAyNFx1MDAzZSJdXQ.jpg?sha=66e8ca0aebc72f31</t>
  </si>
  <si>
    <t>16mm film transferred to high-definition video (black and white, sound)</t>
  </si>
  <si>
    <t>Notes for an Apocalypse</t>
  </si>
  <si>
    <t>50 × 62" (127 × 157.5 cm)</t>
  </si>
  <si>
    <t>https://www.moma.org/collection/works/403712</t>
  </si>
  <si>
    <t>https://www.moma.org/media/W1siZiIsIjQ5NDEwMyJdLFsicCIsImNvbnZlcnQiLCItcmVzaXplIDEwMjR4MTAyNFx1MDAzZSJdXQ.jpg?sha=52fd524e1b450e3c</t>
  </si>
  <si>
    <t>The Undiscovered Amerindians</t>
  </si>
  <si>
    <t>Coco Fusco</t>
  </si>
  <si>
    <t>Intaglio on ten sheets of paper</t>
  </si>
  <si>
    <t>Sheet: 18 5/16 × 21" (46.5 × 53.3 cm) (each)</t>
  </si>
  <si>
    <t>https://www.moma.org/collection/works/404136</t>
  </si>
  <si>
    <t>https://www.moma.org/media/W1siZiIsIjQ5Mzg0MyJdLFsicCIsImNvbnZlcnQiLCItcmVzaXplIDEwMjR4MTAyNFx1MDAzZSJdXQ.jpg?sha=607c5c32fc316145</t>
  </si>
  <si>
    <t>"Oscar" car design template</t>
  </si>
  <si>
    <t>General Motors Corporation, Detroit, MI</t>
  </si>
  <si>
    <t>45 9/16 × 49 7/8" (115.7 × 126.7 cm)</t>
  </si>
  <si>
    <t>https://www.moma.org/collection/works/404767</t>
  </si>
  <si>
    <t>https://www.moma.org/media/W1siZiIsIjQ5NDY2NCJdLFsicCIsImNvbnZlcnQiLCItcmVzaXplIDEwMjR4MTAyNFx1MDAzZSJdXQ.jpg?sha=21e61a76542cc1d5</t>
  </si>
  <si>
    <t>Little Ghost Eating Bread</t>
  </si>
  <si>
    <t>20 × 17" (50.8 × 43.2 cm)</t>
  </si>
  <si>
    <t>https://www.moma.org/collection/works/406456</t>
  </si>
  <si>
    <t>https://www.moma.org/media/W1siZiIsIjQ3ODk1OSJdLFsicCIsImNvbnZlcnQiLCItcmVzaXplIDEwMjR4MTAyNFx1MDAzZSJdXQ.jpg?sha=fb53491fd36d287d</t>
  </si>
  <si>
    <t>M.R.M (Sex)</t>
  </si>
  <si>
    <t>https://www.moma.org/collection/works/407377</t>
  </si>
  <si>
    <t>https://www.moma.org/media/W1siZiIsIjQ5MjI5MiJdLFsicCIsImNvbnZlcnQiLCItcmVzaXplIDEwMjR4MTAyNFx1MDAzZSJdXQ.jpg?sha=1d20420e1d40ebd8</t>
  </si>
  <si>
    <t>Doll Parts</t>
  </si>
  <si>
    <t>7 × 7 3/4" (17.8 × 19.7 cm)</t>
  </si>
  <si>
    <t>https://www.moma.org/collection/works/407382</t>
  </si>
  <si>
    <t>https://www.moma.org/media/W1siZiIsIjQ5MzIwOCJdLFsicCIsImNvbnZlcnQiLCItcmVzaXplIDEwMjR4MTAyNFx1MDAzZSJdXQ.jpg?sha=436e769ba3f6bd5b</t>
  </si>
  <si>
    <t>UCCA Dune Art Museum, Aranya, Hebei, China (Spatial model, scale 1:50)</t>
  </si>
  <si>
    <t>133368, 133369</t>
  </si>
  <si>
    <t>2015–2018</t>
  </si>
  <si>
    <t>Polyactic acid (PLA)</t>
  </si>
  <si>
    <t>48 7/16 × 42 15/16 × 7 7/8" (123 × 109 × 20 cm)</t>
  </si>
  <si>
    <t>https://www.moma.org/collection/works/416126</t>
  </si>
  <si>
    <t>https://www.moma.org/media/W1siZiIsIjUwNTg4OSJdLFsicCIsImNvbnZlcnQiLCItcmVzaXplIDEwMjR4MTAyNFx1MDAzZSJdXQ.jpg?sha=ebe1f7ebeabb3e77</t>
  </si>
  <si>
    <t>Digital drawing</t>
  </si>
  <si>
    <t>UCCA Dune Art Museum, Aranya, Hebei, China</t>
  </si>
  <si>
    <t>2015-18</t>
  </si>
  <si>
    <t>10 3/8 × 15" (26.4 × 38.1 cm)</t>
  </si>
  <si>
    <t>https://www.moma.org/collection/works/416198</t>
  </si>
  <si>
    <t>https://www.moma.org/media/W1siZiIsIjUxMzY3MSJdLFsicCIsImNvbnZlcnQiLCItcmVzaXplIDEwMjR4MTAyNFx1MDAzZSJdXQ.jpg?sha=9af95a01f1d4e527</t>
  </si>
  <si>
    <t>UCCA Dune Art Museum, Aranya, Hebei, China (Ground floor plan)</t>
  </si>
  <si>
    <t>https://www.moma.org/collection/works/416199</t>
  </si>
  <si>
    <t>https://www.moma.org/media/W1siZiIsIjQ5NjM0MCJdLFsicCIsImNvbnZlcnQiLCItcmVzaXplIDEwMjR4MTAyNFx1MDAzZSJdXQ.jpg?sha=445c4fac9db46259</t>
  </si>
  <si>
    <t>UCCA Dune Art Museum, Aranya, Hebei, China (Roof plan)</t>
  </si>
  <si>
    <t>https://www.moma.org/collection/works/416200</t>
  </si>
  <si>
    <t>https://www.moma.org/media/W1siZiIsIjQ5NjM0MSJdLFsicCIsImNvbnZlcnQiLCItcmVzaXplIDEwMjR4MTAyNFx1MDAzZSJdXQ.jpg?sha=299350ed1574db52</t>
  </si>
  <si>
    <t>UCCA Dune Art Museum, Aranya, Hebei, China (Elevation)</t>
  </si>
  <si>
    <t>https://www.moma.org/collection/works/416201</t>
  </si>
  <si>
    <t>https://www.moma.org/media/W1siZiIsIjQ5NjM0MiJdLFsicCIsImNvbnZlcnQiLCItcmVzaXplIDEwMjR4MTAyNFx1MDAzZSJdXQ.jpg?sha=548ac57cdeda8279</t>
  </si>
  <si>
    <t>UCCA Dune Art Museum, Aranya, Hebei, China (Sections)</t>
  </si>
  <si>
    <t>https://www.moma.org/collection/works/416202</t>
  </si>
  <si>
    <t>https://www.moma.org/media/W1siZiIsIjQ5NjM0MyJdLFsicCIsImNvbnZlcnQiLCItcmVzaXplIDEwMjR4MTAyNFx1MDAzZSJdXQ.jpg?sha=ee10985bbb5fb6ab</t>
  </si>
  <si>
    <t>UCCA Dune Art Museum, Aranya, Hebei, China (Diagram of sun path)</t>
  </si>
  <si>
    <t>https://www.moma.org/collection/works/416204</t>
  </si>
  <si>
    <t>https://www.moma.org/media/W1siZiIsIjQ5NjM0NyJdLFsicCIsImNvbnZlcnQiLCItcmVzaXplIDEwMjR4MTAyNFx1MDAzZSJdXQ.jpg?sha=bfa4432445b8b6d6</t>
  </si>
  <si>
    <t>https://www.moma.org/collection/works/416206</t>
  </si>
  <si>
    <t>https://www.moma.org/media/W1siZiIsIjQ5NjUyMiJdLFsicCIsImNvbnZlcnQiLCItcmVzaXplIDEwMjR4MTAyNFx1MDAzZSJdXQ.jpg?sha=82a0adbb3ef212aa</t>
  </si>
  <si>
    <t>133368, 133369, 74188</t>
  </si>
  <si>
    <t>https://www.moma.org/collection/works/416207</t>
  </si>
  <si>
    <t>https://www.moma.org/media/W1siZiIsIjQ5NjM1MCJdLFsicCIsImNvbnZlcnQiLCItcmVzaXplIDEwMjR4MTAyNFx1MDAzZSJdXQ.jpg?sha=7196a143a2d5d558</t>
  </si>
  <si>
    <t>133368, 133369, 133401</t>
  </si>
  <si>
    <t>https://www.moma.org/collection/works/416208</t>
  </si>
  <si>
    <t>https://www.moma.org/media/W1siZiIsIjQ5NjM1MSJdLFsicCIsImNvbnZlcnQiLCItcmVzaXplIDEwMjR4MTAyNFx1MDAzZSJdXQ.jpg?sha=8b7a3009532603e3</t>
  </si>
  <si>
    <t>Kamala Ibrahim Ishag</t>
  </si>
  <si>
    <t>1980/1990</t>
  </si>
  <si>
    <t>70 7/8 × 69 11/16" (180 × 177 cm)</t>
  </si>
  <si>
    <t>https://www.moma.org/collection/works/417637</t>
  </si>
  <si>
    <t>https://www.moma.org/media/W1siZiIsIjUzNzM0MiJdLFsicCIsImNvbnZlcnQiLCItcmVzaXplIDEwMjR4MTAyNFx1MDAzZSJdXQ.jpg?sha=3795b3865e18baed</t>
  </si>
  <si>
    <t>Coloring Book 57</t>
  </si>
  <si>
    <t>Sable Elyse Smith</t>
  </si>
  <si>
    <t>Screenprint with oil stick</t>
  </si>
  <si>
    <t>sheet: 60 × 50" (152.4 × 127 cm)_x000D_
frame: 63 1/2 × 53 1/4 × 2" (161.3 × 135.3 × 5.1 cm)</t>
  </si>
  <si>
    <t>https://www.moma.org/collection/works/419075</t>
  </si>
  <si>
    <t>https://www.moma.org/media/W1siZiIsIjUwMDA1MiJdLFsicCIsImNvbnZlcnQiLCItcmVzaXplIDEwMjR4MTAyNFx1MDAzZSJdXQ.jpg?sha=1612115c9e4b95fd</t>
  </si>
  <si>
    <t>Coloring Book 63</t>
  </si>
  <si>
    <t>https://www.moma.org/collection/works/419076</t>
  </si>
  <si>
    <t>https://www.moma.org/media/W1siZiIsIjUwMDA1MyJdLFsicCIsImNvbnZlcnQiLCItcmVzaXplIDEwMjR4MTAyNFx1MDAzZSJdXQ.jpg?sha=5b317a9ca678321a</t>
  </si>
  <si>
    <t>Sketchbook with pencil, ink, and colored ink on paper</t>
  </si>
  <si>
    <t>Sketchbook #26, New York City</t>
  </si>
  <si>
    <t>Spiral-bound sketchbook with pencil, ink, colored ink, ballpoint pen, felt-tip pen, watercolor, and gouache on paper</t>
  </si>
  <si>
    <t>14 1/8 × 10 7/8 × 1/2" (35.9 × 27.6 × 1.3 cm)</t>
  </si>
  <si>
    <t>https://www.moma.org/collection/works/419623</t>
  </si>
  <si>
    <t>https://www.moma.org/media/W1siZiIsIjU0NDQ0MSJdLFsicCIsImNvbnZlcnQiLCItcmVzaXplIDEwMjR4MTAyNFx1MDAzZSJdXQ.jpg?sha=5f663ea12594f47e</t>
  </si>
  <si>
    <t>Sketchbook #27, New York City</t>
  </si>
  <si>
    <t>Sketchbook with pencil, ink, felt-tip pen, watercolor, and cut-and-pasted colored and printed paper</t>
  </si>
  <si>
    <t>8 1/2 × 5 1/2 × 1 3/8" (21.6 × 14 × 3.5 cm)</t>
  </si>
  <si>
    <t>https://www.moma.org/collection/works/419624</t>
  </si>
  <si>
    <t>https://www.moma.org/media/W1siZiIsIjU0Njc5MCJdLFsicCIsImNvbnZlcnQiLCItcmVzaXplIDEwMjR4MTAyNFx1MDAzZSJdXQ.jpg?sha=5fe677ebd60eb8bc</t>
  </si>
  <si>
    <t>Sketchbook #40, New York City</t>
  </si>
  <si>
    <t>11 × 14 × 7/8" (27.9 × 35.6 × 2.2 cm)</t>
  </si>
  <si>
    <t>https://www.moma.org/collection/works/419626</t>
  </si>
  <si>
    <t>https://www.moma.org/media/W1siZiIsIjU0NTg1NyJdLFsicCIsImNvbnZlcnQiLCItcmVzaXplIDEwMjR4MTAyNFx1MDAzZSJdXQ.jpg?sha=92b405e87355c2fa</t>
  </si>
  <si>
    <t>Two Guns Arikara</t>
  </si>
  <si>
    <t>T.C. Cannon</t>
  </si>
  <si>
    <t>71 1/2 × 55 1/2" (181.6 × 141 cm)</t>
  </si>
  <si>
    <t>https://www.moma.org/collection/works/420263</t>
  </si>
  <si>
    <t>https://www.moma.org/media/W1siZiIsIjU4NzAxOSJdLFsicCIsImNvbnZlcnQiLCItcmVzaXplIDEwMjR4MTAyNFx1MDAzZSJdXQ.jpg?sha=a520f7f7ccc9433a</t>
  </si>
  <si>
    <t>Untitled from Figures and Spirits</t>
  </si>
  <si>
    <t>5 1/2 × 7 7/8" (14 × 20 cm)</t>
  </si>
  <si>
    <t>https://www.moma.org/collection/works/420267</t>
  </si>
  <si>
    <t>https://www.moma.org/media/W1siZiIsIjQ5NjYzMSJdLFsicCIsImNvbnZlcnQiLCItcmVzaXplIDEwMjR4MTAyNFx1MDAzZSJdXQ.jpg?sha=1136d8561eda8ab2</t>
  </si>
  <si>
    <t>6 11/16 × 4 3/4" (17 × 12 cm)</t>
  </si>
  <si>
    <t>https://www.moma.org/collection/works/420268</t>
  </si>
  <si>
    <t>https://www.moma.org/media/W1siZiIsIjQ5NjYzMyJdLFsicCIsImNvbnZlcnQiLCItcmVzaXplIDEwMjR4MTAyNFx1MDAzZSJdXQ.jpg?sha=506a8830c9d6eac6</t>
  </si>
  <si>
    <t>Figure and Spirit from Figures and Spirits</t>
  </si>
  <si>
    <t>https://www.moma.org/collection/works/420269</t>
  </si>
  <si>
    <t>https://www.moma.org/media/W1siZiIsIjUwNjkzMSJdLFsicCIsImNvbnZlcnQiLCItcmVzaXplIDEwMjR4MTAyNFx1MDAzZSJdXQ.jpg?sha=f3dd33f153487042</t>
  </si>
  <si>
    <t>Friends from Figures and Spirits</t>
  </si>
  <si>
    <t>https://www.moma.org/collection/works/420270</t>
  </si>
  <si>
    <t>https://www.moma.org/media/W1siZiIsIjQ5NjYzNSJdLFsicCIsImNvbnZlcnQiLCItcmVzaXplIDEwMjR4MTAyNFx1MDAzZSJdXQ.jpg?sha=b692e1a1e5350cef</t>
  </si>
  <si>
    <t>https://www.moma.org/collection/works/420271</t>
  </si>
  <si>
    <t>https://www.moma.org/media/W1siZiIsIjQ5NjYzNiJdLFsicCIsImNvbnZlcnQiLCItcmVzaXplIDEwMjR4MTAyNFx1MDAzZSJdXQ.jpg?sha=7577efdce41d474c</t>
  </si>
  <si>
    <t>https://www.moma.org/collection/works/420272</t>
  </si>
  <si>
    <t>https://www.moma.org/media/W1siZiIsIjQ5NjYzNyJdLFsicCIsImNvbnZlcnQiLCItcmVzaXplIDEwMjR4MTAyNFx1MDAzZSJdXQ.jpg?sha=73c5f8475dde4f94</t>
  </si>
  <si>
    <t>https://www.moma.org/collection/works/420273</t>
  </si>
  <si>
    <t>https://www.moma.org/media/W1siZiIsIjQ5NjYzOCJdLFsicCIsImNvbnZlcnQiLCItcmVzaXplIDEwMjR4MTAyNFx1MDAzZSJdXQ.jpg?sha=18e58a670dc36f41</t>
  </si>
  <si>
    <t>https://www.moma.org/collection/works/420274</t>
  </si>
  <si>
    <t>https://www.moma.org/media/W1siZiIsIjQ5NjYzOSJdLFsicCIsImNvbnZlcnQiLCItcmVzaXplIDEwMjR4MTAyNFx1MDAzZSJdXQ.jpg?sha=a0f6167ab005d174</t>
  </si>
  <si>
    <t>Father and Daughter from Figures and Spirits</t>
  </si>
  <si>
    <t>https://www.moma.org/collection/works/420275</t>
  </si>
  <si>
    <t>https://www.moma.org/media/W1siZiIsIjQ5NjY0MCJdLFsicCIsImNvbnZlcnQiLCItcmVzaXplIDEwMjR4MTAyNFx1MDAzZSJdXQ.jpg?sha=93e5e2858f18402b</t>
  </si>
  <si>
    <t>Malangatana Valente Ngwenya</t>
  </si>
  <si>
    <t>Aggregate States of Matters</t>
  </si>
  <si>
    <t>Rosa Barba</t>
  </si>
  <si>
    <t>35mm film (color, sound; 21:14 min.) and custom 35mm projection system</t>
  </si>
  <si>
    <t>https://www.moma.org/collection/works/420751</t>
  </si>
  <si>
    <t>https://www.moma.org/media/W1siZiIsIjU1MDIwMyJdLFsicCIsImNvbnZlcnQiLCItcmVzaXplIDEwMjR4MTAyNFx1MDAzZSJdXQ.jpg?sha=1db1a2244e18f106</t>
  </si>
  <si>
    <t>20 × 14" (50.8 × 35.6 cm)</t>
  </si>
  <si>
    <t>Series B Relief (Red Prototype)</t>
  </si>
  <si>
    <t>Each relief: 39 3/8 × 19 11/16 × 5 1/2" (100 × 50 × 14 cm), overall installation variable</t>
  </si>
  <si>
    <t>https://www.moma.org/collection/works/421934</t>
  </si>
  <si>
    <t>https://www.moma.org/media/W1siZiIsIjQ5NjI3MiJdLFsicCIsImNvbnZlcnQiLCItcmVzaXplIDEwMjR4MTAyNFx1MDAzZSJdXQ.jpg?sha=db85dc198706cb08</t>
  </si>
  <si>
    <t>Wind and Water</t>
  </si>
  <si>
    <t>Suzanne Jackson</t>
  </si>
  <si>
    <t>Acrylic and pencil on canvas, two panels</t>
  </si>
  <si>
    <t>Each panel: 97 × 60" (246.4 × 152.4 cm)</t>
  </si>
  <si>
    <t>https://www.moma.org/collection/works/421937</t>
  </si>
  <si>
    <t>https://www.moma.org/media/W1siZiIsIjUxNTIyNSJdLFsicCIsImNvbnZlcnQiLCItcmVzaXplIDEwMjR4MTAyNFx1MDAzZSJdXQ.jpg?sha=7ba72ed41711459b</t>
  </si>
  <si>
    <t>Government Approved Home Fallout Shelter Snack Bar</t>
  </si>
  <si>
    <t>1983/2023</t>
  </si>
  <si>
    <t>Props, furniture, linoleum, Vacuform, cinder blocks, wood paneling, sound recording, video game with purpose-built cabinet, television, standard-definition video (color, sound; 24:10 min.), seven pencil drawings on paper, and ephemera</t>
  </si>
  <si>
    <t>https://www.moma.org/collection/works/422172</t>
  </si>
  <si>
    <t>https://www.moma.org/media/W1siZiIsIjUwMzUxNyJdLFsicCIsImNvbnZlcnQiLCItcmVzaXplIDEwMjR4MTAyNFx1MDAzZSJdXQ.jpg?sha=24d6e37dc84b1888</t>
  </si>
  <si>
    <t>11 13/16 × 8 1/4" (30 × 21 cm)</t>
  </si>
  <si>
    <t>Untitled (Seeds)</t>
  </si>
  <si>
    <t>Canvas, fabric dye, oil pastel, rope, and grommets</t>
  </si>
  <si>
    <t>108 × 84" (274.3 × 213.4 cm)</t>
  </si>
  <si>
    <t>https://www.moma.org/collection/works/425447</t>
  </si>
  <si>
    <t>https://www.moma.org/media/W1siZiIsIjUwNjI2OSJdLFsicCIsImNvbnZlcnQiLCItcmVzaXplIDEwMjR4MTAyNFx1MDAzZSJdXQ.jpg?sha=140f8b4f17602e67</t>
  </si>
  <si>
    <t>Axell-ération</t>
  </si>
  <si>
    <t>Evelyne Axell</t>
  </si>
  <si>
    <t xml:space="preserve">22 1/16 x 26 3/8" (56 × 67 cm), including painted artist's frame_x000D_
</t>
  </si>
  <si>
    <t>https://www.moma.org/collection/works/425478</t>
  </si>
  <si>
    <t>https://www.moma.org/media/W1siZiIsIjUxNDUzNSJdLFsicCIsImNvbnZlcnQiLCItcmVzaXplIDEwMjR4MTAyNFx1MDAzZSJdXQ.jpg?sha=f73de6fec1628c2e</t>
  </si>
  <si>
    <t>On 12.12.13 I have a surgery Retablo</t>
  </si>
  <si>
    <t>Oil on tin, cotton, glue mixture on wood</t>
  </si>
  <si>
    <t>66 × 20 × 3" (167.6 × 50.8 × 7.6 cm)</t>
  </si>
  <si>
    <t>https://www.moma.org/collection/works/425480</t>
  </si>
  <si>
    <t>https://www.moma.org/media/W1siZiIsIjUyMzQwOCJdLFsicCIsImNvbnZlcnQiLCItcmVzaXplIDEwMjR4MTAyNFx1MDAzZSJdXQ.jpg?sha=8eaecda727ac6850</t>
  </si>
  <si>
    <t>Tongues (Holy Rollers)</t>
  </si>
  <si>
    <t>Archibald John Motley Jr.</t>
  </si>
  <si>
    <t>29 1/4 × 36 1/8" (74.3 × 91.8 cm)</t>
  </si>
  <si>
    <t>https://www.moma.org/collection/works/425483</t>
  </si>
  <si>
    <t>https://www.moma.org/media/W1siZiIsIjUxNDUzNiJdLFsicCIsImNvbnZlcnQiLCItcmVzaXplIDEwMjR4MTAyNFx1MDAzZSJdXQ.jpg?sha=a194e28ce778216d</t>
  </si>
  <si>
    <t>MamaRay</t>
  </si>
  <si>
    <t xml:space="preserve">Bronze_x000D_
</t>
  </si>
  <si>
    <t>65" × 16' × 12' (165.1 × 487.7 × 365.8 cm)</t>
  </si>
  <si>
    <t>https://www.moma.org/collection/works/426431</t>
  </si>
  <si>
    <t>https://www.moma.org/media/W1siZiIsIjU0MzgxOCJdLFsicCIsImNvbnZlcnQiLCItcmVzaXplIDEwMjR4MTAyNFx1MDAzZSJdXQ.jpg?sha=479eb13c1413ef0e</t>
  </si>
  <si>
    <t>Six printed drinking glasses on glass shelf</t>
  </si>
  <si>
    <t>WHY WERE THE JAPANESE IN WWII?</t>
  </si>
  <si>
    <t>each glass: 5 1/4 × 2 7/8" (13.3 × 7.3 cm)_x000D_
shelf: 22 × 3 3/4" (55.9 × 9.6 cm)</t>
  </si>
  <si>
    <t>https://www.moma.org/collection/works/426629</t>
  </si>
  <si>
    <t>https://www.moma.org/media/W1siZiIsIjUzNTIyOSJdLFsicCIsImNvbnZlcnQiLCItcmVzaXplIDEwMjR4MTAyNFx1MDAzZSJdXQ.jpg?sha=8813b114cd59e7c0</t>
  </si>
  <si>
    <t>AFTER THE WAR / APRES LA GUERRE</t>
  </si>
  <si>
    <t>Twelve printed champagne flutes on two glass shelves</t>
  </si>
  <si>
    <t>each glass: 9 13/16 × 3 1/8" (24.9 × 8 cm)_x000D_
each shelf: 22 × 3 13/16" (55.9 × 9.7 cm)</t>
  </si>
  <si>
    <t>https://www.moma.org/collection/works/426632</t>
  </si>
  <si>
    <t>https://www.moma.org/media/W1siZiIsIjUzNTIyNSJdLFsicCIsImNvbnZlcnQiLCItcmVzaXplIDEwMjR4MTAyNFx1MDAzZSJdXQ.jpg?sha=e3edf56f751e8bd0</t>
  </si>
  <si>
    <t>Ink on Webril on canvas</t>
  </si>
  <si>
    <t>Lady Bug</t>
  </si>
  <si>
    <t>irreg.: 44 11/16 × 41 11/16" (113.5 × 105.9 cm)</t>
  </si>
  <si>
    <t>https://www.moma.org/collection/works/427058</t>
  </si>
  <si>
    <t>https://www.moma.org/media/W1siZiIsIjU0MDUzNyJdLFsicCIsImNvbnZlcnQiLCItcmVzaXplIDEwMjR4MTAyNFx1MDAzZSJdXQ.jpg?sha=cfe5ba7aca9c445e</t>
  </si>
  <si>
    <t>Houston Street</t>
  </si>
  <si>
    <t>8 x 13' (243.8 × 396.2 cm)</t>
  </si>
  <si>
    <t>https://www.moma.org/collection/works/428560</t>
  </si>
  <si>
    <t>https://www.moma.org/media/W1siZiIsIjU1OTU2MyJdLFsicCIsImNvbnZlcnQiLCItcmVzaXplIDEwMjR4MTAyNFx1MDAzZSJdXQ.jpg?sha=839cf4b7b6e2d3f8</t>
  </si>
  <si>
    <t>Nick (Chateau Marmont, Los Angeles, September 2002)</t>
  </si>
  <si>
    <t>40 × 20" (101.6 × 50.8 cm)</t>
  </si>
  <si>
    <t>https://www.moma.org/collection/works/428679</t>
  </si>
  <si>
    <t>https://www.moma.org/media/W1siZiIsIjUzMTk3NiJdLFsicCIsImNvbnZlcnQiLCItcmVzaXplIDEwMjR4MTAyNFx1MDAzZSJdXQ.jpg?sha=dfe2bb8f897e6e16</t>
  </si>
  <si>
    <t>Warm Broad Glow</t>
  </si>
  <si>
    <t>Neon and blackout paint</t>
  </si>
  <si>
    <t>26" × 16'  (66 × 487.7 cm)</t>
  </si>
  <si>
    <t>https://www.moma.org/collection/works/429318</t>
  </si>
  <si>
    <t>https://www.moma.org/media/W1siZiIsIjU0ODc4MSJdLFsicCIsImNvbnZlcnQiLCItcmVzaXplIDEwMjR4MTAyNFx1MDAzZSJdXQ.jpg?sha=e56071753c2fecbf</t>
  </si>
  <si>
    <t>Sandra Payne</t>
  </si>
  <si>
    <t>Kay WalkingStick</t>
  </si>
  <si>
    <t>Tears</t>
  </si>
  <si>
    <t>Deer hide, cow hide, copper, wood, feathers, bone beads, corn, stones, turquoise and Anasazi pot sherds</t>
  </si>
  <si>
    <t>18 1/4 × 16 1/2 × 12" (46.4 × 41.9 × 30.5 cm)</t>
  </si>
  <si>
    <t>https://www.moma.org/collection/works/431417</t>
  </si>
  <si>
    <t>https://www.moma.org/media/W1siZiIsIjUxNTQwMiJdLFsicCIsImNvbnZlcnQiLCItcmVzaXplIDEwMjR4MTAyNFx1MDAzZSJdXQ.jpg?sha=86ccebcb5b82c8d7</t>
  </si>
  <si>
    <t>Inkjet print, printed 2017</t>
  </si>
  <si>
    <t>Expulsion and Nativity</t>
  </si>
  <si>
    <t>62 1/2 × 7' 3" (158.8 × 221 cm)</t>
  </si>
  <si>
    <t>https://www.moma.org/collection/works/431729</t>
  </si>
  <si>
    <t>https://www.moma.org/media/W1siZiIsIjUxNTM4MyJdLFsicCIsImNvbnZlcnQiLCItcmVzaXplIDEwMjR4MTAyNFx1MDAzZSJdXQ.jpg?sha=302c1b6f95029d54</t>
  </si>
  <si>
    <t>David Wojnarowicz, NYC (Triangle Head)</t>
  </si>
  <si>
    <t>Luis Frangella</t>
  </si>
  <si>
    <t>Acrylic on cardboard and wood</t>
  </si>
  <si>
    <t>25 1/4 × 18 5/8 × 9 1/8" (64.1 × 47.3 × 23.2 cm)</t>
  </si>
  <si>
    <t>https://www.moma.org/collection/works/431798</t>
  </si>
  <si>
    <t>https://www.moma.org/media/W1siZiIsIjUzMTk3MiJdLFsicCIsImNvbnZlcnQiLCItcmVzaXplIDEwMjR4MTAyNFx1MDAzZSJdXQ.jpg?sha=51ccc9e7a290cb6f</t>
  </si>
  <si>
    <t>Shrine (White)</t>
  </si>
  <si>
    <t>Agosto Machado</t>
  </si>
  <si>
    <t>Mixed-media installation, with jewelry, pins, and textiles; plastic, metal, glass, and papier-mâché objects; photographs, postcards, paper mask, protest sign, memorial-service cards and programs, and newspaper and magazine clippings; and original artworks by Scott Covert, Ken Angel Davis with CAConrad, and Gene Fedorko with Stephen Tashjian (Tabboo!)</t>
  </si>
  <si>
    <t>91 1/2 × 36 × 10" (232.4 × 91.4 × 25.4 cm)</t>
  </si>
  <si>
    <t>https://www.moma.org/collection/works/433228</t>
  </si>
  <si>
    <t>https://www.moma.org/media/W1siZiIsIjU4MzQ3MyJdLFsicCIsImNvbnZlcnQiLCItcmVzaXplIDEwMjR4MTAyNFx1MDAzZSJdXQ.jpg?sha=66953baee7118683</t>
  </si>
  <si>
    <t>The Execution Room</t>
  </si>
  <si>
    <t>Mohammed Sami</t>
  </si>
  <si>
    <t>Acrylic on linen</t>
  </si>
  <si>
    <t>8 1/2 ft × 11 1/2 ft (259.1 × 350.5 cm)</t>
  </si>
  <si>
    <t>https://www.moma.org/collection/works/433970</t>
  </si>
  <si>
    <t>https://www.moma.org/media/W1siZiIsIjUzNDkyMSJdLFsicCIsImNvbnZlcnQiLCItcmVzaXplIDEwMjR4MTAyNFx1MDAzZSJdXQ.jpg?sha=f10f640d995653e9</t>
  </si>
  <si>
    <t>Looking for Langston</t>
  </si>
  <si>
    <t>46:29 min.</t>
  </si>
  <si>
    <t>https://www.moma.org/collection/works/434231</t>
  </si>
  <si>
    <t>https://www.moma.org/media/W1siZiIsIjU1MjU4OSJdLFsicCIsImNvbnZlcnQiLCItcmVzaXplIDEwMjR4MTAyNFx1MDAzZSJdXQ.jpg?sha=dc724e4ffbcba7d7</t>
  </si>
  <si>
    <t>Piano &amp; Stool</t>
  </si>
  <si>
    <t>Wood, paint, fabric, and boots</t>
  </si>
  <si>
    <t>8' x 60" x 48" (243.8 x 152.4 x 121.9 cm)</t>
  </si>
  <si>
    <t>https://www.moma.org/collection/works/434246</t>
  </si>
  <si>
    <t>https://www.moma.org/media/W1siZiIsIjU0MzQ5NyJdLFsicCIsImNvbnZlcnQiLCItcmVzaXplIDEwMjR4MTAyNFx1MDAzZSJdXQ.jpg?sha=eb6dd99a3dec36a0</t>
  </si>
  <si>
    <t>Taking, Writing, Feeding</t>
  </si>
  <si>
    <t>Olive ash, Carpathian elm, burled mappa, and acrylic</t>
  </si>
  <si>
    <t>6' 9 3/8" × 16' 6 9/16" (206.7 × 504.4 cm)</t>
  </si>
  <si>
    <t>https://www.moma.org/collection/works/435706</t>
  </si>
  <si>
    <t>https://www.moma.org/media/W1siZiIsIjU4NTc2OSJdLFsicCIsImNvbnZlcnQiLCItcmVzaXplIDEwMjR4MTAyNFx1MDAzZSJdXQ.jpg?sha=9509a2aa9578fd97</t>
  </si>
  <si>
    <t>Raining Down South</t>
  </si>
  <si>
    <t>Acrylic and spray paint on canvas</t>
  </si>
  <si>
    <t>137 3/8 × 109 1/16" (349 × 277 cm)</t>
  </si>
  <si>
    <t>https://www.moma.org/collection/works/436065</t>
  </si>
  <si>
    <t>https://www.moma.org/media/W1siZiIsIjU2NDI1NCJdLFsicCIsImNvbnZlcnQiLCItcmVzaXplIDEwMjR4MTAyNFx1MDAzZSJdXQ.jpg?sha=66174d342a41b376</t>
  </si>
  <si>
    <t>48 × 48" (121.9 × 121.9 cm)</t>
  </si>
  <si>
    <t>Antonio Caro</t>
  </si>
  <si>
    <t>Homenaje a Manuel Quintín Lame (Tribute to Manuel Quintín Lame)</t>
  </si>
  <si>
    <t>Achiote on paper</t>
  </si>
  <si>
    <t>18 7/8 × 26 9/16" (48 × 67.5 cm)</t>
  </si>
  <si>
    <t>https://www.moma.org/collection/works/441895</t>
  </si>
  <si>
    <t>https://www.moma.org/media/W1siZiIsIjU0Mjc2NSJdLFsicCIsImNvbnZlcnQiLCItcmVzaXplIDEwMjR4MTAyNFx1MDAzZSJdXQ.jpg?sha=60799c3bd03398ff</t>
  </si>
  <si>
    <t>Tropical Night</t>
  </si>
  <si>
    <t>Christopher Cozier</t>
  </si>
  <si>
    <t>2006-14</t>
  </si>
  <si>
    <t>268 sheets with acrylic, ink, colored ink, pencil, and colored pencil on paper, some with stamped ink, stencil, solvent transfer, and cut-and-pasted colored and painted paper</t>
  </si>
  <si>
    <t>Installation dimensions variable. Each sheet: 9 × 7" (22.9 × 17.8 cm)</t>
  </si>
  <si>
    <t>https://www.moma.org/collection/works/441929</t>
  </si>
  <si>
    <t>https://www.moma.org/media/W1siZiIsIjU0MTAwMiJdLFsicCIsImNvbnZlcnQiLCItcmVzaXplIDEwMjR4MTAyNFx1MDAzZSJdXQ.jpg?sha=ab91fd03c63e11dd</t>
  </si>
  <si>
    <t>Simone Leigh</t>
  </si>
  <si>
    <t>House of Hope</t>
  </si>
  <si>
    <t>Montien Boonma</t>
  </si>
  <si>
    <t>Herbs, spices, natural binders, cotton string, painted wood, and steel</t>
  </si>
  <si>
    <t>13' 1 1/2" x 9' 10 1/8" x 19' 8 1/4" (400 x 300 x 600 cm)</t>
  </si>
  <si>
    <t>https://www.moma.org/collection/works/444857</t>
  </si>
  <si>
    <t>https://www.moma.org/media/W1siZiIsIjU2NTIwMCJdLFsicCIsImNvbnZlcnQiLCItcmVzaXplIDEwMjR4MTAyNFx1MDAzZSJdXQ.jpg?sha=117f69b72e5ebef3</t>
  </si>
  <si>
    <t>Paper Dolls for a Post-Columbian World</t>
  </si>
  <si>
    <t>Watercolor, graphite, and photocopy on paper, thirteen sheets</t>
  </si>
  <si>
    <t>each: 17 × 11" (43.2 × 27.9 cm)</t>
  </si>
  <si>
    <t>https://www.moma.org/collection/works/444941</t>
  </si>
  <si>
    <t>https://www.moma.org/media/W1siZiIsIjU0MDU5MCJdLFsicCIsImNvbnZlcnQiLCItcmVzaXplIDEwMjR4MTAyNFx1MDAzZSJdXQ.jpg?sha=9f12f428d4c2cbf4</t>
  </si>
  <si>
    <t>Unicorn (Einhorn)</t>
  </si>
  <si>
    <t>https://www.moma.org/collection/works/445182</t>
  </si>
  <si>
    <t>https://www.moma.org/media/W1siZiIsIjU0MTM2NiJdLFsicCIsImNvbnZlcnQiLCItcmVzaXplIDEwMjR4MTAyNFx1MDAzZSJdXQ.jpg?sha=43d698faa0b63f86</t>
  </si>
  <si>
    <t>Bird that Flies over America</t>
  </si>
  <si>
    <t>Juan Francisco Elso</t>
  </si>
  <si>
    <t>Carved wood, branches, wax, jute thread, and basket elements</t>
  </si>
  <si>
    <t>68" × 12' 2" × 8 1/2" (172.7 × 370.8 × 21.6 cm)</t>
  </si>
  <si>
    <t>https://www.moma.org/collection/works/445206</t>
  </si>
  <si>
    <t>https://www.moma.org/media/W1siZiIsIjU4NzQ2NCJdLFsicCIsImNvbnZlcnQiLCItcmVzaXplIDEwMjR4MTAyNFx1MDAzZSJdXQ.jpg?sha=f5a2f71ce0ebe383</t>
  </si>
  <si>
    <t>Witches are Flowers Sis</t>
  </si>
  <si>
    <t>Evelyn Taocheng Wang</t>
  </si>
  <si>
    <t>Ink, watercolor, gouache, acrylic and pencil on paper and silk scroll</t>
  </si>
  <si>
    <t>overall: 19 × 495 1/4" (48.3 × 1258 cm); composition: 19 × 314 15/16" (48.3 × 800 cm)</t>
  </si>
  <si>
    <t>https://www.moma.org/collection/works/446104</t>
  </si>
  <si>
    <t>https://www.moma.org/media/W1siZiIsIjU1Mjg3MSJdLFsicCIsImNvbnZlcnQiLCItcmVzaXplIDEwMjR4MTAyNFx1MDAzZSJdXQ.jpg?sha=531ccb712eedc950</t>
  </si>
  <si>
    <t>Untitled from the series Most Definitely Not Profile Ladies</t>
  </si>
  <si>
    <t>https://www.moma.org/collection/works/446666</t>
  </si>
  <si>
    <t>https://www.moma.org/media/W1siZiIsIjU0MDU0MCJdLFsicCIsImNvbnZlcnQiLCItcmVzaXplIDEwMjR4MTAyNFx1MDAzZSJdXQ.jpg?sha=17d93bd519ae44db</t>
  </si>
  <si>
    <t>https://www.moma.org/collection/works/446667</t>
  </si>
  <si>
    <t>https://www.moma.org/media/W1siZiIsIjU0MDU0NCJdLFsicCIsImNvbnZlcnQiLCItcmVzaXplIDEwMjR4MTAyNFx1MDAzZSJdXQ.jpg?sha=33a61772d91aa527</t>
  </si>
  <si>
    <t>https://www.moma.org/collection/works/446668</t>
  </si>
  <si>
    <t>https://www.moma.org/media/W1siZiIsIjU0MDU0NSJdLFsicCIsImNvbnZlcnQiLCItcmVzaXplIDEwMjR4MTAyNFx1MDAzZSJdXQ.jpg?sha=bc5179617737f5cb</t>
  </si>
  <si>
    <t>https://www.moma.org/collection/works/446669</t>
  </si>
  <si>
    <t>https://www.moma.org/media/W1siZiIsIjU0MDU0NiJdLFsicCIsImNvbnZlcnQiLCItcmVzaXplIDEwMjR4MTAyNFx1MDAzZSJdXQ.jpg?sha=ed47e631400c05d0</t>
  </si>
  <si>
    <t>https://www.moma.org/collection/works/446670</t>
  </si>
  <si>
    <t>https://www.moma.org/media/W1siZiIsIjU0MDU0NyJdLFsicCIsImNvbnZlcnQiLCItcmVzaXplIDEwMjR4MTAyNFx1MDAzZSJdXQ.jpg?sha=f2749c01190cf7c7</t>
  </si>
  <si>
    <t>https://www.moma.org/collection/works/446671</t>
  </si>
  <si>
    <t>https://www.moma.org/media/W1siZiIsIjU0MDU0OCJdLFsicCIsImNvbnZlcnQiLCItcmVzaXplIDEwMjR4MTAyNFx1MDAzZSJdXQ.jpg?sha=bea9d67fdf0e418c</t>
  </si>
  <si>
    <t>https://www.moma.org/collection/works/446672</t>
  </si>
  <si>
    <t>https://www.moma.org/media/W1siZiIsIjU0MDU0OSJdLFsicCIsImNvbnZlcnQiLCItcmVzaXplIDEwMjR4MTAyNFx1MDAzZSJdXQ.jpg?sha=be07ea3073930faf</t>
  </si>
  <si>
    <t>https://www.moma.org/collection/works/446673</t>
  </si>
  <si>
    <t>https://www.moma.org/media/W1siZiIsIjU0MDU1MCJdLFsicCIsImNvbnZlcnQiLCItcmVzaXplIDEwMjR4MTAyNFx1MDAzZSJdXQ.jpg?sha=b10c3655f7028efc</t>
  </si>
  <si>
    <t>https://www.moma.org/collection/works/446674</t>
  </si>
  <si>
    <t>https://www.moma.org/media/W1siZiIsIjU0MDU1MSJdLFsicCIsImNvbnZlcnQiLCItcmVzaXplIDEwMjR4MTAyNFx1MDAzZSJdXQ.jpg?sha=9f19bb45ceea51ab</t>
  </si>
  <si>
    <t>https://www.moma.org/collection/works/446675</t>
  </si>
  <si>
    <t>https://www.moma.org/media/W1siZiIsIjU0MDU0MSJdLFsicCIsImNvbnZlcnQiLCItcmVzaXplIDEwMjR4MTAyNFx1MDAzZSJdXQ.jpg?sha=2a9545d11a5d90da</t>
  </si>
  <si>
    <t>https://www.moma.org/collection/works/446676</t>
  </si>
  <si>
    <t>https://www.moma.org/media/W1siZiIsIjU0MDU0MiJdLFsicCIsImNvbnZlcnQiLCItcmVzaXplIDEwMjR4MTAyNFx1MDAzZSJdXQ.jpg?sha=b0bd21e9f320cc0f</t>
  </si>
  <si>
    <t>https://www.moma.org/collection/works/446677</t>
  </si>
  <si>
    <t>https://www.moma.org/media/W1siZiIsIjU0MDU0MyJdLFsicCIsImNvbnZlcnQiLCItcmVzaXplIDEwMjR4MTAyNFx1MDAzZSJdXQ.jpg?sha=c0819c0bb5739340</t>
  </si>
  <si>
    <t>Fragments from a Visual Journal (16 November, 1977–12:00 pm)</t>
  </si>
  <si>
    <t xml:space="preserve">Approx. 9 1/16 × 7 9/16" (23 × 19.2 cm)_x000D_
</t>
  </si>
  <si>
    <t>https://www.moma.org/collection/works/446926</t>
  </si>
  <si>
    <t>https://www.moma.org/media/W1siZiIsIjUzNzYwMCJdLFsicCIsImNvbnZlcnQiLCItcmVzaXplIDEwMjR4MTAyNFx1MDAzZSJdXQ.jpg?sha=e23c88e05e979981</t>
  </si>
  <si>
    <t>Fragments from a Visual Journal (17 November, 1977–12:00 pm)</t>
  </si>
  <si>
    <t>https://www.moma.org/collection/works/446927</t>
  </si>
  <si>
    <t>https://www.moma.org/media/W1siZiIsIjUzNzYxMSJdLFsicCIsImNvbnZlcnQiLCItcmVzaXplIDEwMjR4MTAyNFx1MDAzZSJdXQ.jpg?sha=df558724d1f2cd17</t>
  </si>
  <si>
    <t>Fragments from a Visual Journal (18 November, 1977–12:00 pm)</t>
  </si>
  <si>
    <t>https://www.moma.org/collection/works/446928</t>
  </si>
  <si>
    <t>https://www.moma.org/media/W1siZiIsIjUzNzYxNiJdLFsicCIsImNvbnZlcnQiLCItcmVzaXplIDEwMjR4MTAyNFx1MDAzZSJdXQ.jpg?sha=f1bccc9f823832b3</t>
  </si>
  <si>
    <t>Fragments from a Visual Journal (19 November, 1977–12:00 pm)</t>
  </si>
  <si>
    <t>https://www.moma.org/collection/works/446929</t>
  </si>
  <si>
    <t>https://www.moma.org/media/W1siZiIsIjUzNzYxNyJdLFsicCIsImNvbnZlcnQiLCItcmVzaXplIDEwMjR4MTAyNFx1MDAzZSJdXQ.jpg?sha=52e04d57f966d81a</t>
  </si>
  <si>
    <t>Fragments from a Visual Journal (20 November, 1977–12:00 pm)</t>
  </si>
  <si>
    <t>https://www.moma.org/collection/works/446930</t>
  </si>
  <si>
    <t>https://www.moma.org/media/W1siZiIsIjUzNzYxOCJdLFsicCIsImNvbnZlcnQiLCItcmVzaXplIDEwMjR4MTAyNFx1MDAzZSJdXQ.jpg?sha=63b2cb55580904f8</t>
  </si>
  <si>
    <t>Fragments from a Visual Journal (21 November, 1977–12:00 pm)</t>
  </si>
  <si>
    <t>https://www.moma.org/collection/works/446931</t>
  </si>
  <si>
    <t>https://www.moma.org/media/W1siZiIsIjUzNzYxOSJdLFsicCIsImNvbnZlcnQiLCItcmVzaXplIDEwMjR4MTAyNFx1MDAzZSJdXQ.jpg?sha=91279d1eed01d7f9</t>
  </si>
  <si>
    <t>Fragments from a Visual Journal (23 November, 1977–12:00 pm)</t>
  </si>
  <si>
    <t>https://www.moma.org/collection/works/446932</t>
  </si>
  <si>
    <t>https://www.moma.org/media/W1siZiIsIjUzNzYyMCJdLFsicCIsImNvbnZlcnQiLCItcmVzaXplIDEwMjR4MTAyNFx1MDAzZSJdXQ.jpg?sha=9a219838e14ed574</t>
  </si>
  <si>
    <t>Fragments from a Visual Journal (24 November, 1977–12:00 pm)</t>
  </si>
  <si>
    <t>https://www.moma.org/collection/works/446933</t>
  </si>
  <si>
    <t>https://www.moma.org/media/W1siZiIsIjUzNzYyMSJdLFsicCIsImNvbnZlcnQiLCItcmVzaXplIDEwMjR4MTAyNFx1MDAzZSJdXQ.jpg?sha=a477f9f7081ae395</t>
  </si>
  <si>
    <t>Fragments from a Visual Journal (25 November, 1977–12:00 pm)</t>
  </si>
  <si>
    <t>https://www.moma.org/collection/works/446934</t>
  </si>
  <si>
    <t>https://www.moma.org/media/W1siZiIsIjUzNzYyMiJdLFsicCIsImNvbnZlcnQiLCItcmVzaXplIDEwMjR4MTAyNFx1MDAzZSJdXQ.jpg?sha=1063026cc3dfc717</t>
  </si>
  <si>
    <t>Galla Placidia</t>
  </si>
  <si>
    <t>Satin, rayon, nylon, cheesecloth, nylon netting, ribbon, dyes, wood, and acrylic paint</t>
  </si>
  <si>
    <t>8' 2" × 6' 6" × 7' (248.9 × 198.1 × 213.4 cm)</t>
  </si>
  <si>
    <t>https://www.moma.org/collection/works/447274</t>
  </si>
  <si>
    <t>https://www.moma.org/media/W1siZiIsIjU2OTY3OSJdLFsicCIsImNvbnZlcnQiLCItcmVzaXplIDEwMjR4MTAyNFx1MDAzZSJdXQ.jpg?sha=08a61f3d97c761fa</t>
  </si>
  <si>
    <t>Greer Lankton</t>
  </si>
  <si>
    <t>The Fountains</t>
  </si>
  <si>
    <t>Agnes Pelton</t>
  </si>
  <si>
    <t>36 1/8 × 32" (91.8 × 81.3 cm)</t>
  </si>
  <si>
    <t>https://www.moma.org/collection/works/447787</t>
  </si>
  <si>
    <t>https://www.moma.org/media/W1siZiIsIjU0ODUzOSJdLFsicCIsImNvbnZlcnQiLCItcmVzaXplIDEwMjR4MTAyNFx1MDAzZSJdXQ.jpg?sha=26cd0ee70de464a4</t>
  </si>
  <si>
    <t>Drawing with Sculptured Hand</t>
  </si>
  <si>
    <t>Colored pencil, graphite, and acrylic on cut cardboard with plaster cast</t>
  </si>
  <si>
    <t>https://www.moma.org/collection/works/448130</t>
  </si>
  <si>
    <t>https://www.moma.org/media/W1siZiIsIjU0Mjc1MSJdLFsicCIsImNvbnZlcnQiLCItcmVzaXplIDEwMjR4MTAyNFx1MDAzZSJdXQ.jpg?sha=fbb78828d29efa08</t>
  </si>
  <si>
    <t>10th Street Painters</t>
  </si>
  <si>
    <t>Seventeen gelatin silver prints and ink on board</t>
  </si>
  <si>
    <t>28 11/16 × 36 3/16" (72.9 × 91.9 cm)</t>
  </si>
  <si>
    <t>https://www.moma.org/collection/works/448584</t>
  </si>
  <si>
    <t>https://www.moma.org/media/W1siZiIsIjU3MDEwMiJdLFsicCIsImNvbnZlcnQiLCItcmVzaXplIDEwMjR4MTAyNFx1MDAzZSJdXQ.jpg?sha=f72278d97ece79af</t>
  </si>
  <si>
    <t>Cosmovisión Huitoto</t>
  </si>
  <si>
    <t>Santiago Yahuarcani</t>
  </si>
  <si>
    <t>PVA on pieced llanchama bark</t>
  </si>
  <si>
    <t>overall (irreg.): 84 1/2 × 160 1/2" (214.6 × 407.7 cm)</t>
  </si>
  <si>
    <t>https://www.moma.org/collection/works/449208</t>
  </si>
  <si>
    <t>https://www.moma.org/media/W1siZiIsIjU4NTY0NCJdLFsicCIsImNvbnZlcnQiLCItcmVzaXplIDEwMjR4MTAyNFx1MDAzZSJdXQ.jpg?sha=29e39c0bbba8095d</t>
  </si>
  <si>
    <t>Bonjour--Maestro, Mabou</t>
  </si>
  <si>
    <t>8 7/16 × 10 13/16" (21.4 × 27.5 cm)</t>
  </si>
  <si>
    <t>https://www.moma.org/collection/works/449316</t>
  </si>
  <si>
    <t>https://www.moma.org/media/W1siZiIsIjU3MDEwNCJdLFsicCIsImNvbnZlcnQiLCItcmVzaXplIDEwMjR4MTAyNFx1MDAzZSJdXQ.jpg?sha=74f279967a07118f</t>
  </si>
  <si>
    <t>Miyoko Ito</t>
  </si>
  <si>
    <t xml:space="preserve">48 x 46" (122 x 117 cm)	</t>
  </si>
  <si>
    <t>https://www.moma.org/collection/works/449470</t>
  </si>
  <si>
    <t>https://www.moma.org/media/W1siZiIsIjU0NTc4OSJdLFsicCIsImNvbnZlcnQiLCItcmVzaXplIDEwMjR4MTAyNFx1MDAzZSJdXQ.jpg?sha=5c6cceeafdc7bd51</t>
  </si>
  <si>
    <t>Unfinished Man</t>
  </si>
  <si>
    <t>Rupert García</t>
  </si>
  <si>
    <t>https://www.moma.org/collection/works/449691</t>
  </si>
  <si>
    <t>https://www.moma.org/media/W1siZiIsIjU0NTc5MCJdLFsicCIsImNvbnZlcnQiLCItcmVzaXplIDEwMjR4MTAyNFx1MDAzZSJdXQ.jpg?sha=704f4372a77d6a30</t>
  </si>
  <si>
    <t>Meem</t>
  </si>
  <si>
    <t>Anwar Jalal Shemza</t>
  </si>
  <si>
    <t>https://www.moma.org/collection/works/449692</t>
  </si>
  <si>
    <t>https://www.moma.org/media/W1siZiIsIjU0NTc5MSJdLFsicCIsImNvbnZlcnQiLCItcmVzaXplIDEwMjR4MTAyNFx1MDAzZSJdXQ.jpg?sha=1734ccd7b43d6452</t>
  </si>
  <si>
    <t>Resurrection (Resurrección)</t>
  </si>
  <si>
    <t>Collagraph on nine sheets of paper</t>
  </si>
  <si>
    <t xml:space="preserve">overall:108 7/8 × 85" (276.5 × 215.9 cm); sheets (.a-.c): 27 7/16 × 28 5/16" (69.7 × 71.9 cm); sheets (.d-.i): 40 3/16 × 28 3/16" (102 × 71.6 cm)_x000D_
</t>
  </si>
  <si>
    <t>https://www.moma.org/collection/works/450425</t>
  </si>
  <si>
    <t>https://www.moma.org/media/W1siZiIsIjU1NDE3OSJdLFsicCIsImNvbnZlcnQiLCItcmVzaXplIDEwMjR4MTAyNFx1MDAzZSJdXQ.jpg?sha=7f60c07f9969db4d</t>
  </si>
  <si>
    <t>Rebecca Allen</t>
  </si>
  <si>
    <t>Long Distance</t>
  </si>
  <si>
    <t>13407, 136997, 37964, 2177, 11993, 41343, 136998, 136999, 72572, 133731, 137000, 129707, 12594, 137001, 137002, 137003, 137004, 128854, 137005, 137006, 137007, 137008, 137009, 2427, 137011, 137010, 137013, 137012, 121776, 26414, 3443, 137014, 137017, 2217, 137016, 2167, 69701, 12582, 137018, 114339, 137019, 137020, 69702, 14558, 13574, 137021, 137022, 137023, 137025, 2928, 137024, 137026, 137027, 137028, 5806, 4894, 137029, 137030, 13634, 137031, 140, 12340, 103312, 137032, 43084, 137033, 74396, 14164, 137034, 6476, 2637, 36471, 137035, 136644, 1754, 136064, 412, 8492, 137037, 137038, 137036, 137039, 3126, 67542, 4551, 144, 69891, 3842, 137040, 137041, 137042, 74341, 45801, 1685, 2558, 137043, 11936, 137044, 13599, 4945, 137045, 6809, 137046, 137047, 121873, 1300, 5021, 137048, 137049, 137050, 137053, 137054, 3418, 137057, 137055, 5102, 137056, 137058, 137059, 137060, 5467, 49837, 1183, 106324, 137061, 137062, 137063, 1215, 2486, 137064, 136558, 24409</t>
  </si>
  <si>
    <t>1976–2005</t>
  </si>
  <si>
    <t>Drawings: Ink, colored ink, crayon, and cut-and-pasted gelatin silver print on folded and perforated computer paper._x000D_
"Skins": Paper and plastic bags and envelopes with printed papers, ink, string, stickers, tape, and beard trimmings</t>
  </si>
  <si>
    <t>approx., unfolded: 5 7/8 × 442" (15 × 1122.7 cm)_x000D_
approx., folded closed: 6 5/16 × 4 1/8" (16 × 10.5 cm)</t>
  </si>
  <si>
    <t>https://www.moma.org/collection/works/450501</t>
  </si>
  <si>
    <t>https://www.moma.org/media/W1siZiIsIjU3ODUyOSJdLFsicCIsImNvbnZlcnQiLCItcmVzaXplIDEwMjR4MTAyNFx1MDAzZSJdXQ.jpg?sha=56f47bfc0ed76313</t>
  </si>
  <si>
    <t>No Shade but His Shade</t>
  </si>
  <si>
    <t>37 3/8 × 37 3/8 × 2 3/4" (95 × 95 × 7 cm)</t>
  </si>
  <si>
    <t>https://www.moma.org/collection/works/450851</t>
  </si>
  <si>
    <t>https://www.moma.org/media/W1siZiIsIjU0ODY1NSJdLFsicCIsImNvbnZlcnQiLCItcmVzaXplIDEwMjR4MTAyNFx1MDAzZSJdXQ.jpg?sha=96e9d16b3879f309</t>
  </si>
  <si>
    <t>Sathyarani - Anti Dowry Demonstration, Delhi; Sathyarani - Staged Portrait, Punjabi Bagh Residence, Delhi; Sathyarani - Staged Portrait, Supreme Court, Delhi</t>
  </si>
  <si>
    <t>Sheba Chhachhi</t>
  </si>
  <si>
    <t>Gelatin silver print, printed 2024</t>
  </si>
  <si>
    <t xml:space="preserve">15 × 22 1/4" (38.1 × 56.5 cm)_x000D_
</t>
  </si>
  <si>
    <t>https://www.moma.org/collection/works/452184</t>
  </si>
  <si>
    <t>https://www.moma.org/media/W1siZiIsIjU2ODI4MyJdLFsicCIsImNvbnZlcnQiLCItcmVzaXplIDEwMjR4MTAyNFx1MDAzZSJdXQ.jpg?sha=bcd1b4bd0831aaf3</t>
  </si>
  <si>
    <t>Shanti - Staged Portrait, Dakshinpuri, Delhi; Shanti - With Her Children, Dakshinpuri, Delhi</t>
  </si>
  <si>
    <t>https://www.moma.org/collection/works/452187</t>
  </si>
  <si>
    <t>https://www.moma.org/media/W1siZiIsIjU2ODI5OSJdLFsicCIsImNvbnZlcnQiLCItcmVzaXplIDEwMjR4MTAyNFx1MDAzZSJdXQ.jpg?sha=2d3bb745632a0699</t>
  </si>
  <si>
    <t>Urvashi - Staged Portrait, Gulmohar Park, Delhi; Street play, Om Swaha, India Gate, Delhi; Urvashi - Anti Dowry Sit-in</t>
  </si>
  <si>
    <t xml:space="preserve">30 × 20" (76.2 × 50.8 cm)_x000D_
</t>
  </si>
  <si>
    <t>https://www.moma.org/collection/works/452188</t>
  </si>
  <si>
    <t>https://www.moma.org/media/W1siZiIsIjU2ODMwMyJdLFsicCIsImNvbnZlcnQiLCItcmVzaXplIDEwMjR4MTAyNFx1MDAzZSJdXQ.jpg?sha=2dfe22438c6f9617</t>
  </si>
  <si>
    <t>Misdirected Kiss</t>
  </si>
  <si>
    <t>Digital print on adhesive vinyl wallpaper</t>
  </si>
  <si>
    <t>https://www.moma.org/collection/works/459839</t>
  </si>
  <si>
    <t>https://www.moma.org/media/W1siZiIsIjU4ODg5MyJdLFsicCIsImNvbnZlcnQiLCItcmVzaXplIDEwMjR4MTAyNFx1MDAzZSJdXQ.jpg?sha=0427019424c65bf9</t>
  </si>
  <si>
    <t>Bengali Song</t>
  </si>
  <si>
    <t>137138, 137799</t>
  </si>
  <si>
    <t>Printed and embroidered silk</t>
  </si>
  <si>
    <t>Part (.a): 60 × 23 1/2" (152.4 × 59.7 cm)_x000D_
Part (.b): 60 × 37" (152.4 × 94 cm)_x000D_
Part (.c): 60 × 23 1/2" (152.4 × 59.7 cm)</t>
  </si>
  <si>
    <t>https://www.moma.org/collection/works/459938</t>
  </si>
  <si>
    <t>https://www.moma.org/media/W1siZiIsIjU4NTg4NyJdLFsicCIsImNvbnZlcnQiLCItcmVzaXplIDEwMjR4MTAyNFx1MDAzZSJdXQ.jpg?sha=2bcbac1fc1d8cbb9</t>
  </si>
  <si>
    <t>Conrad Rooks</t>
  </si>
  <si>
    <t>Tecla Tofano</t>
  </si>
  <si>
    <t>Wanda Pimentel</t>
  </si>
  <si>
    <t>Radio Free Alcatraz: Trajectories</t>
  </si>
  <si>
    <t>Chris Cornelius</t>
  </si>
  <si>
    <t xml:space="preserve">Frosted plastic sheets and paper with pencil, colored pencil, ink, press type, cut-and-pasted printed paper and printed pressure sensitive plastic sheet and masking tape._x000D_
</t>
  </si>
  <si>
    <t>https://www.moma.org/collection/works/467638</t>
  </si>
  <si>
    <t>https://www.moma.org/media/W1siZiIsIjU3ODE1MSJdLFsicCIsImNvbnZlcnQiLCItcmVzaXplIDEwMjR4MTAyNFx1MDAzZSJdXQ.jpg?sha=93a244af737ca5a8</t>
  </si>
  <si>
    <t>Copper mesh, brass, bronze, hydrocal, and cigar box</t>
  </si>
  <si>
    <t>20 × 8 1/2 × 25" (50.8 × 21.6 × 63.5 cm)</t>
  </si>
  <si>
    <t>https://www.moma.org/collection/works/467642</t>
  </si>
  <si>
    <t>https://www.moma.org/media/W1siZiIsIjU4ODczNSJdLFsicCIsImNvbnZlcnQiLCItcmVzaXplIDEwMjR4MTAyNFx1MDAzZSJdXQ.jpg?sha=0dc6063a3b56d073</t>
  </si>
  <si>
    <t>Reggio School, Madrid, Spain</t>
  </si>
  <si>
    <t>21 1/2 × 31" (54.6 × 78.7 cm)</t>
  </si>
  <si>
    <t>https://www.moma.org/collection/works/467647</t>
  </si>
  <si>
    <t>https://www.moma.org/media/W1siZiIsIjU3ODc1OSJdLFsicCIsImNvbnZlcnQiLCItcmVzaXplIDEwMjR4MTAyNFx1MDAzZSJdXQ.jpg?sha=8be2c45ec95d7f8f</t>
  </si>
  <si>
    <t>https://www.moma.org/collection/works/467648</t>
  </si>
  <si>
    <t>https://www.moma.org/media/W1siZiIsIjU2NzkwOCJdLFsicCIsImNvbnZlcnQiLCItcmVzaXplIDEwMjR4MTAyNFx1MDAzZSJdXQ.jpg?sha=431b3c648de82be5</t>
  </si>
  <si>
    <t>https://www.moma.org/collection/works/467649</t>
  </si>
  <si>
    <t>https://www.moma.org/media/W1siZiIsIjU2NzkwOSJdLFsicCIsImNvbnZlcnQiLCItcmVzaXplIDEwMjR4MTAyNFx1MDAzZSJdXQ.jpg?sha=f71e44bc3a8ca444</t>
  </si>
  <si>
    <t>https://www.moma.org/collection/works/467650</t>
  </si>
  <si>
    <t>https://www.moma.org/media/W1siZiIsIjU2NzkxMCJdLFsicCIsImNvbnZlcnQiLCItcmVzaXplIDEwMjR4MTAyNFx1MDAzZSJdXQ.jpg?sha=5b35143952c290f1</t>
  </si>
  <si>
    <t>https://www.moma.org/collection/works/467651</t>
  </si>
  <si>
    <t>https://www.moma.org/media/W1siZiIsIjU2NzkxMSJdLFsicCIsImNvbnZlcnQiLCItcmVzaXplIDEwMjR4MTAyNFx1MDAzZSJdXQ.jpg?sha=63dd0fad1e83ed1e</t>
  </si>
  <si>
    <t>https://www.moma.org/collection/works/467652</t>
  </si>
  <si>
    <t>https://www.moma.org/media/W1siZiIsIjU2NzkwMiJdLFsicCIsImNvbnZlcnQiLCItcmVzaXplIDEwMjR4MTAyNFx1MDAzZSJdXQ.jpg?sha=a922ab0d366a3d0d</t>
  </si>
  <si>
    <t>https://www.moma.org/collection/works/467653</t>
  </si>
  <si>
    <t>https://www.moma.org/media/W1siZiIsIjU2NzkwMyJdLFsicCIsImNvbnZlcnQiLCItcmVzaXplIDEwMjR4MTAyNFx1MDAzZSJdXQ.jpg?sha=7eb158e61957005f</t>
  </si>
  <si>
    <t>Khudi Bari (tiny house)</t>
  </si>
  <si>
    <t>137310, 137800, 138323</t>
  </si>
  <si>
    <t>https://www.moma.org/collection/works/468841</t>
  </si>
  <si>
    <t>https://www.moma.org/media/W1siZiIsIjU2Nzg5NSJdLFsicCIsImNvbnZlcnQiLCItcmVzaXplIDEwMjR4MTAyNFx1MDAzZSJdXQ.jpg?sha=6cfb6edd5629b3c3</t>
  </si>
  <si>
    <t>The Anthropocene Museum</t>
  </si>
  <si>
    <t>137274, 137275, 137269</t>
  </si>
  <si>
    <t>7 × 39 × 8" (17.8 × 99.1 × 20.3 cm)</t>
  </si>
  <si>
    <t>https://www.moma.org/collection/works/468847</t>
  </si>
  <si>
    <t>https://www.moma.org/media/W1siZiIsIjU4NTg4MiJdLFsicCIsImNvbnZlcnQiLCItcmVzaXplIDEwMjR4MTAyNFx1MDAzZSJdXQ.jpg?sha=c057b199cfd14eb1</t>
  </si>
  <si>
    <t>137274, 137269, 137275</t>
  </si>
  <si>
    <t>2019-2024</t>
  </si>
  <si>
    <t>Laser-etched leather</t>
  </si>
  <si>
    <t>69 × 38 1/2 × 1/16" (175.3 × 97.8 × 0.2 cm)</t>
  </si>
  <si>
    <t>https://www.moma.org/collection/works/468848</t>
  </si>
  <si>
    <t>https://www.moma.org/media/W1siZiIsIjU4ODk1OSJdLFsicCIsImNvbnZlcnQiLCItcmVzaXplIDEwMjR4MTAyNFx1MDAzZSJdXQ.jpg?sha=d3f37a6cfe3cb6d9</t>
  </si>
  <si>
    <t>The Anthropocene Museum - Of Steam and Struggle</t>
  </si>
  <si>
    <t>https://www.moma.org/collection/works/468850</t>
  </si>
  <si>
    <t>https://www.moma.org/media/W1siZiIsIjU2NzkxNSJdLFsicCIsImNvbnZlcnQiLCItcmVzaXplIDEwMjR4MTAyNFx1MDAzZSJdXQ.jpg?sha=70ac76800b16f343</t>
  </si>
  <si>
    <t>137387, 137798</t>
  </si>
  <si>
    <t>Elephant World: Brick Observation Tower</t>
  </si>
  <si>
    <t>https://www.moma.org/collection/works/468888</t>
  </si>
  <si>
    <t>https://www.moma.org/media/W1siZiIsIjU2Nzk1NSJdLFsicCIsImNvbnZlcnQiLCItcmVzaXplIDEwMjR4MTAyNFx1MDAzZSJdXQ.jpg?sha=a98715cfd75b768c</t>
  </si>
  <si>
    <t>Elephant World: The Cultural Courtyard</t>
  </si>
  <si>
    <t>Elephant World: Elephant Museum</t>
  </si>
  <si>
    <t>https://www.moma.org/collection/works/468891</t>
  </si>
  <si>
    <t>https://www.moma.org/media/W1siZiIsIjU2Nzk1OCJdLFsicCIsImNvbnZlcnQiLCItcmVzaXplIDEwMjR4MTAyNFx1MDAzZSJdXQ.jpg?sha=703350175e6809d0</t>
  </si>
  <si>
    <t>Boonserm Premthada</t>
  </si>
  <si>
    <t>2015-2020</t>
  </si>
  <si>
    <t>https://www.moma.org/collection/works/468895</t>
  </si>
  <si>
    <t>https://www.moma.org/media/W1siZiIsIjU4MTA2MyJdLFsicCIsImNvbnZlcnQiLCItcmVzaXplIDEwMjR4MTAyNFx1MDAzZSJdXQ.jpg?sha=4563884a5c3c1e86</t>
  </si>
  <si>
    <t>https://www.moma.org/collection/works/468898</t>
  </si>
  <si>
    <t>https://www.moma.org/media/W1siZiIsIjU4MTA2OSJdLFsicCIsImNvbnZlcnQiLCItcmVzaXplIDEwMjR4MTAyNFx1MDAzZSJdXQ.jpg?sha=92d207b6dc890731</t>
  </si>
  <si>
    <t>https://www.moma.org/collection/works/468903</t>
  </si>
  <si>
    <t>https://www.moma.org/media/W1siZiIsIjU4MTA3MSJdLFsicCIsImNvbnZlcnQiLCItcmVzaXplIDEwMjR4MTAyNFx1MDAzZSJdXQ.jpg?sha=bbdd2c3487187e1d</t>
  </si>
  <si>
    <t>Cloud-Plotting on Coenties Slip</t>
  </si>
  <si>
    <t>Fred Mitchell</t>
  </si>
  <si>
    <t>15 × 17 1/2" (38.1 × 44.5 cm)</t>
  </si>
  <si>
    <t>https://www.moma.org/collection/works/469893</t>
  </si>
  <si>
    <t>https://www.moma.org/media/W1siZiIsIjU4MDEwOSJdLFsicCIsImNvbnZlcnQiLCItcmVzaXplIDEwMjR4MTAyNFx1MDAzZSJdXQ.jpg?sha=8d20a19a4d21268a</t>
  </si>
  <si>
    <t>Coenties Opens Out to Sea!</t>
  </si>
  <si>
    <t>https://www.moma.org/collection/works/469894</t>
  </si>
  <si>
    <t>https://www.moma.org/media/W1siZiIsIjU4MDExMCJdLFsicCIsImNvbnZlcnQiLCItcmVzaXplIDEwMjR4MTAyNFx1MDAzZSJdXQ.jpg?sha=e915b9171552ca4f</t>
  </si>
  <si>
    <t>Dataw Island, S.C.</t>
  </si>
  <si>
    <t>Beverly Buchanan</t>
  </si>
  <si>
    <t>Oil pastel on paper</t>
  </si>
  <si>
    <t>60 × 73 1/2" (152.4 × 186.7 cm)</t>
  </si>
  <si>
    <t>https://www.moma.org/collection/works/472957</t>
  </si>
  <si>
    <t>https://www.moma.org/media/W1siZiIsIjU4OTEyMyJdLFsicCIsImNvbnZlcnQiLCItcmVzaXplIDEwMjR4MTAyNFx1MDAzZSJdXQ.jpg?sha=c5d1edcdacf1a580</t>
  </si>
  <si>
    <t>Out of the Web</t>
  </si>
  <si>
    <t>Ann Leda Shapiro</t>
  </si>
  <si>
    <t>https://www.moma.org/collection/works/473023</t>
  </si>
  <si>
    <t>https://www.moma.org/media/W1siZiIsIjU4MDEzMCJdLFsicCIsImNvbnZlcnQiLCItcmVzaXplIDEwMjR4MTAyNFx1MDAzZSJdXQ.jpg?sha=8850fe0e049d24df</t>
  </si>
  <si>
    <t>Veleuro</t>
  </si>
  <si>
    <t>Tom Lloyd</t>
  </si>
  <si>
    <t>Light bulbs, plastic lenses, aluminum, laminated plywood, analog sequencer transferred to digital, four units</t>
  </si>
  <si>
    <t>Overall dimensions 68 × 68 × 7 1/2" (172.7 × 172.7 × 19.1 cm)</t>
  </si>
  <si>
    <t>https://www.moma.org/collection/works/482362</t>
  </si>
  <si>
    <t>https://www.moma.org/media/W1siZiIsIjU4OTAxNyJdLFsicCIsImNvbnZlcnQiLCItcmVzaXplIDEwMjR4MTAyNFx1MDAzZSJdXQ.jpg?sha=256debc4189af930</t>
  </si>
  <si>
    <t>Las Yeguas del Apocalipsis</t>
  </si>
  <si>
    <t>DisplayName</t>
  </si>
  <si>
    <t>French, born Germany (Alsace). 1886–1966</t>
  </si>
  <si>
    <t>French</t>
  </si>
  <si>
    <t>male</t>
  </si>
  <si>
    <t>American, 1923–2013</t>
  </si>
  <si>
    <t>American</t>
  </si>
  <si>
    <t>Finnish, 1898–1976</t>
  </si>
  <si>
    <t>Finnish</t>
  </si>
  <si>
    <t>Polish, 1930–2017</t>
  </si>
  <si>
    <t>Polish</t>
  </si>
  <si>
    <t>female</t>
  </si>
  <si>
    <t>American, 1902–1984</t>
  </si>
  <si>
    <t>Kuwaiti, born 1939</t>
  </si>
  <si>
    <t>Kuwaiti</t>
  </si>
  <si>
    <t>American, born 1933</t>
  </si>
  <si>
    <t>Dutch, born 1936</t>
  </si>
  <si>
    <t>Dutch</t>
  </si>
  <si>
    <t>American, 1937–2020</t>
  </si>
  <si>
    <t>Danish, 1919–1982</t>
  </si>
  <si>
    <t>Danish</t>
  </si>
  <si>
    <t>American, 1923–1971</t>
  </si>
  <si>
    <t>French, 1857–1927</t>
  </si>
  <si>
    <t>American, born 1946</t>
  </si>
  <si>
    <t>Finnish, 1922 – 1998</t>
  </si>
  <si>
    <t>British, born Ireland. 1909–1992</t>
  </si>
  <si>
    <t>British</t>
  </si>
  <si>
    <t>American, born 1929</t>
  </si>
  <si>
    <t>American, 1947–2011</t>
  </si>
  <si>
    <t>Italian, 1871–1958</t>
  </si>
  <si>
    <t>Italian</t>
  </si>
  <si>
    <t>German, born 1937</t>
  </si>
  <si>
    <t>German</t>
  </si>
  <si>
    <t>American, 1903–1969</t>
  </si>
  <si>
    <t>American, 1911–1988</t>
  </si>
  <si>
    <t>German, 1884–1950</t>
  </si>
  <si>
    <t>German, 1886–1972</t>
  </si>
  <si>
    <t>German, 1902–1975</t>
  </si>
  <si>
    <t>American, born 1941</t>
  </si>
  <si>
    <t>American, 1911–1977</t>
  </si>
  <si>
    <t>German, 1898–1933</t>
  </si>
  <si>
    <t>American, born Germany. 1899–1998</t>
  </si>
  <si>
    <t>American, 1906–1992</t>
  </si>
  <si>
    <t>Italian, 1882–1916</t>
  </si>
  <si>
    <t>French, 1867–1947</t>
  </si>
  <si>
    <t>American, 1931–2022</t>
  </si>
  <si>
    <t>American, born France. 1911–2010</t>
  </si>
  <si>
    <t>British, born British Guiana (now Guyana) 1934</t>
  </si>
  <si>
    <t>Romanian and French, born Romania. 1876–1957</t>
  </si>
  <si>
    <t>British, born Germany. 1904–1983</t>
  </si>
  <si>
    <t>French, 1882–1963</t>
  </si>
  <si>
    <t>French, born Brassó. 1899–1984</t>
  </si>
  <si>
    <t>German, 1887–1961</t>
  </si>
  <si>
    <t>American, 1893–1967</t>
  </si>
  <si>
    <t>Italian, 1915–1995</t>
  </si>
  <si>
    <t>American, 1912–1999</t>
  </si>
  <si>
    <t>American, 1903–1977</t>
  </si>
  <si>
    <t>British, 1917–2011</t>
  </si>
  <si>
    <t>French, 1908–2004</t>
  </si>
  <si>
    <t>American, 1844–1926</t>
  </si>
  <si>
    <t>American, 1939–2015</t>
  </si>
  <si>
    <t>French, 1839–1906</t>
  </si>
  <si>
    <t>French, born Belarus. 1887–1985</t>
  </si>
  <si>
    <t>American, 1927–2011</t>
  </si>
  <si>
    <t>American, born France. 1898–1979</t>
  </si>
  <si>
    <t>American, born 1937</t>
  </si>
  <si>
    <t>Italian, born Greece. 1888–1978</t>
  </si>
  <si>
    <t>American, 1887–1932</t>
  </si>
  <si>
    <t>American, 1925–2009</t>
  </si>
  <si>
    <t>American, 1898–1961</t>
  </si>
  <si>
    <t>American, 1933–2008</t>
  </si>
  <si>
    <t>German, 1858–1925</t>
  </si>
  <si>
    <t>American, 1903–1972</t>
  </si>
  <si>
    <t>est. 1851</t>
  </si>
  <si>
    <t>American, 1926–2005</t>
  </si>
  <si>
    <t>American, 1943–2021</t>
  </si>
  <si>
    <t>American, 1883–1976</t>
  </si>
  <si>
    <t>Spanish, 1904–1989</t>
  </si>
  <si>
    <t>Spanish</t>
  </si>
  <si>
    <t>Cuban, born Romania. 1908–1991</t>
  </si>
  <si>
    <t>Cuban</t>
  </si>
  <si>
    <t>American, 1862–1928</t>
  </si>
  <si>
    <t>American, 1919–2009</t>
  </si>
  <si>
    <t>Jonathan De Pas</t>
  </si>
  <si>
    <t>Italian, 1932–1991</t>
  </si>
  <si>
    <t>French and American, 1930–2002</t>
  </si>
  <si>
    <t>American, 1901–1994</t>
  </si>
  <si>
    <t>American, born Russia. 1914–1997</t>
  </si>
  <si>
    <t>French, 1885–1941</t>
  </si>
  <si>
    <t>American, born 1935</t>
  </si>
  <si>
    <t>German, 1891–1969</t>
  </si>
  <si>
    <t>American, 1893–1988</t>
  </si>
  <si>
    <t>American, 1880–1946</t>
  </si>
  <si>
    <t>American, born France. 1887–1968</t>
  </si>
  <si>
    <t>American, 1907–1978</t>
  </si>
  <si>
    <t>American, 1912–1988</t>
  </si>
  <si>
    <t>German, 1874–1948</t>
  </si>
  <si>
    <t>French and American, born Germany. 1891–1976</t>
  </si>
  <si>
    <t>Turkish, 1932–1999</t>
  </si>
  <si>
    <t>Turkish</t>
  </si>
  <si>
    <t>Icelandic, born 1932</t>
  </si>
  <si>
    <t>Icelandic</t>
  </si>
  <si>
    <t>American, born 1932</t>
  </si>
  <si>
    <t>American, 1903–1975</t>
  </si>
  <si>
    <t>Born Białystok, Russian Empire (now Poland), 1882; died Fontenay-aux-Roses, France, 1949</t>
  </si>
  <si>
    <t>Russian</t>
  </si>
  <si>
    <t>Swedish, born Brazil. 1928–1976</t>
  </si>
  <si>
    <t>Swedish</t>
  </si>
  <si>
    <t>American, born Germany. 1910–2011</t>
  </si>
  <si>
    <t>American, 1933–1996</t>
  </si>
  <si>
    <t>Italian, born Argentina. 1899–1968</t>
  </si>
  <si>
    <t>Finnish, 1911–1989</t>
  </si>
  <si>
    <t>American, born Switzerland.1924–2019</t>
  </si>
  <si>
    <t>British, born Germany. 1922–2011</t>
  </si>
  <si>
    <t>French, 1848–1903</t>
  </si>
  <si>
    <t>Swiss, 1901–1966</t>
  </si>
  <si>
    <t>Swiss</t>
  </si>
  <si>
    <t>American, 1933–2022</t>
  </si>
  <si>
    <t>American, 1926–1997</t>
  </si>
  <si>
    <t>American, 1936–2019</t>
  </si>
  <si>
    <t>Mexican, 1929–1999</t>
  </si>
  <si>
    <t>Mexican</t>
  </si>
  <si>
    <t>French, 1881–1953</t>
  </si>
  <si>
    <t>Dutch, 1853–1890</t>
  </si>
  <si>
    <t>American, born 1942</t>
  </si>
  <si>
    <t>American, 1925–1980</t>
  </si>
  <si>
    <t>Russian, 1881–1962</t>
  </si>
  <si>
    <t>Spanish, 1876–1942</t>
  </si>
  <si>
    <t>American, born Van Province, Ottoman Empire (now Turkey). c. 1904–1948</t>
  </si>
  <si>
    <t>American, 1940–1995</t>
  </si>
  <si>
    <t>Anglo-Irish, 1879–1976</t>
  </si>
  <si>
    <t>American, born 1948</t>
  </si>
  <si>
    <t>Spanish, 1887–1927</t>
  </si>
  <si>
    <t>American, born Germany. 1893–1959</t>
  </si>
  <si>
    <t>American, 1898–1986</t>
  </si>
  <si>
    <t>French, 1867–1942</t>
  </si>
  <si>
    <t>American, born Canada. 1913–1980</t>
  </si>
  <si>
    <t>American, 1916–1986</t>
  </si>
  <si>
    <t>French, 1926–2005</t>
  </si>
  <si>
    <t>Japanese, 1917–2018</t>
  </si>
  <si>
    <t>Japanese</t>
  </si>
  <si>
    <t>American, born 1943</t>
  </si>
  <si>
    <t>Austrian, 1873–1948</t>
  </si>
  <si>
    <t>Austrian</t>
  </si>
  <si>
    <t>American, 1877–1943</t>
  </si>
  <si>
    <t>British, 1901–1988</t>
  </si>
  <si>
    <t>American, 1931–2018</t>
  </si>
  <si>
    <t>Swiss, born United States. 1893–1982</t>
  </si>
  <si>
    <t>British, 1903–1975</t>
  </si>
  <si>
    <t>American, born Germany. 1936–1970</t>
  </si>
  <si>
    <t>American, born England. 1938–1998</t>
  </si>
  <si>
    <t>American, born Poland. 1872–1946</t>
  </si>
  <si>
    <t>German, 1889–1978</t>
  </si>
  <si>
    <t>Austrian, 1870–1956</t>
  </si>
  <si>
    <t>American, born 1950</t>
  </si>
  <si>
    <t>American, 1882–1967</t>
  </si>
  <si>
    <t>American, born Venezuela. 1920–2020</t>
  </si>
  <si>
    <t>American, 1928–2018</t>
  </si>
  <si>
    <t>Japanese, born United States. 1921–2012</t>
  </si>
  <si>
    <t>American, born 1928</t>
  </si>
  <si>
    <t>Pierre Jeanneret</t>
  </si>
  <si>
    <t>Swiss, 1896–1967</t>
  </si>
  <si>
    <t>American, born 1930</t>
  </si>
  <si>
    <t>American, 1927–1995</t>
  </si>
  <si>
    <t>American, 1928–1994</t>
  </si>
  <si>
    <t>Mexican, 1907–1954</t>
  </si>
  <si>
    <t>American, 1890–1954</t>
  </si>
  <si>
    <t>Japanese, 1933–2014</t>
  </si>
  <si>
    <t>American, 1954–2012</t>
  </si>
  <si>
    <t>American, 1923–2015</t>
  </si>
  <si>
    <t>Indian, 1934–2003</t>
  </si>
  <si>
    <t>Indian</t>
  </si>
  <si>
    <t>American, born Austria-Hungary. 1890–1965</t>
  </si>
  <si>
    <t>Japanese, 1935–2020</t>
  </si>
  <si>
    <t>German, 1880–1938</t>
  </si>
  <si>
    <t>German, 1935 – 2023</t>
  </si>
  <si>
    <t>Austrian, 1862–1918</t>
  </si>
  <si>
    <t>Austrian, 1886–1980</t>
  </si>
  <si>
    <t>Japanese, born 1943</t>
  </si>
  <si>
    <t>American, 1908–1984</t>
  </si>
  <si>
    <t>Czech, 1871–1957</t>
  </si>
  <si>
    <t>Czech</t>
  </si>
  <si>
    <t>Japanese, born 1929</t>
  </si>
  <si>
    <t>French, 1885–1925</t>
  </si>
  <si>
    <t>American, 1895–1965</t>
  </si>
  <si>
    <t>Russian, 1881–1964</t>
  </si>
  <si>
    <t>American, born Egypt. 1913–2003</t>
  </si>
  <si>
    <t>French, 1883–1956</t>
  </si>
  <si>
    <t>French, 1885–1954</t>
  </si>
  <si>
    <t>American, 1917–2000</t>
  </si>
  <si>
    <t>French, born Switzerland. 1887–1965</t>
  </si>
  <si>
    <t>French, born 1936</t>
  </si>
  <si>
    <t>American, 1909–1979</t>
  </si>
  <si>
    <t>American, 1928–2007</t>
  </si>
  <si>
    <t>American, 1923–1997</t>
  </si>
  <si>
    <t>American, born Lithuania. 1891–1973</t>
  </si>
  <si>
    <t>Russian, 1890–1941</t>
  </si>
  <si>
    <t>Austrian, 1874–1960</t>
  </si>
  <si>
    <t>American, 1930–1999</t>
  </si>
  <si>
    <t>French, 1892–1966</t>
  </si>
  <si>
    <t>American, 1907–1955</t>
  </si>
  <si>
    <t>American, 1890–1973</t>
  </si>
  <si>
    <t>Belgian, 1898–1967</t>
  </si>
  <si>
    <t>Belgian</t>
  </si>
  <si>
    <t>French, 1861–1944</t>
  </si>
  <si>
    <t>Russian, born Ukraine. 1878–1935</t>
  </si>
  <si>
    <t>American, 1890–1976</t>
  </si>
  <si>
    <t>Italian, 1939–1969</t>
  </si>
  <si>
    <t>American, 1946–1989</t>
  </si>
  <si>
    <t>American, 1938–2023</t>
  </si>
  <si>
    <t>Italian, 1932 – 2020</t>
  </si>
  <si>
    <t>Brazilian, 1894–1973</t>
  </si>
  <si>
    <t>Brazilian</t>
  </si>
  <si>
    <t>American, 1870–1953</t>
  </si>
  <si>
    <t>Venezuelan and American, born France 1930–2016</t>
  </si>
  <si>
    <t>Venezuelan</t>
  </si>
  <si>
    <t>American, born Canada. 1912–2004</t>
  </si>
  <si>
    <t>Italian, 1929 - 2013</t>
  </si>
  <si>
    <t>French, 1869–1954</t>
  </si>
  <si>
    <t>Chilean, 1911–2002</t>
  </si>
  <si>
    <t>Chilean</t>
  </si>
  <si>
    <t>American, born Cuba. 1948–1985</t>
  </si>
  <si>
    <t>American, 1931–2014</t>
  </si>
  <si>
    <t>German, 1897–1983</t>
  </si>
  <si>
    <t>Japanese, 1937–1978</t>
  </si>
  <si>
    <t>American, born Albania. 1904–1984</t>
  </si>
  <si>
    <t>Spanish, 1926–1972</t>
  </si>
  <si>
    <t>Argentine, born 1943</t>
  </si>
  <si>
    <t>Argentine</t>
  </si>
  <si>
    <t>Spanish, 1893–1983</t>
  </si>
  <si>
    <t>American, 1925–1992</t>
  </si>
  <si>
    <t>Italian, 1884–1920</t>
  </si>
  <si>
    <t>Italian, 1896–1942</t>
  </si>
  <si>
    <t>American, born Hungary. 1895–1946</t>
  </si>
  <si>
    <t>Dutch, 1872–1944</t>
  </si>
  <si>
    <t>French, 1840–1926</t>
  </si>
  <si>
    <t>British, 1898–1986</t>
  </si>
  <si>
    <t>American, 1900–1992</t>
  </si>
  <si>
    <t>American, 1910–1998</t>
  </si>
  <si>
    <t>Austrian, 1868–1918</t>
  </si>
  <si>
    <t>British, 1890–1958</t>
  </si>
  <si>
    <t>American, 1915–1991</t>
  </si>
  <si>
    <t>Japanese, born 1939</t>
  </si>
  <si>
    <t>Italian, 1907–1998</t>
  </si>
  <si>
    <t>American, born Poland. 1882–1946</t>
  </si>
  <si>
    <t>American, 1900–1984</t>
  </si>
  <si>
    <t>American, born Ukraine. 1899–1988</t>
  </si>
  <si>
    <t>American, 1905–1970</t>
  </si>
  <si>
    <t>American, 1904–1988</t>
  </si>
  <si>
    <t>American, 1887–1986</t>
  </si>
  <si>
    <t>American, 1915–1985</t>
  </si>
  <si>
    <t>Austrian, 1867–1908</t>
  </si>
  <si>
    <t>American, born Sweden. 1929–2022</t>
  </si>
  <si>
    <t>Born Japan, 1933</t>
  </si>
  <si>
    <t>Swiss, 1913–1985</t>
  </si>
  <si>
    <t>Mexican, 1883–1949</t>
  </si>
  <si>
    <t>American, born Philippines. 1916–1990</t>
  </si>
  <si>
    <t>French, 1886–1966</t>
  </si>
  <si>
    <t>American, born Korea. 1932–2006</t>
  </si>
  <si>
    <t>British, 1900–1984</t>
  </si>
  <si>
    <t>French, 1879–1953</t>
  </si>
  <si>
    <t>Spanish, 1881–1973</t>
  </si>
  <si>
    <t>American, 1888–1946</t>
  </si>
  <si>
    <t>American, 1912–1956</t>
  </si>
  <si>
    <t>Russian, 1889–1924</t>
  </si>
  <si>
    <t>Austrian, 1880–1949</t>
  </si>
  <si>
    <t>American, 1925–2008</t>
  </si>
  <si>
    <t>French, 1840–1916</t>
  </si>
  <si>
    <t>American, 1913–1967</t>
  </si>
  <si>
    <t>American, born 1939</t>
  </si>
  <si>
    <t>French, 1904–1959</t>
  </si>
  <si>
    <t>Dutch, 1888–1964</t>
  </si>
  <si>
    <t>British, born 1931</t>
  </si>
  <si>
    <t>Mexican, 1886–1957</t>
  </si>
  <si>
    <t>American, 1923–2002</t>
  </si>
  <si>
    <t>Russian, 1891–1956</t>
  </si>
  <si>
    <t>American, 1933–2017</t>
  </si>
  <si>
    <t>American, born Russia (now Latvia). 1903–1970</t>
  </si>
  <si>
    <t>French, 1844–1910</t>
  </si>
  <si>
    <t>American, born 1926</t>
  </si>
  <si>
    <t>American, born Finland. 1910–1961</t>
  </si>
  <si>
    <t>Sudanese, born 1930</t>
  </si>
  <si>
    <t>Sudanese</t>
  </si>
  <si>
    <t>German, 1876–1964</t>
  </si>
  <si>
    <t>Finnish, 1926–2006</t>
  </si>
  <si>
    <t>American, born 1934</t>
  </si>
  <si>
    <t>German, 1888–1943</t>
  </si>
  <si>
    <t>German, born 1954</t>
  </si>
  <si>
    <t>German, 1887–1948</t>
  </si>
  <si>
    <t>American, 1938–2024</t>
  </si>
  <si>
    <t>French, 1859–1891</t>
  </si>
  <si>
    <t>Italian, 1883–1966</t>
  </si>
  <si>
    <t>American, born Lithuania. 1898–1969</t>
  </si>
  <si>
    <t>American, 1883–1965</t>
  </si>
  <si>
    <t>Japanese, born 1938</t>
  </si>
  <si>
    <t>French, 1863–1935</t>
  </si>
  <si>
    <t>German, 1888–1965</t>
  </si>
  <si>
    <t>Mexican, 1896–1974</t>
  </si>
  <si>
    <t>American, 1903–1991</t>
  </si>
  <si>
    <t>Ethiopian, 1937–2003</t>
  </si>
  <si>
    <t>Ethiopian</t>
  </si>
  <si>
    <t>American, 1906–1965</t>
  </si>
  <si>
    <t>American, born Germany 1954</t>
  </si>
  <si>
    <t>French, 1919–2022</t>
  </si>
  <si>
    <t>American, 1899–1986</t>
  </si>
  <si>
    <t>American, 1877–1946</t>
  </si>
  <si>
    <t>American, 1871–1944</t>
  </si>
  <si>
    <t>American, 1904–1980</t>
  </si>
  <si>
    <t>American, 1911–1959</t>
  </si>
  <si>
    <t>American, born 1938</t>
  </si>
  <si>
    <t>Italian, established 1955</t>
  </si>
  <si>
    <t>Japanese, 1919–1996</t>
  </si>
  <si>
    <t>American, 1856–1924</t>
  </si>
  <si>
    <t>American, 1890–1944</t>
  </si>
  <si>
    <t>French, born Switzerland. 1889–1943</t>
  </si>
  <si>
    <t>Japanese, 1932–2005</t>
  </si>
  <si>
    <t>American, 1910–2012</t>
  </si>
  <si>
    <t>Spanish, 1923–2012</t>
  </si>
  <si>
    <t>American, 1907–2007</t>
  </si>
  <si>
    <t>American, 1937–1966</t>
  </si>
  <si>
    <t>Swiss, 1925–1991</t>
  </si>
  <si>
    <t>Uruguayan, 1874–1949</t>
  </si>
  <si>
    <t>Uruguayan</t>
  </si>
  <si>
    <t>German, born 1952</t>
  </si>
  <si>
    <t>American, 1928–2011</t>
  </si>
  <si>
    <t>Belgian, 1886–1965</t>
  </si>
  <si>
    <t>Italian, 1931–2014</t>
  </si>
  <si>
    <t>French, 1875–1963</t>
  </si>
  <si>
    <t>German, 1932–1998</t>
  </si>
  <si>
    <t>French, 1868–1940</t>
  </si>
  <si>
    <t>German, 1900–1990</t>
  </si>
  <si>
    <t>Austrian, 1841–1918</t>
  </si>
  <si>
    <t>American, 1928–1987</t>
  </si>
  <si>
    <t>American, born Russia. 1881–1961</t>
  </si>
  <si>
    <t>Danish, 1914–2007</t>
  </si>
  <si>
    <t>American, 1886–1958</t>
  </si>
  <si>
    <t>Swedish, 1876–1953</t>
  </si>
  <si>
    <t>American, born Canada. 1941-2024</t>
  </si>
  <si>
    <t>American, 1867–1959</t>
  </si>
  <si>
    <t>Moroccan and American, 1928–1985</t>
  </si>
  <si>
    <t>Moroccan</t>
  </si>
  <si>
    <t>American, 1905–1995</t>
  </si>
  <si>
    <t>American, 1926–2020</t>
  </si>
  <si>
    <t>French, born Russia. 1890–1967</t>
  </si>
  <si>
    <t>Michael S. Zane</t>
  </si>
  <si>
    <t>American, born 1960</t>
  </si>
  <si>
    <t>American, 1954–1992</t>
  </si>
  <si>
    <t>French, 1881–1955</t>
  </si>
  <si>
    <t>American, 1942–2021</t>
  </si>
  <si>
    <t>American, 1943–1978</t>
  </si>
  <si>
    <t>American, 1927–2017</t>
  </si>
  <si>
    <t>British, born 1963</t>
  </si>
  <si>
    <t>American, 1958–1992</t>
  </si>
  <si>
    <t>Mexican, 1912–2000</t>
  </si>
  <si>
    <t>Dutch, 1883–1942</t>
  </si>
  <si>
    <t>American, 1930–2024</t>
  </si>
  <si>
    <t>American, 1946–1999</t>
  </si>
  <si>
    <t>American, born Germany. 1886–1969</t>
  </si>
  <si>
    <t>Peter L. Zane</t>
  </si>
  <si>
    <t>Danish, born 1942</t>
  </si>
  <si>
    <t>Paolo Lomazzi</t>
  </si>
  <si>
    <t>Italian, born 1936</t>
  </si>
  <si>
    <t>Donato D'Urbino</t>
  </si>
  <si>
    <t>Italian, born 1935</t>
  </si>
  <si>
    <t>Italian, 1926–2019</t>
  </si>
  <si>
    <t>Citizen of the Confederated Salish and Kootenai Nation, born 1940</t>
  </si>
  <si>
    <t>Native American</t>
  </si>
  <si>
    <t>Japanese, born 1949</t>
  </si>
  <si>
    <t>Australian, born 1964</t>
  </si>
  <si>
    <t>Australian</t>
  </si>
  <si>
    <t>German, 1944 –2024</t>
  </si>
  <si>
    <t>Belgian, born 1958</t>
  </si>
  <si>
    <t>South African, born 1953</t>
  </si>
  <si>
    <t>South African</t>
  </si>
  <si>
    <t>American, 1892–1987</t>
  </si>
  <si>
    <t>Austrian, born 1941</t>
  </si>
  <si>
    <t>Manfred Ortner</t>
  </si>
  <si>
    <t>Austrian, born 1943</t>
  </si>
  <si>
    <t>Brazilian, 1937–1980</t>
  </si>
  <si>
    <t>Austrian, born 1940</t>
  </si>
  <si>
    <t>American, born 1947</t>
  </si>
  <si>
    <t>American, 1932–2021</t>
  </si>
  <si>
    <t>Brazilian, 1957–1993</t>
  </si>
  <si>
    <t>British, born 1937</t>
  </si>
  <si>
    <t>Cuban, 1967–1999</t>
  </si>
  <si>
    <t>American, born 1965</t>
  </si>
  <si>
    <t>Chinese, born 1957</t>
  </si>
  <si>
    <t>Chinese</t>
  </si>
  <si>
    <t>American, 1925–2007</t>
  </si>
  <si>
    <t>American, born Hungary. 1898–1992</t>
  </si>
  <si>
    <t>German, born 1965</t>
  </si>
  <si>
    <t>Josef Kohn</t>
  </si>
  <si>
    <t>Austrian, 1817–1884</t>
  </si>
  <si>
    <t>French, 1894–1954</t>
  </si>
  <si>
    <t>Brazilian, 1927–2004</t>
  </si>
  <si>
    <t>Spanish, 1908–1963</t>
  </si>
  <si>
    <t>John Van Hamersveld</t>
  </si>
  <si>
    <t>Haus-Rucker-Co</t>
  </si>
  <si>
    <t>Austrian, est. 1967–1992</t>
  </si>
  <si>
    <t>Günter Zamp Kelp</t>
  </si>
  <si>
    <t>Klaus Pinter</t>
  </si>
  <si>
    <t>French, born 1949</t>
  </si>
  <si>
    <t>British, 1899–1967</t>
  </si>
  <si>
    <t>Taylor Mead</t>
  </si>
  <si>
    <t>American, 1924 – 2013</t>
  </si>
  <si>
    <t>Jacob Kohn</t>
  </si>
  <si>
    <t>Austrian, 1791–1868</t>
  </si>
  <si>
    <t>est. 1927</t>
  </si>
  <si>
    <t>American, est. 1910</t>
  </si>
  <si>
    <t>est. 1965</t>
  </si>
  <si>
    <t>French, established 1875</t>
  </si>
  <si>
    <t>American, established 1898</t>
  </si>
  <si>
    <t>est 1888</t>
  </si>
  <si>
    <t>est. 1901</t>
  </si>
  <si>
    <t>American, established 1802</t>
  </si>
  <si>
    <t>American, est. 1903</t>
  </si>
  <si>
    <t>J. &amp; J. Kohn, Vienna</t>
  </si>
  <si>
    <t>est. 1867</t>
  </si>
  <si>
    <t>American, est. 1979</t>
  </si>
  <si>
    <t>Mexican, 1914–1998</t>
  </si>
  <si>
    <t>Joyce Mansour</t>
  </si>
  <si>
    <t>British, 1928–1987</t>
  </si>
  <si>
    <t>Michel Leiris</t>
  </si>
  <si>
    <t>French, 1901–1990</t>
  </si>
  <si>
    <t>Robert Cordier</t>
  </si>
  <si>
    <t>Belgian, 1933 – 2020</t>
  </si>
  <si>
    <t>Paul Bowles</t>
  </si>
  <si>
    <t>American and Moroccan, 1910 – 1999</t>
  </si>
  <si>
    <t>Gregory Corso</t>
  </si>
  <si>
    <t>American, 1930 – 2001</t>
  </si>
  <si>
    <t>American, 1914–1997</t>
  </si>
  <si>
    <t>Edouard Jaguer</t>
  </si>
  <si>
    <t>French, 1924 – 2006</t>
  </si>
  <si>
    <t>Robert Lebel</t>
  </si>
  <si>
    <t>French, 1901 – 1986</t>
  </si>
  <si>
    <t>Michael McClure</t>
  </si>
  <si>
    <t>American, 1932 – 2020</t>
  </si>
  <si>
    <t>Anne Waldman</t>
  </si>
  <si>
    <t>American, born 1945</t>
  </si>
  <si>
    <t>American, 1940–1993</t>
  </si>
  <si>
    <t>American, born Lithuania. 1931–1978</t>
  </si>
  <si>
    <t>Ronan Bouroullec</t>
  </si>
  <si>
    <t>French, born 1971</t>
  </si>
  <si>
    <t>Erwan Bouroullec</t>
  </si>
  <si>
    <t>French, born 1976</t>
  </si>
  <si>
    <t>American, 1946–1995</t>
  </si>
  <si>
    <t>German, 1893–1969</t>
  </si>
  <si>
    <t>Russian, 1897–1991</t>
  </si>
  <si>
    <t>Cuban American, born 1959</t>
  </si>
  <si>
    <t>American, 1943–1991</t>
  </si>
  <si>
    <t>Japanese, born 1940</t>
  </si>
  <si>
    <t>Tuli Kupferberg</t>
  </si>
  <si>
    <t>American, 1923 – 2010</t>
  </si>
  <si>
    <t>Vietnamese American, 1968–2024</t>
  </si>
  <si>
    <t>Giorgio DeCurso</t>
  </si>
  <si>
    <t>Italian, born 1927</t>
  </si>
  <si>
    <t>Charles B. Stilwell</t>
  </si>
  <si>
    <t>American, n. d.</t>
  </si>
  <si>
    <t>Brazilian, 1920–1988</t>
  </si>
  <si>
    <t>founded 1948</t>
  </si>
  <si>
    <t>Luxembourger, born 1969</t>
  </si>
  <si>
    <t>Luxembourger</t>
  </si>
  <si>
    <t>Japanese, born 1956</t>
  </si>
  <si>
    <t>Brazilian, born 1967</t>
  </si>
  <si>
    <t>Kenyan American, born 1972</t>
  </si>
  <si>
    <t>Kenyan</t>
  </si>
  <si>
    <t>German, born 1967</t>
  </si>
  <si>
    <t>American, 1893–1987</t>
  </si>
  <si>
    <t>German, born 1948</t>
  </si>
  <si>
    <t>British, born 1969</t>
  </si>
  <si>
    <t>German, born 1960</t>
  </si>
  <si>
    <t>American, born 1972</t>
  </si>
  <si>
    <t>German, born Luxembourg. 1967–2002</t>
  </si>
  <si>
    <t>American, born 1940</t>
  </si>
  <si>
    <t>Austrian, 1949–2003</t>
  </si>
  <si>
    <t>Polish, born 1943</t>
  </si>
  <si>
    <t>USA, est. 1968</t>
  </si>
  <si>
    <t>American, born 1944</t>
  </si>
  <si>
    <t>American, born 1973</t>
  </si>
  <si>
    <t>Doug Michels</t>
  </si>
  <si>
    <t>American, 1943–2003</t>
  </si>
  <si>
    <t>Indian, born 1946</t>
  </si>
  <si>
    <t>American, born 1953</t>
  </si>
  <si>
    <t>Brazilian, 1923–1973</t>
  </si>
  <si>
    <t>American, born Pakistan 1962</t>
  </si>
  <si>
    <t>Richard Jost</t>
  </si>
  <si>
    <t>British, born 1960</t>
  </si>
  <si>
    <t>German, 1930–1985</t>
  </si>
  <si>
    <t>American, born 1951</t>
  </si>
  <si>
    <t>American, born Italy. 1935</t>
  </si>
  <si>
    <t>Margaret E. Knight</t>
  </si>
  <si>
    <t>American, 1838–1914</t>
  </si>
  <si>
    <t>Brazilian, born 1965</t>
  </si>
  <si>
    <t>Argentine, born 1946</t>
  </si>
  <si>
    <t>American, born 1971</t>
  </si>
  <si>
    <t>Liza Béar</t>
  </si>
  <si>
    <t>British, born 1942</t>
  </si>
  <si>
    <t>Hungarian, 1923–2020</t>
  </si>
  <si>
    <t>Hungarian</t>
  </si>
  <si>
    <t>German, 1900–1984</t>
  </si>
  <si>
    <t>Colombian, born 1938</t>
  </si>
  <si>
    <t>Colombian</t>
  </si>
  <si>
    <t>American, 1947–1997</t>
  </si>
  <si>
    <t>Dankmar Adler</t>
  </si>
  <si>
    <t>American, 1844–1900</t>
  </si>
  <si>
    <t>American, 1934–2017</t>
  </si>
  <si>
    <t>Chilean, born 1948</t>
  </si>
  <si>
    <t>Korean, born 1971</t>
  </si>
  <si>
    <t>Korean</t>
  </si>
  <si>
    <t>American, 1908/1913–2002</t>
  </si>
  <si>
    <t>German, born 1979</t>
  </si>
  <si>
    <t>Japanese, 1924–2008</t>
  </si>
  <si>
    <t>Japanese, 1925–1996</t>
  </si>
  <si>
    <t>Argentine, 1921–2008</t>
  </si>
  <si>
    <t>American, born 1981</t>
  </si>
  <si>
    <t>Siv Helene Stangeland</t>
  </si>
  <si>
    <t>Norwegian, born 1966</t>
  </si>
  <si>
    <t>Norwegian</t>
  </si>
  <si>
    <t>Reinhard Kropf</t>
  </si>
  <si>
    <t>Austrian, born 1967</t>
  </si>
  <si>
    <t>Jayne Cortez</t>
  </si>
  <si>
    <t>American, 1934 – 2012</t>
  </si>
  <si>
    <t>Spanish, born 1971</t>
  </si>
  <si>
    <t>Maria Gilssen</t>
  </si>
  <si>
    <t>Norman Seeff</t>
  </si>
  <si>
    <t>American, born South Africa, 1939</t>
  </si>
  <si>
    <t>Brazilian, born Italy. 1925–1973</t>
  </si>
  <si>
    <t>Simon Vinkenoog</t>
  </si>
  <si>
    <t>Dutch, 1928–2009</t>
  </si>
  <si>
    <t>Romanian, 1926–2018</t>
  </si>
  <si>
    <t>Romanian</t>
  </si>
  <si>
    <t>American, born Argentina, 1938</t>
  </si>
  <si>
    <t>American, 1952–2019</t>
  </si>
  <si>
    <t>American, 1926–2019</t>
  </si>
  <si>
    <t>American, born 1978</t>
  </si>
  <si>
    <t>Japanese, born 1947</t>
  </si>
  <si>
    <t>Venezuelan, 1933 – 2022</t>
  </si>
  <si>
    <t>Canadian, 1895–1958</t>
  </si>
  <si>
    <t>Canadian</t>
  </si>
  <si>
    <t>Austrian, born 1971</t>
  </si>
  <si>
    <t>Rolling Stones Records</t>
  </si>
  <si>
    <t>founded 1970</t>
  </si>
  <si>
    <t>British, born 1977</t>
  </si>
  <si>
    <t>Argentine, 1919–2007</t>
  </si>
  <si>
    <t>American, 1932 – 2016</t>
  </si>
  <si>
    <t>American, born 1968</t>
  </si>
  <si>
    <t>Japanese, born 1972</t>
  </si>
  <si>
    <t>Brazilian, 1886–1973</t>
  </si>
  <si>
    <t>Turkish, born 1982</t>
  </si>
  <si>
    <t>American, 1958–1996</t>
  </si>
  <si>
    <t>Mark Brusse</t>
  </si>
  <si>
    <t>Dutch, born 1937</t>
  </si>
  <si>
    <t>Argentine, 1923–1993</t>
  </si>
  <si>
    <t>Brazilian, 1922–2022</t>
  </si>
  <si>
    <t>Uruguayan, 1920–1969</t>
  </si>
  <si>
    <t>American, born 1927</t>
  </si>
  <si>
    <t>Indian, 1949–2015</t>
  </si>
  <si>
    <t>Indian, born 1970</t>
  </si>
  <si>
    <t>Roger Cardinal</t>
  </si>
  <si>
    <t>British, 1940 – 2019</t>
  </si>
  <si>
    <t>Indian, born 1953</t>
  </si>
  <si>
    <t>Chilean, 1987–1997</t>
  </si>
  <si>
    <t>American, born 1982</t>
  </si>
  <si>
    <t>American, 1943–2014</t>
  </si>
  <si>
    <t>Colombian, born 1959</t>
  </si>
  <si>
    <t>American, born 1988</t>
  </si>
  <si>
    <t>Rajesh Vangad</t>
  </si>
  <si>
    <t>Indian, born 1975</t>
  </si>
  <si>
    <t>Ted Joans</t>
  </si>
  <si>
    <t>American, 1928–2003</t>
  </si>
  <si>
    <t>Lawrence Ferlinghetti</t>
  </si>
  <si>
    <t>American, 1919 – 2021</t>
  </si>
  <si>
    <t>Alain Jouffroy</t>
  </si>
  <si>
    <t>French, 1928–2015</t>
  </si>
  <si>
    <t>Indian, born 1956</t>
  </si>
  <si>
    <t>Thai, 1953 – 2000</t>
  </si>
  <si>
    <t>Cuban-American, born 1960</t>
  </si>
  <si>
    <t>Mozambican, 1936 – 2011</t>
  </si>
  <si>
    <t>Mozambican</t>
  </si>
  <si>
    <t>American, 1951 – 2021</t>
  </si>
  <si>
    <t>Wu Qingshan</t>
  </si>
  <si>
    <t>Bill Dixon</t>
  </si>
  <si>
    <t>American, 1925 – 2010</t>
  </si>
  <si>
    <t>Cecil Taylor</t>
  </si>
  <si>
    <t>American, 1929 – 2018</t>
  </si>
  <si>
    <t>American, 1918–1983</t>
  </si>
  <si>
    <t>American, 1929–1996</t>
  </si>
  <si>
    <t>American, born 1986</t>
  </si>
  <si>
    <t>est. 1908</t>
  </si>
  <si>
    <t>Paula Heredia</t>
  </si>
  <si>
    <t>Salvadoran, born 1957</t>
  </si>
  <si>
    <t>Salvadoran</t>
  </si>
  <si>
    <t>Amiri Baraka (previously known as LeRoi Jones and Imamu Amear Baraka)</t>
  </si>
  <si>
    <t>American, 1934 – 2014</t>
  </si>
  <si>
    <t>Robert LaVigne</t>
  </si>
  <si>
    <t>American, 1928 – 2014</t>
  </si>
  <si>
    <t>Peter Orlovsky</t>
  </si>
  <si>
    <t>American, 1933 – 2010</t>
  </si>
  <si>
    <t>American, 1934 – 2011</t>
  </si>
  <si>
    <t>Shel Silverstein</t>
  </si>
  <si>
    <t>American, 1930 – 1999</t>
  </si>
  <si>
    <t>Merton Simpson</t>
  </si>
  <si>
    <t>American, 1928 – 2013</t>
  </si>
  <si>
    <t>Marie Wilson</t>
  </si>
  <si>
    <t>American, 1922 – 2017</t>
  </si>
  <si>
    <t>Younousse Sèye</t>
  </si>
  <si>
    <t>Senegalese, born 1940</t>
  </si>
  <si>
    <t>Senegalese</t>
  </si>
  <si>
    <t>American, born 1979</t>
  </si>
  <si>
    <t>Anthony Romani</t>
  </si>
  <si>
    <t>American, 1938–1977</t>
  </si>
  <si>
    <t>Henry M. Childrey</t>
  </si>
  <si>
    <t>American, 1925–1997</t>
  </si>
  <si>
    <t>Samuel H. Bundles Jr.</t>
  </si>
  <si>
    <t>American, 1927 – 2019</t>
  </si>
  <si>
    <t>Argentine, 1905–1990</t>
  </si>
  <si>
    <t>Atelier Luma / Luma Arles</t>
  </si>
  <si>
    <t>est. 2016</t>
  </si>
  <si>
    <t>Salvadoran American, born 1976</t>
  </si>
  <si>
    <t>Japanese, 1925–2019</t>
  </si>
  <si>
    <t>Studio Klarenbeek &amp; Dros</t>
  </si>
  <si>
    <t>Dutch, founded 2014</t>
  </si>
  <si>
    <t>Eric Klarenbeek</t>
  </si>
  <si>
    <t>Dutch, born 1978</t>
  </si>
  <si>
    <t>Maartje Dros</t>
  </si>
  <si>
    <t>Sudanese, born 1939</t>
  </si>
  <si>
    <t>American, 1891–1981</t>
  </si>
  <si>
    <t>Kiowa-Caddo, 1946–1978</t>
  </si>
  <si>
    <t>Italian, born 1972</t>
  </si>
  <si>
    <t>Li Hu</t>
  </si>
  <si>
    <t>Chinese, born 1973</t>
  </si>
  <si>
    <t>Huang Wenjing</t>
  </si>
  <si>
    <t>Zaiye Studio</t>
  </si>
  <si>
    <t>Argentine, 1944–1990</t>
  </si>
  <si>
    <t>Milford Graves</t>
  </si>
  <si>
    <t>American, 1941–2021</t>
  </si>
  <si>
    <t>Belgian, 1935 – 1972</t>
  </si>
  <si>
    <t>Peruvian and Huitoto, born 1960</t>
  </si>
  <si>
    <t>Peruvian</t>
  </si>
  <si>
    <t>American and Cherokee, born 1935</t>
  </si>
  <si>
    <t>Iraqi, born 1984</t>
  </si>
  <si>
    <t>Iraqi</t>
  </si>
  <si>
    <t>Colombian, 1950 – 2021</t>
  </si>
  <si>
    <t>born 1959, Trinidad and Tobago</t>
  </si>
  <si>
    <t>Trinidad and Tobagonian</t>
  </si>
  <si>
    <t>Cuban, 1956–1988</t>
  </si>
  <si>
    <t>Dutch, born China 1981</t>
  </si>
  <si>
    <t>transgender woman</t>
  </si>
  <si>
    <t>Wole Soyinka</t>
  </si>
  <si>
    <t>Nigerian, born 1934</t>
  </si>
  <si>
    <t>Nigerian</t>
  </si>
  <si>
    <t>American, born Germany. 1881–1961</t>
  </si>
  <si>
    <t>British, born undivided India. 1928–1985</t>
  </si>
  <si>
    <t>Laura Corsiglia</t>
  </si>
  <si>
    <t>born Canada 1973</t>
  </si>
  <si>
    <t>Venezuelan, born Italy. 1927–1995</t>
  </si>
  <si>
    <t>Jerome Rothenberg</t>
  </si>
  <si>
    <t>American, 1931 – 2024</t>
  </si>
  <si>
    <t>Indian, born Ethiopia 1958</t>
  </si>
  <si>
    <t>Simon Watson Taylor</t>
  </si>
  <si>
    <t>English, 1923 – 2005</t>
  </si>
  <si>
    <t>English</t>
  </si>
  <si>
    <t>Georges Gronier</t>
  </si>
  <si>
    <t>Belgian, born 1934</t>
  </si>
  <si>
    <t>Papa Ibra Tall</t>
  </si>
  <si>
    <t>Senegalese, 1935 – 2015</t>
  </si>
  <si>
    <t>Lamine Dolo</t>
  </si>
  <si>
    <t>Dogon, Mali</t>
  </si>
  <si>
    <t>Mohamed Ajnakane</t>
  </si>
  <si>
    <t>Moroccan, born 1948</t>
  </si>
  <si>
    <t>Mohammed Mrabet</t>
  </si>
  <si>
    <t>Moroccan, born 1936</t>
  </si>
  <si>
    <t>Abdel Kader El-Janabi</t>
  </si>
  <si>
    <t>Iraqi, born Baghdad 1944</t>
  </si>
  <si>
    <t>Nanos Valaoritis</t>
  </si>
  <si>
    <t>Greek, born Switzerland. 1921 – 2019</t>
  </si>
  <si>
    <t>Greek</t>
  </si>
  <si>
    <t>Laurens Vancrevel</t>
  </si>
  <si>
    <t>Dutch, born 1941</t>
  </si>
  <si>
    <t>Andrei Codrescu</t>
  </si>
  <si>
    <t>American, born Romania 1946</t>
  </si>
  <si>
    <t>Adrian Henri</t>
  </si>
  <si>
    <t>British, 1932 – 2000</t>
  </si>
  <si>
    <t>Jim Burns</t>
  </si>
  <si>
    <t>British, born 1936</t>
  </si>
  <si>
    <t>John Digby</t>
  </si>
  <si>
    <t>British, born 1938</t>
  </si>
  <si>
    <t>Valery Oisteanu</t>
  </si>
  <si>
    <t>born 1943</t>
  </si>
  <si>
    <t>LeRoy Clarke</t>
  </si>
  <si>
    <t>Trinidad and Tobago, born 1938</t>
  </si>
  <si>
    <t>Jack Micheline</t>
  </si>
  <si>
    <t>American, 1929 – 1998</t>
  </si>
  <si>
    <t>Michael Horovitz</t>
  </si>
  <si>
    <t>British, 1935 – 2021</t>
  </si>
  <si>
    <t>Édouard Roditi</t>
  </si>
  <si>
    <t>1910 – 1992</t>
  </si>
  <si>
    <t>Gentiane Gaussot Taprah</t>
  </si>
  <si>
    <t>French, born 1945</t>
  </si>
  <si>
    <t>David Gascoyne</t>
  </si>
  <si>
    <t>British, 1916 – 2001</t>
  </si>
  <si>
    <t>Cornelis "Kees" Buddingh'</t>
  </si>
  <si>
    <t>Dutch, 1918 – 1985</t>
  </si>
  <si>
    <t>Kazuko Shiraishi</t>
  </si>
  <si>
    <t>Japanese, born Canada. 1931–2024</t>
  </si>
  <si>
    <t>Natascha Ungeheuer</t>
  </si>
  <si>
    <t>Enrique Hernández d'Jesús</t>
  </si>
  <si>
    <t>Venezuelan, born 1947</t>
  </si>
  <si>
    <t>David Henderson</t>
  </si>
  <si>
    <t>Nancy Joyce Peters</t>
  </si>
  <si>
    <t>American, born 1936</t>
  </si>
  <si>
    <t>Philip Lamantia</t>
  </si>
  <si>
    <t>American, 1927 – 2005</t>
  </si>
  <si>
    <t>Thom Burns</t>
  </si>
  <si>
    <t>born 1959</t>
  </si>
  <si>
    <t>Ishmael Reed</t>
  </si>
  <si>
    <t>André Laude</t>
  </si>
  <si>
    <t>French, 1936 – 1995</t>
  </si>
  <si>
    <t>Ronald Sukenick</t>
  </si>
  <si>
    <t>American, 1932 – 2004</t>
  </si>
  <si>
    <t>Ruth Francken</t>
  </si>
  <si>
    <t>1924 – 2006</t>
  </si>
  <si>
    <t>Alan Ansen</t>
  </si>
  <si>
    <t>American, 1922 – 2006</t>
  </si>
  <si>
    <t>Lou Laurin Lam</t>
  </si>
  <si>
    <t>Swede, 1934 – 2012</t>
  </si>
  <si>
    <t>Amina Baraka</t>
  </si>
  <si>
    <t>Seymour Krim</t>
  </si>
  <si>
    <t>American, 1922 – 1989</t>
  </si>
  <si>
    <t>Gustavo Ramos Rivera</t>
  </si>
  <si>
    <t>born Acuña, Mexico 1940</t>
  </si>
  <si>
    <t>Virginia Cox</t>
  </si>
  <si>
    <t>Victor Hernández Cruz</t>
  </si>
  <si>
    <t>Puerto Rican, born 1949</t>
  </si>
  <si>
    <t>Puerto Rican</t>
  </si>
  <si>
    <t>Louis Lehmann</t>
  </si>
  <si>
    <t>Dutch, 1920 – 2012</t>
  </si>
  <si>
    <t>Robert Benayoun</t>
  </si>
  <si>
    <t>French, born Morocco. 1926 – 1996</t>
  </si>
  <si>
    <t>Vincent Bounoure</t>
  </si>
  <si>
    <t>French, 1928 – 1996</t>
  </si>
  <si>
    <t>Breyten Breytenbach</t>
  </si>
  <si>
    <t>South African, born 1939</t>
  </si>
  <si>
    <t>Pavel Řezníček</t>
  </si>
  <si>
    <t>Czech, 1942 – 2018</t>
  </si>
  <si>
    <t>Peter Wood</t>
  </si>
  <si>
    <t>British, 1951 – 1999</t>
  </si>
  <si>
    <t>Mário Cesariny</t>
  </si>
  <si>
    <t>Portuguese, 1923 – 2006</t>
  </si>
  <si>
    <t>Portuguese</t>
  </si>
  <si>
    <t>Inácio Matsinhe</t>
  </si>
  <si>
    <t>Mozambican, born 1945</t>
  </si>
  <si>
    <t>Giovanna</t>
  </si>
  <si>
    <t>Italian, born 1934</t>
  </si>
  <si>
    <t>Jean Benoît</t>
  </si>
  <si>
    <t>Canadian, 1922 – 2010</t>
  </si>
  <si>
    <t>Hilary Booth</t>
  </si>
  <si>
    <t>Australian, 1956 – 2005</t>
  </si>
  <si>
    <t>Susana Wald</t>
  </si>
  <si>
    <t>Hungarian, born 1937</t>
  </si>
  <si>
    <t>Ludwig Zeller</t>
  </si>
  <si>
    <t>Chilean, 1927 – 2019</t>
  </si>
  <si>
    <t>Saúl Kaminer</t>
  </si>
  <si>
    <t>Mexican, born 1952</t>
  </si>
  <si>
    <t>Lois Mailou Jones</t>
  </si>
  <si>
    <t>American, 1905 – 1998</t>
  </si>
  <si>
    <t>Penelope Rosemont</t>
  </si>
  <si>
    <t>Franklin Rosemont</t>
  </si>
  <si>
    <t>American, 1943 – 2009</t>
  </si>
  <si>
    <t>Tony Pusey</t>
  </si>
  <si>
    <t>British, born 1953</t>
  </si>
  <si>
    <t>Eva Švankmajerová</t>
  </si>
  <si>
    <t>Czech, 1940 – 2005</t>
  </si>
  <si>
    <t>Martin Stejskal</t>
  </si>
  <si>
    <t>Czech, born 1944</t>
  </si>
  <si>
    <t>Ludvík Šváb</t>
  </si>
  <si>
    <t>Czech, 1924 – 1997</t>
  </si>
  <si>
    <t>Philip West</t>
  </si>
  <si>
    <t>British and Spanish, 1949 – 1997</t>
  </si>
  <si>
    <t>Homero Aridjis</t>
  </si>
  <si>
    <t>Mexican, born 1940</t>
  </si>
  <si>
    <t>Robert Farris Thompson</t>
  </si>
  <si>
    <t>American, 1932 – 2021</t>
  </si>
  <si>
    <t>Quincy Thomas Troupe, Jr.</t>
  </si>
  <si>
    <t>Ron Sakolsky</t>
  </si>
  <si>
    <t>Brazilian, 1943–2019</t>
  </si>
  <si>
    <t>Arinjoy Sen</t>
  </si>
  <si>
    <t>Indian, born 1996</t>
  </si>
  <si>
    <t>American and Oneida, born 1971</t>
  </si>
  <si>
    <t>Oneida</t>
  </si>
  <si>
    <t>Kabage Karanja</t>
  </si>
  <si>
    <t>Kenyan-British, born 1979</t>
  </si>
  <si>
    <t>cave_bureau</t>
  </si>
  <si>
    <t>Kenya, est. 2014</t>
  </si>
  <si>
    <t>Stella Mutegi</t>
  </si>
  <si>
    <t>Kenyan, born 1979</t>
  </si>
  <si>
    <t>Marina Tabassum</t>
  </si>
  <si>
    <t>Bangladeshi, born 1968</t>
  </si>
  <si>
    <t>Bangladeshi</t>
  </si>
  <si>
    <t>American, 1923 – 2013</t>
  </si>
  <si>
    <t>Thai, born 1966</t>
  </si>
  <si>
    <t>American, 1940–2015</t>
  </si>
  <si>
    <t>Spaceshift Studio</t>
  </si>
  <si>
    <t>SHE Kantha (Anima Sarkar, Tapati Roy, Kakoli Mandal, Sabina Bibi, Ajija Khatoon, Manjila Bibi Mondal)</t>
  </si>
  <si>
    <t>Kolkata, India, est. 1985</t>
  </si>
  <si>
    <t>Piplu R. Kahn</t>
  </si>
  <si>
    <t>MTA (Marina Tabassum Architects)</t>
  </si>
  <si>
    <t>Bangladesh, founded 2005</t>
  </si>
  <si>
    <t>Artists</t>
  </si>
  <si>
    <t>Clean Date</t>
  </si>
  <si>
    <t xml:space="preserve"> Floor 4, 417</t>
  </si>
  <si>
    <t xml:space="preserve"> Floor 5, 511</t>
  </si>
  <si>
    <t xml:space="preserve"> Floor 1, 1 South</t>
  </si>
  <si>
    <t xml:space="preserve"> Floor 5, 516</t>
  </si>
  <si>
    <t xml:space="preserve"> Floor 3</t>
  </si>
  <si>
    <t xml:space="preserve"> Floor 1</t>
  </si>
  <si>
    <t xml:space="preserve"> Floor 5, 504</t>
  </si>
  <si>
    <t xml:space="preserve"> Floor 5, 501</t>
  </si>
  <si>
    <t xml:space="preserve"> Floor 1, Sculpture Garden</t>
  </si>
  <si>
    <t xml:space="preserve"> Floor 5, 513</t>
  </si>
  <si>
    <t xml:space="preserve"> Floor 5, 519</t>
  </si>
  <si>
    <t xml:space="preserve"> Floor 5, 507</t>
  </si>
  <si>
    <t xml:space="preserve"> Floor 4, 406</t>
  </si>
  <si>
    <t xml:space="preserve"> Floor 2, 2 South</t>
  </si>
  <si>
    <t xml:space="preserve"> Floor 5, 502</t>
  </si>
  <si>
    <t xml:space="preserve"> Floor 5, 509</t>
  </si>
  <si>
    <t xml:space="preserve"> Floor 3, 3 East</t>
  </si>
  <si>
    <t xml:space="preserve"> Floor 5, 522</t>
  </si>
  <si>
    <t xml:space="preserve"> Floor 4, 404</t>
  </si>
  <si>
    <t xml:space="preserve"> Floor 4, 421</t>
  </si>
  <si>
    <t xml:space="preserve"> Floor 4, 407</t>
  </si>
  <si>
    <t xml:space="preserve"> Floor 2, 216</t>
  </si>
  <si>
    <t xml:space="preserve"> Floor 2, 206</t>
  </si>
  <si>
    <t xml:space="preserve"> Floor 4, 416</t>
  </si>
  <si>
    <t xml:space="preserve"> Floor 4, 402</t>
  </si>
  <si>
    <t xml:space="preserve"> Floor 5, 505</t>
  </si>
  <si>
    <t xml:space="preserve"> Floor 5, 517</t>
  </si>
  <si>
    <t xml:space="preserve"> Floor 4, 409</t>
  </si>
  <si>
    <t xml:space="preserve"> Floor 4, 419</t>
  </si>
  <si>
    <t xml:space="preserve"> Floor 3, 3 South</t>
  </si>
  <si>
    <t xml:space="preserve"> Floor 5, 510</t>
  </si>
  <si>
    <t xml:space="preserve"> Floor 5, 514</t>
  </si>
  <si>
    <t xml:space="preserve"> Floor 2, 209</t>
  </si>
  <si>
    <t xml:space="preserve"> Floor 5, 521</t>
  </si>
  <si>
    <t xml:space="preserve"> Floor 4, 412</t>
  </si>
  <si>
    <t xml:space="preserve"> Floor 5, 506</t>
  </si>
  <si>
    <t xml:space="preserve"> Floor 4, 413</t>
  </si>
  <si>
    <t xml:space="preserve"> Floor 4, 420</t>
  </si>
  <si>
    <t xml:space="preserve"> Floor 4, 408</t>
  </si>
  <si>
    <t xml:space="preserve"> Floor 5, 512</t>
  </si>
  <si>
    <t xml:space="preserve"> Floor 4, 401</t>
  </si>
  <si>
    <t xml:space="preserve"> Floor 5, 503</t>
  </si>
  <si>
    <t xml:space="preserve"> Floor 5</t>
  </si>
  <si>
    <t xml:space="preserve"> Floor 4, 403</t>
  </si>
  <si>
    <t xml:space="preserve"> Floor 5, 520</t>
  </si>
  <si>
    <t xml:space="preserve"> Floor 5, 523</t>
  </si>
  <si>
    <t xml:space="preserve"> Floor 5, 508</t>
  </si>
  <si>
    <t xml:space="preserve"> Floor 4, 405</t>
  </si>
  <si>
    <t xml:space="preserve"> Floor 2, 201</t>
  </si>
  <si>
    <t xml:space="preserve"> Floor 2</t>
  </si>
  <si>
    <t xml:space="preserve"> Floor 2, 202</t>
  </si>
  <si>
    <t xml:space="preserve"> Floor 4, 418</t>
  </si>
  <si>
    <t xml:space="preserve"> Floor 5, 515</t>
  </si>
  <si>
    <t xml:space="preserve"> Floor 4</t>
  </si>
  <si>
    <t xml:space="preserve"> Floor 4, 415</t>
  </si>
  <si>
    <t xml:space="preserve"> Floor 5, 518</t>
  </si>
  <si>
    <t xml:space="preserve"> Floor 5, 500</t>
  </si>
  <si>
    <t xml:space="preserve"> Floor 4, 400</t>
  </si>
  <si>
    <t xml:space="preserve"> Floor 2, 214</t>
  </si>
  <si>
    <t xml:space="preserve"> Floor 2, 203</t>
  </si>
  <si>
    <t xml:space="preserve"> Floor 4, 410</t>
  </si>
  <si>
    <t xml:space="preserve"> Floor 6</t>
  </si>
  <si>
    <t xml:space="preserve"> Floor 2, 215</t>
  </si>
  <si>
    <t xml:space="preserve"> Floor 2, 207</t>
  </si>
  <si>
    <t xml:space="preserve"> Floor 1, Art Lab</t>
  </si>
  <si>
    <t xml:space="preserve"> Floor 2, 205</t>
  </si>
  <si>
    <t xml:space="preserve"> Floor 2, 210</t>
  </si>
  <si>
    <t xml:space="preserve"> Floor 2, 208</t>
  </si>
  <si>
    <t xml:space="preserve"> Floor 4, 414</t>
  </si>
  <si>
    <t xml:space="preserve"> Floor 2, 213</t>
  </si>
  <si>
    <t xml:space="preserve"> Floor 2, 204</t>
  </si>
  <si>
    <t xml:space="preserve"> Floor 2, 211</t>
  </si>
  <si>
    <t xml:space="preserve"> PS1, Third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</si>
</sst>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17" fontId="0" fillId="0" borderId="0" xfId="0" applyNumberForma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42BE-EA2B-4CDC-8975-D81EACF1804C}">
  <dimension ref="A1:G662"/>
  <sheetViews>
    <sheetView workbookViewId="0">
      <selection activeCell="O8" sqref="O8"/>
    </sheetView>
  </sheetViews>
  <sheetFormatPr defaultRowHeight="15" x14ac:dyDescent="0.25"/>
  <cols>
    <col min="1" max="1" width="14.28515625" customWidth="1"/>
    <col min="2" max="2" width="25.7109375" customWidth="1"/>
    <col min="3" max="3" width="21.42578125" customWidth="1"/>
    <col min="4" max="4" width="12.85546875" customWidth="1"/>
    <col min="5" max="5" width="9.140625" customWidth="1"/>
    <col min="6" max="7" width="10" customWidth="1"/>
  </cols>
  <sheetData>
    <row r="1" spans="1:7" x14ac:dyDescent="0.25">
      <c r="A1" s="4" t="s">
        <v>1</v>
      </c>
      <c r="B1" s="4" t="s">
        <v>5551</v>
      </c>
      <c r="C1" s="4" t="s">
        <v>2</v>
      </c>
      <c r="D1" s="4" t="s">
        <v>3</v>
      </c>
      <c r="E1" s="4" t="s">
        <v>6</v>
      </c>
      <c r="F1" s="4" t="s">
        <v>4</v>
      </c>
      <c r="G1" s="4" t="s">
        <v>5</v>
      </c>
    </row>
    <row r="2" spans="1:7" x14ac:dyDescent="0.25">
      <c r="A2">
        <v>11</v>
      </c>
      <c r="B2" t="s">
        <v>614</v>
      </c>
      <c r="C2" t="s">
        <v>5552</v>
      </c>
      <c r="D2" t="s">
        <v>5553</v>
      </c>
      <c r="E2" t="s">
        <v>5554</v>
      </c>
      <c r="F2">
        <v>1886</v>
      </c>
      <c r="G2">
        <v>1966</v>
      </c>
    </row>
    <row r="3" spans="1:7" x14ac:dyDescent="0.25">
      <c r="A3">
        <v>19</v>
      </c>
      <c r="B3" t="s">
        <v>957</v>
      </c>
      <c r="C3" t="s">
        <v>5555</v>
      </c>
      <c r="D3" t="s">
        <v>5556</v>
      </c>
      <c r="E3" t="s">
        <v>5554</v>
      </c>
      <c r="F3">
        <v>1923</v>
      </c>
      <c r="G3">
        <v>2013</v>
      </c>
    </row>
    <row r="4" spans="1:7" x14ac:dyDescent="0.25">
      <c r="A4">
        <v>34</v>
      </c>
      <c r="B4" t="s">
        <v>90</v>
      </c>
      <c r="C4" t="s">
        <v>5557</v>
      </c>
      <c r="D4" t="s">
        <v>5558</v>
      </c>
      <c r="E4" t="s">
        <v>5554</v>
      </c>
      <c r="F4">
        <v>1898</v>
      </c>
      <c r="G4">
        <v>1976</v>
      </c>
    </row>
    <row r="5" spans="1:7" x14ac:dyDescent="0.25">
      <c r="A5">
        <v>38</v>
      </c>
      <c r="B5" t="s">
        <v>469</v>
      </c>
      <c r="C5" t="s">
        <v>5559</v>
      </c>
      <c r="D5" t="s">
        <v>5560</v>
      </c>
      <c r="E5" t="s">
        <v>5561</v>
      </c>
      <c r="F5">
        <v>1930</v>
      </c>
      <c r="G5">
        <v>2017</v>
      </c>
    </row>
    <row r="6" spans="1:7" x14ac:dyDescent="0.25">
      <c r="A6">
        <v>60</v>
      </c>
      <c r="B6" t="s">
        <v>1176</v>
      </c>
      <c r="C6" t="s">
        <v>5562</v>
      </c>
      <c r="D6" t="s">
        <v>5556</v>
      </c>
      <c r="E6" t="s">
        <v>5554</v>
      </c>
      <c r="F6">
        <v>1902</v>
      </c>
      <c r="G6">
        <v>1984</v>
      </c>
    </row>
    <row r="7" spans="1:7" x14ac:dyDescent="0.25">
      <c r="A7">
        <v>94</v>
      </c>
      <c r="B7" t="s">
        <v>929</v>
      </c>
      <c r="C7" t="s">
        <v>5563</v>
      </c>
      <c r="D7" t="s">
        <v>5564</v>
      </c>
      <c r="E7" t="s">
        <v>5561</v>
      </c>
      <c r="F7">
        <v>1939</v>
      </c>
      <c r="G7">
        <v>0</v>
      </c>
    </row>
    <row r="8" spans="1:7" x14ac:dyDescent="0.25">
      <c r="A8">
        <v>140</v>
      </c>
      <c r="B8" t="s">
        <v>1017</v>
      </c>
      <c r="C8" t="s">
        <v>5565</v>
      </c>
      <c r="D8" t="s">
        <v>5556</v>
      </c>
      <c r="E8" t="s">
        <v>5554</v>
      </c>
      <c r="F8">
        <v>1933</v>
      </c>
      <c r="G8">
        <v>0</v>
      </c>
    </row>
    <row r="9" spans="1:7" x14ac:dyDescent="0.25">
      <c r="A9">
        <v>144</v>
      </c>
      <c r="B9" t="s">
        <v>745</v>
      </c>
      <c r="C9" t="s">
        <v>5566</v>
      </c>
      <c r="D9" t="s">
        <v>5567</v>
      </c>
      <c r="E9" t="s">
        <v>5554</v>
      </c>
      <c r="F9">
        <v>1936</v>
      </c>
      <c r="G9">
        <v>0</v>
      </c>
    </row>
    <row r="10" spans="1:7" x14ac:dyDescent="0.25">
      <c r="A10">
        <v>153</v>
      </c>
      <c r="B10" t="s">
        <v>1741</v>
      </c>
      <c r="C10" t="s">
        <v>5568</v>
      </c>
      <c r="D10" t="s">
        <v>5556</v>
      </c>
      <c r="E10" t="s">
        <v>5561</v>
      </c>
      <c r="F10">
        <v>1937</v>
      </c>
      <c r="G10">
        <v>2020</v>
      </c>
    </row>
    <row r="11" spans="1:7" x14ac:dyDescent="0.25">
      <c r="A11">
        <v>159</v>
      </c>
      <c r="B11" t="s">
        <v>541</v>
      </c>
      <c r="C11" t="s">
        <v>5569</v>
      </c>
      <c r="D11" t="s">
        <v>5570</v>
      </c>
      <c r="E11" t="s">
        <v>5554</v>
      </c>
      <c r="F11">
        <v>1919</v>
      </c>
      <c r="G11">
        <v>1982</v>
      </c>
    </row>
    <row r="12" spans="1:7" x14ac:dyDescent="0.25">
      <c r="A12">
        <v>208</v>
      </c>
      <c r="B12" t="s">
        <v>1172</v>
      </c>
      <c r="C12" t="s">
        <v>5571</v>
      </c>
      <c r="D12" t="s">
        <v>5556</v>
      </c>
      <c r="E12" t="s">
        <v>5561</v>
      </c>
      <c r="F12">
        <v>1923</v>
      </c>
      <c r="G12">
        <v>1971</v>
      </c>
    </row>
    <row r="13" spans="1:7" x14ac:dyDescent="0.25">
      <c r="A13">
        <v>229</v>
      </c>
      <c r="B13" t="s">
        <v>1138</v>
      </c>
      <c r="C13" t="s">
        <v>5572</v>
      </c>
      <c r="D13" t="s">
        <v>5553</v>
      </c>
      <c r="E13" t="s">
        <v>5554</v>
      </c>
      <c r="F13">
        <v>1857</v>
      </c>
      <c r="G13">
        <v>1927</v>
      </c>
    </row>
    <row r="14" spans="1:7" x14ac:dyDescent="0.25">
      <c r="A14">
        <v>256</v>
      </c>
      <c r="B14" t="s">
        <v>1110</v>
      </c>
      <c r="C14" t="s">
        <v>5573</v>
      </c>
      <c r="D14" t="s">
        <v>5556</v>
      </c>
      <c r="E14" t="s">
        <v>5561</v>
      </c>
      <c r="F14">
        <v>1946</v>
      </c>
      <c r="G14">
        <v>0</v>
      </c>
    </row>
    <row r="15" spans="1:7" x14ac:dyDescent="0.25">
      <c r="A15">
        <v>271</v>
      </c>
      <c r="B15" t="s">
        <v>390</v>
      </c>
      <c r="C15" t="s">
        <v>5574</v>
      </c>
      <c r="D15" t="s">
        <v>5558</v>
      </c>
      <c r="E15" t="s">
        <v>5554</v>
      </c>
      <c r="F15">
        <v>1922</v>
      </c>
      <c r="G15">
        <v>1998</v>
      </c>
    </row>
    <row r="16" spans="1:7" x14ac:dyDescent="0.25">
      <c r="A16">
        <v>272</v>
      </c>
      <c r="B16" t="s">
        <v>2397</v>
      </c>
      <c r="C16" t="s">
        <v>5575</v>
      </c>
      <c r="D16" t="s">
        <v>5576</v>
      </c>
      <c r="E16" t="s">
        <v>5554</v>
      </c>
      <c r="F16">
        <v>1909</v>
      </c>
      <c r="G16">
        <v>1992</v>
      </c>
    </row>
    <row r="17" spans="1:7" x14ac:dyDescent="0.25">
      <c r="A17">
        <v>281</v>
      </c>
      <c r="B17" t="s">
        <v>1035</v>
      </c>
      <c r="C17" t="s">
        <v>5577</v>
      </c>
      <c r="D17" t="s">
        <v>5556</v>
      </c>
      <c r="E17" t="s">
        <v>5561</v>
      </c>
      <c r="F17">
        <v>1929</v>
      </c>
      <c r="G17">
        <v>0</v>
      </c>
    </row>
    <row r="18" spans="1:7" x14ac:dyDescent="0.25">
      <c r="A18">
        <v>287</v>
      </c>
      <c r="B18" t="s">
        <v>1099</v>
      </c>
      <c r="C18" t="s">
        <v>5578</v>
      </c>
      <c r="D18" t="s">
        <v>5556</v>
      </c>
      <c r="E18" t="s">
        <v>5554</v>
      </c>
      <c r="F18">
        <v>1947</v>
      </c>
      <c r="G18">
        <v>2011</v>
      </c>
    </row>
    <row r="19" spans="1:7" x14ac:dyDescent="0.25">
      <c r="A19">
        <v>311</v>
      </c>
      <c r="B19" t="s">
        <v>804</v>
      </c>
      <c r="C19" t="s">
        <v>5579</v>
      </c>
      <c r="D19" t="s">
        <v>5580</v>
      </c>
      <c r="E19" t="s">
        <v>5554</v>
      </c>
      <c r="F19">
        <v>1871</v>
      </c>
      <c r="G19">
        <v>1958</v>
      </c>
    </row>
    <row r="20" spans="1:7" x14ac:dyDescent="0.25">
      <c r="A20">
        <v>402</v>
      </c>
      <c r="B20" t="s">
        <v>730</v>
      </c>
      <c r="C20" t="s">
        <v>5581</v>
      </c>
      <c r="D20" t="s">
        <v>5582</v>
      </c>
      <c r="E20" t="s">
        <v>5554</v>
      </c>
      <c r="F20">
        <v>1937</v>
      </c>
      <c r="G20">
        <v>0</v>
      </c>
    </row>
    <row r="21" spans="1:7" x14ac:dyDescent="0.25">
      <c r="A21">
        <v>409</v>
      </c>
      <c r="B21" t="s">
        <v>588</v>
      </c>
      <c r="C21" t="s">
        <v>5583</v>
      </c>
      <c r="D21" t="s">
        <v>5556</v>
      </c>
      <c r="E21" t="s">
        <v>5554</v>
      </c>
      <c r="F21">
        <v>1903</v>
      </c>
      <c r="G21">
        <v>1969</v>
      </c>
    </row>
    <row r="22" spans="1:7" x14ac:dyDescent="0.25">
      <c r="A22">
        <v>412</v>
      </c>
      <c r="B22" t="s">
        <v>812</v>
      </c>
      <c r="C22" t="s">
        <v>5584</v>
      </c>
      <c r="D22" t="s">
        <v>5556</v>
      </c>
      <c r="E22" t="s">
        <v>5554</v>
      </c>
      <c r="F22">
        <v>1911</v>
      </c>
      <c r="G22">
        <v>1988</v>
      </c>
    </row>
    <row r="23" spans="1:7" x14ac:dyDescent="0.25">
      <c r="A23">
        <v>429</v>
      </c>
      <c r="B23" t="s">
        <v>660</v>
      </c>
      <c r="C23" t="s">
        <v>5585</v>
      </c>
      <c r="D23" t="s">
        <v>5582</v>
      </c>
      <c r="E23" t="s">
        <v>5554</v>
      </c>
      <c r="F23">
        <v>1884</v>
      </c>
      <c r="G23">
        <v>1950</v>
      </c>
    </row>
    <row r="24" spans="1:7" x14ac:dyDescent="0.25">
      <c r="A24">
        <v>450</v>
      </c>
      <c r="B24" t="s">
        <v>1877</v>
      </c>
      <c r="C24" t="s">
        <v>5586</v>
      </c>
      <c r="D24" t="s">
        <v>5582</v>
      </c>
      <c r="E24" t="s">
        <v>5554</v>
      </c>
      <c r="F24">
        <v>1886</v>
      </c>
      <c r="G24">
        <v>1972</v>
      </c>
    </row>
    <row r="25" spans="1:7" x14ac:dyDescent="0.25">
      <c r="A25">
        <v>452</v>
      </c>
      <c r="B25" t="s">
        <v>732</v>
      </c>
      <c r="C25" t="s">
        <v>5587</v>
      </c>
      <c r="D25" t="s">
        <v>5582</v>
      </c>
      <c r="E25" t="s">
        <v>5554</v>
      </c>
      <c r="F25">
        <v>1902</v>
      </c>
      <c r="G25">
        <v>1975</v>
      </c>
    </row>
    <row r="26" spans="1:7" x14ac:dyDescent="0.25">
      <c r="A26">
        <v>471</v>
      </c>
      <c r="B26" t="s">
        <v>3221</v>
      </c>
      <c r="C26" t="s">
        <v>5588</v>
      </c>
      <c r="D26" t="s">
        <v>5556</v>
      </c>
      <c r="E26" t="s">
        <v>5561</v>
      </c>
      <c r="F26">
        <v>1941</v>
      </c>
      <c r="G26">
        <v>0</v>
      </c>
    </row>
    <row r="27" spans="1:7" x14ac:dyDescent="0.25">
      <c r="A27">
        <v>534</v>
      </c>
      <c r="B27" t="s">
        <v>2234</v>
      </c>
      <c r="C27" t="s">
        <v>5589</v>
      </c>
      <c r="D27" t="s">
        <v>5556</v>
      </c>
      <c r="E27" t="s">
        <v>5554</v>
      </c>
      <c r="F27">
        <v>1911</v>
      </c>
      <c r="G27">
        <v>1977</v>
      </c>
    </row>
    <row r="28" spans="1:7" x14ac:dyDescent="0.25">
      <c r="A28">
        <v>556</v>
      </c>
      <c r="B28" t="s">
        <v>1505</v>
      </c>
      <c r="C28" t="s">
        <v>5590</v>
      </c>
      <c r="D28" t="s">
        <v>5582</v>
      </c>
      <c r="E28" t="s">
        <v>5561</v>
      </c>
      <c r="F28">
        <v>1898</v>
      </c>
      <c r="G28">
        <v>1933</v>
      </c>
    </row>
    <row r="29" spans="1:7" x14ac:dyDescent="0.25">
      <c r="A29">
        <v>561</v>
      </c>
      <c r="B29" t="s">
        <v>1191</v>
      </c>
      <c r="C29" t="s">
        <v>5591</v>
      </c>
      <c r="D29" t="s">
        <v>5556</v>
      </c>
      <c r="E29" t="s">
        <v>5561</v>
      </c>
      <c r="F29">
        <v>1899</v>
      </c>
      <c r="G29">
        <v>1998</v>
      </c>
    </row>
    <row r="30" spans="1:7" x14ac:dyDescent="0.25">
      <c r="A30">
        <v>617</v>
      </c>
      <c r="B30" t="s">
        <v>859</v>
      </c>
      <c r="C30" t="s">
        <v>5592</v>
      </c>
      <c r="D30" t="s">
        <v>5556</v>
      </c>
      <c r="E30" t="s">
        <v>5554</v>
      </c>
      <c r="F30">
        <v>1906</v>
      </c>
      <c r="G30">
        <v>1992</v>
      </c>
    </row>
    <row r="31" spans="1:7" x14ac:dyDescent="0.25">
      <c r="A31">
        <v>624</v>
      </c>
      <c r="B31" t="s">
        <v>810</v>
      </c>
      <c r="C31" t="s">
        <v>5593</v>
      </c>
      <c r="D31" t="s">
        <v>5580</v>
      </c>
      <c r="E31" t="s">
        <v>5554</v>
      </c>
      <c r="F31">
        <v>1882</v>
      </c>
      <c r="G31">
        <v>1916</v>
      </c>
    </row>
    <row r="32" spans="1:7" x14ac:dyDescent="0.25">
      <c r="A32">
        <v>665</v>
      </c>
      <c r="B32" t="s">
        <v>679</v>
      </c>
      <c r="C32" t="s">
        <v>5594</v>
      </c>
      <c r="D32" t="s">
        <v>5553</v>
      </c>
      <c r="E32" t="s">
        <v>5554</v>
      </c>
      <c r="F32">
        <v>1867</v>
      </c>
      <c r="G32">
        <v>1947</v>
      </c>
    </row>
    <row r="33" spans="1:7" x14ac:dyDescent="0.25">
      <c r="A33">
        <v>670</v>
      </c>
      <c r="B33" t="s">
        <v>722</v>
      </c>
      <c r="C33" t="s">
        <v>5595</v>
      </c>
      <c r="D33" t="s">
        <v>5556</v>
      </c>
      <c r="E33" t="s">
        <v>5561</v>
      </c>
      <c r="F33">
        <v>1931</v>
      </c>
      <c r="G33">
        <v>2022</v>
      </c>
    </row>
    <row r="34" spans="1:7" x14ac:dyDescent="0.25">
      <c r="A34">
        <v>710</v>
      </c>
      <c r="B34" t="s">
        <v>697</v>
      </c>
      <c r="C34" t="s">
        <v>5596</v>
      </c>
      <c r="D34" t="s">
        <v>5556</v>
      </c>
      <c r="E34" t="s">
        <v>5561</v>
      </c>
      <c r="F34">
        <v>1911</v>
      </c>
      <c r="G34">
        <v>2010</v>
      </c>
    </row>
    <row r="35" spans="1:7" x14ac:dyDescent="0.25">
      <c r="A35">
        <v>719</v>
      </c>
      <c r="B35" t="s">
        <v>2278</v>
      </c>
      <c r="C35" t="s">
        <v>5597</v>
      </c>
      <c r="D35" t="s">
        <v>5576</v>
      </c>
      <c r="E35" t="s">
        <v>5554</v>
      </c>
      <c r="F35">
        <v>1934</v>
      </c>
      <c r="G35">
        <v>0</v>
      </c>
    </row>
    <row r="36" spans="1:7" x14ac:dyDescent="0.25">
      <c r="A36">
        <v>738</v>
      </c>
      <c r="B36" t="s">
        <v>725</v>
      </c>
      <c r="C36" t="s">
        <v>5598</v>
      </c>
      <c r="D36" t="s">
        <v>5553</v>
      </c>
      <c r="E36" t="s">
        <v>5554</v>
      </c>
      <c r="F36">
        <v>1876</v>
      </c>
      <c r="G36">
        <v>1957</v>
      </c>
    </row>
    <row r="37" spans="1:7" x14ac:dyDescent="0.25">
      <c r="A37">
        <v>740</v>
      </c>
      <c r="B37" t="s">
        <v>1200</v>
      </c>
      <c r="C37" t="s">
        <v>5599</v>
      </c>
      <c r="D37" t="s">
        <v>5576</v>
      </c>
      <c r="E37" t="s">
        <v>5554</v>
      </c>
      <c r="F37">
        <v>1904</v>
      </c>
      <c r="G37">
        <v>1983</v>
      </c>
    </row>
    <row r="38" spans="1:7" x14ac:dyDescent="0.25">
      <c r="A38">
        <v>744</v>
      </c>
      <c r="B38" t="s">
        <v>581</v>
      </c>
      <c r="C38" t="s">
        <v>5600</v>
      </c>
      <c r="D38" t="s">
        <v>5553</v>
      </c>
      <c r="E38" t="s">
        <v>5554</v>
      </c>
      <c r="F38">
        <v>1882</v>
      </c>
      <c r="G38">
        <v>1963</v>
      </c>
    </row>
    <row r="39" spans="1:7" x14ac:dyDescent="0.25">
      <c r="A39">
        <v>745</v>
      </c>
      <c r="B39" t="s">
        <v>736</v>
      </c>
      <c r="C39" t="s">
        <v>5601</v>
      </c>
      <c r="D39" t="s">
        <v>5553</v>
      </c>
      <c r="E39" t="s">
        <v>5554</v>
      </c>
      <c r="F39">
        <v>1899</v>
      </c>
      <c r="G39">
        <v>1984</v>
      </c>
    </row>
    <row r="40" spans="1:7" x14ac:dyDescent="0.25">
      <c r="A40">
        <v>869</v>
      </c>
      <c r="B40" t="s">
        <v>593</v>
      </c>
      <c r="C40" t="s">
        <v>5602</v>
      </c>
      <c r="D40" t="s">
        <v>5582</v>
      </c>
      <c r="E40" t="s">
        <v>5554</v>
      </c>
      <c r="F40">
        <v>1887</v>
      </c>
      <c r="G40">
        <v>1961</v>
      </c>
    </row>
    <row r="41" spans="1:7" x14ac:dyDescent="0.25">
      <c r="A41">
        <v>870</v>
      </c>
      <c r="B41" t="s">
        <v>813</v>
      </c>
      <c r="C41" t="s">
        <v>5603</v>
      </c>
      <c r="D41" t="s">
        <v>5556</v>
      </c>
      <c r="E41" t="s">
        <v>5554</v>
      </c>
      <c r="F41">
        <v>1893</v>
      </c>
      <c r="G41">
        <v>1967</v>
      </c>
    </row>
    <row r="42" spans="1:7" x14ac:dyDescent="0.25">
      <c r="A42">
        <v>884</v>
      </c>
      <c r="B42" t="s">
        <v>1498</v>
      </c>
      <c r="C42" t="s">
        <v>5604</v>
      </c>
      <c r="D42" t="s">
        <v>5580</v>
      </c>
      <c r="E42" t="s">
        <v>5554</v>
      </c>
      <c r="F42">
        <v>1915</v>
      </c>
      <c r="G42">
        <v>1995</v>
      </c>
    </row>
    <row r="43" spans="1:7" x14ac:dyDescent="0.25">
      <c r="A43">
        <v>924</v>
      </c>
      <c r="B43" t="s">
        <v>1169</v>
      </c>
      <c r="C43" t="s">
        <v>5605</v>
      </c>
      <c r="D43" t="s">
        <v>5556</v>
      </c>
      <c r="E43" t="s">
        <v>5554</v>
      </c>
      <c r="F43">
        <v>1912</v>
      </c>
      <c r="G43">
        <v>1999</v>
      </c>
    </row>
    <row r="44" spans="1:7" x14ac:dyDescent="0.25">
      <c r="A44">
        <v>926</v>
      </c>
      <c r="B44" t="s">
        <v>1648</v>
      </c>
      <c r="C44" t="s">
        <v>5606</v>
      </c>
      <c r="D44" t="s">
        <v>5556</v>
      </c>
      <c r="E44" t="s">
        <v>5561</v>
      </c>
      <c r="F44">
        <v>1903</v>
      </c>
      <c r="G44">
        <v>1977</v>
      </c>
    </row>
    <row r="45" spans="1:7" x14ac:dyDescent="0.25">
      <c r="A45">
        <v>993</v>
      </c>
      <c r="B45" t="s">
        <v>1585</v>
      </c>
      <c r="C45" t="s">
        <v>5607</v>
      </c>
      <c r="D45" t="s">
        <v>5576</v>
      </c>
      <c r="E45" t="s">
        <v>5561</v>
      </c>
      <c r="F45">
        <v>1917</v>
      </c>
      <c r="G45">
        <v>2011</v>
      </c>
    </row>
    <row r="46" spans="1:7" x14ac:dyDescent="0.25">
      <c r="A46">
        <v>1000</v>
      </c>
      <c r="B46" t="s">
        <v>647</v>
      </c>
      <c r="C46" t="s">
        <v>5608</v>
      </c>
      <c r="D46" t="s">
        <v>5553</v>
      </c>
      <c r="E46" t="s">
        <v>5554</v>
      </c>
      <c r="F46">
        <v>1908</v>
      </c>
      <c r="G46">
        <v>2004</v>
      </c>
    </row>
    <row r="47" spans="1:7" x14ac:dyDescent="0.25">
      <c r="A47">
        <v>1016</v>
      </c>
      <c r="B47" t="s">
        <v>1895</v>
      </c>
      <c r="C47" t="s">
        <v>5609</v>
      </c>
      <c r="D47" t="s">
        <v>5556</v>
      </c>
      <c r="E47" t="s">
        <v>5561</v>
      </c>
      <c r="F47">
        <v>1844</v>
      </c>
      <c r="G47">
        <v>1926</v>
      </c>
    </row>
    <row r="48" spans="1:7" x14ac:dyDescent="0.25">
      <c r="A48">
        <v>1031</v>
      </c>
      <c r="B48" t="s">
        <v>3332</v>
      </c>
      <c r="C48" t="s">
        <v>5610</v>
      </c>
      <c r="D48" t="s">
        <v>5556</v>
      </c>
      <c r="E48" t="s">
        <v>5561</v>
      </c>
      <c r="F48">
        <v>1939</v>
      </c>
      <c r="G48">
        <v>2015</v>
      </c>
    </row>
    <row r="49" spans="1:7" x14ac:dyDescent="0.25">
      <c r="A49">
        <v>1053</v>
      </c>
      <c r="B49" t="s">
        <v>756</v>
      </c>
      <c r="C49" t="s">
        <v>5611</v>
      </c>
      <c r="D49" t="s">
        <v>5553</v>
      </c>
      <c r="E49" t="s">
        <v>5554</v>
      </c>
      <c r="F49">
        <v>1839</v>
      </c>
      <c r="G49">
        <v>1906</v>
      </c>
    </row>
    <row r="50" spans="1:7" x14ac:dyDescent="0.25">
      <c r="A50">
        <v>1055</v>
      </c>
      <c r="B50" t="s">
        <v>598</v>
      </c>
      <c r="C50" t="s">
        <v>5612</v>
      </c>
      <c r="D50" t="s">
        <v>5553</v>
      </c>
      <c r="E50" t="s">
        <v>5554</v>
      </c>
      <c r="F50">
        <v>1887</v>
      </c>
      <c r="G50">
        <v>1985</v>
      </c>
    </row>
    <row r="51" spans="1:7" x14ac:dyDescent="0.25">
      <c r="A51">
        <v>1060</v>
      </c>
      <c r="B51" t="s">
        <v>701</v>
      </c>
      <c r="C51" t="s">
        <v>5613</v>
      </c>
      <c r="D51" t="s">
        <v>5556</v>
      </c>
      <c r="E51" t="s">
        <v>5554</v>
      </c>
      <c r="F51">
        <v>1927</v>
      </c>
      <c r="G51">
        <v>2011</v>
      </c>
    </row>
    <row r="52" spans="1:7" x14ac:dyDescent="0.25">
      <c r="A52">
        <v>1074</v>
      </c>
      <c r="B52" t="s">
        <v>711</v>
      </c>
      <c r="C52" t="s">
        <v>5614</v>
      </c>
      <c r="D52" t="s">
        <v>5556</v>
      </c>
      <c r="E52" t="s">
        <v>5554</v>
      </c>
      <c r="F52">
        <v>1898</v>
      </c>
      <c r="G52">
        <v>1979</v>
      </c>
    </row>
    <row r="53" spans="1:7" x14ac:dyDescent="0.25">
      <c r="A53">
        <v>1099</v>
      </c>
      <c r="B53" t="s">
        <v>1891</v>
      </c>
      <c r="C53" t="s">
        <v>5615</v>
      </c>
      <c r="D53" t="s">
        <v>5556</v>
      </c>
      <c r="E53" t="s">
        <v>5561</v>
      </c>
      <c r="F53">
        <v>1937</v>
      </c>
      <c r="G53">
        <v>0</v>
      </c>
    </row>
    <row r="54" spans="1:7" x14ac:dyDescent="0.25">
      <c r="A54">
        <v>1106</v>
      </c>
      <c r="B54" t="s">
        <v>687</v>
      </c>
      <c r="C54" t="s">
        <v>5616</v>
      </c>
      <c r="D54" t="s">
        <v>5580</v>
      </c>
      <c r="E54" t="s">
        <v>5554</v>
      </c>
      <c r="F54">
        <v>1888</v>
      </c>
      <c r="G54">
        <v>1978</v>
      </c>
    </row>
    <row r="55" spans="1:7" x14ac:dyDescent="0.25">
      <c r="A55">
        <v>1182</v>
      </c>
      <c r="B55" t="s">
        <v>1900</v>
      </c>
      <c r="C55" t="s">
        <v>5617</v>
      </c>
      <c r="D55" t="s">
        <v>5556</v>
      </c>
      <c r="E55" t="s">
        <v>5554</v>
      </c>
      <c r="F55">
        <v>1887</v>
      </c>
      <c r="G55">
        <v>1932</v>
      </c>
    </row>
    <row r="56" spans="1:7" x14ac:dyDescent="0.25">
      <c r="A56">
        <v>1183</v>
      </c>
      <c r="B56" t="s">
        <v>2179</v>
      </c>
      <c r="C56" t="s">
        <v>5618</v>
      </c>
      <c r="D56" t="s">
        <v>5556</v>
      </c>
      <c r="E56" t="s">
        <v>5554</v>
      </c>
      <c r="F56">
        <v>1925</v>
      </c>
      <c r="G56">
        <v>2009</v>
      </c>
    </row>
    <row r="57" spans="1:7" x14ac:dyDescent="0.25">
      <c r="A57">
        <v>1214</v>
      </c>
      <c r="B57" t="s">
        <v>1536</v>
      </c>
      <c r="C57" t="s">
        <v>5619</v>
      </c>
      <c r="D57" t="s">
        <v>5556</v>
      </c>
      <c r="E57" t="s">
        <v>5554</v>
      </c>
      <c r="F57">
        <v>1898</v>
      </c>
      <c r="G57">
        <v>1961</v>
      </c>
    </row>
    <row r="58" spans="1:7" x14ac:dyDescent="0.25">
      <c r="A58">
        <v>1215</v>
      </c>
      <c r="B58" t="s">
        <v>750</v>
      </c>
      <c r="C58" t="s">
        <v>5620</v>
      </c>
      <c r="D58" t="s">
        <v>5556</v>
      </c>
      <c r="E58" t="s">
        <v>5554</v>
      </c>
      <c r="F58">
        <v>1933</v>
      </c>
      <c r="G58">
        <v>2008</v>
      </c>
    </row>
    <row r="59" spans="1:7" x14ac:dyDescent="0.25">
      <c r="A59">
        <v>1243</v>
      </c>
      <c r="B59" t="s">
        <v>676</v>
      </c>
      <c r="C59" t="s">
        <v>5621</v>
      </c>
      <c r="D59" t="s">
        <v>5582</v>
      </c>
      <c r="E59" t="s">
        <v>5554</v>
      </c>
      <c r="F59">
        <v>1858</v>
      </c>
      <c r="G59">
        <v>1925</v>
      </c>
    </row>
    <row r="60" spans="1:7" x14ac:dyDescent="0.25">
      <c r="A60">
        <v>1247</v>
      </c>
      <c r="B60" t="s">
        <v>1037</v>
      </c>
      <c r="C60" t="s">
        <v>5622</v>
      </c>
      <c r="D60" t="s">
        <v>5556</v>
      </c>
      <c r="E60" t="s">
        <v>5554</v>
      </c>
      <c r="F60">
        <v>1903</v>
      </c>
      <c r="G60">
        <v>1972</v>
      </c>
    </row>
    <row r="61" spans="1:7" x14ac:dyDescent="0.25">
      <c r="A61">
        <v>1249</v>
      </c>
      <c r="B61" t="s">
        <v>102</v>
      </c>
      <c r="C61" t="s">
        <v>5623</v>
      </c>
      <c r="D61" t="s">
        <v>5556</v>
      </c>
      <c r="F61">
        <v>1851</v>
      </c>
      <c r="G61">
        <v>0</v>
      </c>
    </row>
    <row r="62" spans="1:7" x14ac:dyDescent="0.25">
      <c r="A62">
        <v>1300</v>
      </c>
      <c r="B62" t="s">
        <v>719</v>
      </c>
      <c r="C62" t="s">
        <v>5624</v>
      </c>
      <c r="D62" t="s">
        <v>5556</v>
      </c>
      <c r="E62" t="s">
        <v>5554</v>
      </c>
      <c r="F62">
        <v>1926</v>
      </c>
      <c r="G62">
        <v>2005</v>
      </c>
    </row>
    <row r="63" spans="1:7" x14ac:dyDescent="0.25">
      <c r="A63">
        <v>1330</v>
      </c>
      <c r="B63" t="s">
        <v>1170</v>
      </c>
      <c r="C63" t="s">
        <v>5625</v>
      </c>
      <c r="D63" t="s">
        <v>5556</v>
      </c>
      <c r="E63" t="s">
        <v>5554</v>
      </c>
      <c r="F63">
        <v>1943</v>
      </c>
      <c r="G63">
        <v>2021</v>
      </c>
    </row>
    <row r="64" spans="1:7" x14ac:dyDescent="0.25">
      <c r="A64">
        <v>1332</v>
      </c>
      <c r="B64" t="s">
        <v>631</v>
      </c>
      <c r="C64" t="s">
        <v>5626</v>
      </c>
      <c r="D64" t="s">
        <v>5556</v>
      </c>
      <c r="E64" t="s">
        <v>5561</v>
      </c>
      <c r="F64">
        <v>1883</v>
      </c>
      <c r="G64">
        <v>1976</v>
      </c>
    </row>
    <row r="65" spans="1:7" x14ac:dyDescent="0.25">
      <c r="A65">
        <v>1364</v>
      </c>
      <c r="B65" t="s">
        <v>742</v>
      </c>
      <c r="C65" t="s">
        <v>5627</v>
      </c>
      <c r="D65" t="s">
        <v>5628</v>
      </c>
      <c r="E65" t="s">
        <v>5554</v>
      </c>
      <c r="F65">
        <v>1904</v>
      </c>
      <c r="G65">
        <v>1989</v>
      </c>
    </row>
    <row r="66" spans="1:7" x14ac:dyDescent="0.25">
      <c r="A66">
        <v>1391</v>
      </c>
      <c r="B66" t="s">
        <v>820</v>
      </c>
      <c r="C66" t="s">
        <v>5629</v>
      </c>
      <c r="D66" t="s">
        <v>5630</v>
      </c>
      <c r="E66" t="s">
        <v>5554</v>
      </c>
      <c r="F66">
        <v>1908</v>
      </c>
      <c r="G66">
        <v>1991</v>
      </c>
    </row>
    <row r="67" spans="1:7" x14ac:dyDescent="0.25">
      <c r="A67">
        <v>1402</v>
      </c>
      <c r="B67" t="s">
        <v>858</v>
      </c>
      <c r="C67" t="s">
        <v>5631</v>
      </c>
      <c r="D67" t="s">
        <v>5556</v>
      </c>
      <c r="E67" t="s">
        <v>5554</v>
      </c>
      <c r="F67">
        <v>1862</v>
      </c>
      <c r="G67">
        <v>1928</v>
      </c>
    </row>
    <row r="68" spans="1:7" x14ac:dyDescent="0.25">
      <c r="A68">
        <v>1422</v>
      </c>
      <c r="B68" t="s">
        <v>1194</v>
      </c>
      <c r="C68" t="s">
        <v>5632</v>
      </c>
      <c r="D68" t="s">
        <v>5556</v>
      </c>
      <c r="E68" t="s">
        <v>5554</v>
      </c>
      <c r="F68">
        <v>1919</v>
      </c>
      <c r="G68">
        <v>2009</v>
      </c>
    </row>
    <row r="69" spans="1:7" x14ac:dyDescent="0.25">
      <c r="A69">
        <v>1438</v>
      </c>
      <c r="B69" t="s">
        <v>5633</v>
      </c>
      <c r="C69" t="s">
        <v>5634</v>
      </c>
      <c r="D69" t="s">
        <v>5580</v>
      </c>
      <c r="E69" t="s">
        <v>5554</v>
      </c>
      <c r="F69">
        <v>1932</v>
      </c>
      <c r="G69">
        <v>1991</v>
      </c>
    </row>
    <row r="70" spans="1:7" x14ac:dyDescent="0.25">
      <c r="A70">
        <v>1444</v>
      </c>
      <c r="B70" t="s">
        <v>715</v>
      </c>
      <c r="C70" t="s">
        <v>5635</v>
      </c>
      <c r="D70" t="s">
        <v>5553</v>
      </c>
      <c r="E70" t="s">
        <v>5561</v>
      </c>
      <c r="F70">
        <v>1930</v>
      </c>
      <c r="G70">
        <v>2002</v>
      </c>
    </row>
    <row r="71" spans="1:7" x14ac:dyDescent="0.25">
      <c r="A71">
        <v>1467</v>
      </c>
      <c r="B71" t="s">
        <v>829</v>
      </c>
      <c r="C71" t="s">
        <v>5636</v>
      </c>
      <c r="D71" t="s">
        <v>5556</v>
      </c>
      <c r="E71" t="s">
        <v>5561</v>
      </c>
      <c r="F71">
        <v>1901</v>
      </c>
      <c r="G71">
        <v>1994</v>
      </c>
    </row>
    <row r="72" spans="1:7" x14ac:dyDescent="0.25">
      <c r="A72">
        <v>1475</v>
      </c>
      <c r="B72" t="s">
        <v>1270</v>
      </c>
      <c r="C72" t="s">
        <v>5637</v>
      </c>
      <c r="D72" t="s">
        <v>5556</v>
      </c>
      <c r="E72" t="s">
        <v>5554</v>
      </c>
      <c r="F72">
        <v>1914</v>
      </c>
      <c r="G72">
        <v>1997</v>
      </c>
    </row>
    <row r="73" spans="1:7" x14ac:dyDescent="0.25">
      <c r="A73">
        <v>1479</v>
      </c>
      <c r="B73" t="s">
        <v>652</v>
      </c>
      <c r="C73" t="s">
        <v>5638</v>
      </c>
      <c r="D73" t="s">
        <v>5553</v>
      </c>
      <c r="E73" t="s">
        <v>5554</v>
      </c>
      <c r="F73">
        <v>1885</v>
      </c>
      <c r="G73">
        <v>1941</v>
      </c>
    </row>
    <row r="74" spans="1:7" x14ac:dyDescent="0.25">
      <c r="A74">
        <v>1547</v>
      </c>
      <c r="B74" t="s">
        <v>648</v>
      </c>
      <c r="C74" t="s">
        <v>5639</v>
      </c>
      <c r="D74" t="s">
        <v>5556</v>
      </c>
      <c r="E74" t="s">
        <v>5554</v>
      </c>
      <c r="F74">
        <v>1935</v>
      </c>
      <c r="G74">
        <v>0</v>
      </c>
    </row>
    <row r="75" spans="1:7" x14ac:dyDescent="0.25">
      <c r="A75">
        <v>1559</v>
      </c>
      <c r="B75" t="s">
        <v>822</v>
      </c>
      <c r="C75" t="s">
        <v>5640</v>
      </c>
      <c r="D75" t="s">
        <v>5582</v>
      </c>
      <c r="E75" t="s">
        <v>5554</v>
      </c>
      <c r="F75">
        <v>1891</v>
      </c>
      <c r="G75">
        <v>1969</v>
      </c>
    </row>
    <row r="76" spans="1:7" x14ac:dyDescent="0.25">
      <c r="A76">
        <v>1594</v>
      </c>
      <c r="B76" t="s">
        <v>1271</v>
      </c>
      <c r="C76" t="s">
        <v>5641</v>
      </c>
      <c r="D76" t="s">
        <v>5556</v>
      </c>
      <c r="E76" t="s">
        <v>5561</v>
      </c>
      <c r="F76">
        <v>1893</v>
      </c>
      <c r="G76">
        <v>1988</v>
      </c>
    </row>
    <row r="77" spans="1:7" x14ac:dyDescent="0.25">
      <c r="A77">
        <v>1602</v>
      </c>
      <c r="B77" t="s">
        <v>862</v>
      </c>
      <c r="C77" t="s">
        <v>5642</v>
      </c>
      <c r="D77" t="s">
        <v>5556</v>
      </c>
      <c r="E77" t="s">
        <v>5554</v>
      </c>
      <c r="F77">
        <v>1880</v>
      </c>
      <c r="G77">
        <v>1946</v>
      </c>
    </row>
    <row r="78" spans="1:7" x14ac:dyDescent="0.25">
      <c r="A78">
        <v>1634</v>
      </c>
      <c r="B78" t="s">
        <v>600</v>
      </c>
      <c r="C78" t="s">
        <v>5643</v>
      </c>
      <c r="D78" t="s">
        <v>5556</v>
      </c>
      <c r="E78" t="s">
        <v>5554</v>
      </c>
      <c r="F78">
        <v>1887</v>
      </c>
      <c r="G78">
        <v>1968</v>
      </c>
    </row>
    <row r="79" spans="1:7" x14ac:dyDescent="0.25">
      <c r="A79">
        <v>1671</v>
      </c>
      <c r="B79" t="s">
        <v>152</v>
      </c>
      <c r="C79" t="s">
        <v>5644</v>
      </c>
      <c r="D79" t="s">
        <v>5556</v>
      </c>
      <c r="E79" t="s">
        <v>5554</v>
      </c>
      <c r="F79">
        <v>1907</v>
      </c>
      <c r="G79">
        <v>1978</v>
      </c>
    </row>
    <row r="80" spans="1:7" x14ac:dyDescent="0.25">
      <c r="A80">
        <v>1672</v>
      </c>
      <c r="B80" t="s">
        <v>1867</v>
      </c>
      <c r="C80" t="s">
        <v>5645</v>
      </c>
      <c r="D80" t="s">
        <v>5556</v>
      </c>
      <c r="E80" t="s">
        <v>5561</v>
      </c>
      <c r="F80">
        <v>1912</v>
      </c>
      <c r="G80">
        <v>1988</v>
      </c>
    </row>
    <row r="81" spans="1:7" x14ac:dyDescent="0.25">
      <c r="A81">
        <v>1685</v>
      </c>
      <c r="B81" t="s">
        <v>1050</v>
      </c>
      <c r="C81" t="s">
        <v>5615</v>
      </c>
      <c r="D81" t="s">
        <v>5556</v>
      </c>
      <c r="E81" t="s">
        <v>5554</v>
      </c>
      <c r="F81">
        <v>1937</v>
      </c>
      <c r="G81">
        <v>0</v>
      </c>
    </row>
    <row r="82" spans="1:7" x14ac:dyDescent="0.25">
      <c r="A82">
        <v>1744</v>
      </c>
      <c r="B82" t="s">
        <v>1014</v>
      </c>
      <c r="C82" t="s">
        <v>5646</v>
      </c>
      <c r="D82" t="s">
        <v>5582</v>
      </c>
      <c r="E82" t="s">
        <v>5554</v>
      </c>
      <c r="F82">
        <v>1874</v>
      </c>
      <c r="G82">
        <v>1948</v>
      </c>
    </row>
    <row r="83" spans="1:7" x14ac:dyDescent="0.25">
      <c r="A83">
        <v>1752</v>
      </c>
      <c r="B83" t="s">
        <v>601</v>
      </c>
      <c r="C83" t="s">
        <v>5647</v>
      </c>
      <c r="D83" t="s">
        <v>5553</v>
      </c>
      <c r="E83" t="s">
        <v>5554</v>
      </c>
      <c r="F83">
        <v>1891</v>
      </c>
      <c r="G83">
        <v>1976</v>
      </c>
    </row>
    <row r="84" spans="1:7" x14ac:dyDescent="0.25">
      <c r="A84">
        <v>1753</v>
      </c>
      <c r="B84" t="s">
        <v>2280</v>
      </c>
      <c r="C84" t="s">
        <v>5648</v>
      </c>
      <c r="D84" t="s">
        <v>5649</v>
      </c>
      <c r="E84" t="s">
        <v>5554</v>
      </c>
      <c r="F84">
        <v>1932</v>
      </c>
      <c r="G84">
        <v>1999</v>
      </c>
    </row>
    <row r="85" spans="1:7" x14ac:dyDescent="0.25">
      <c r="A85">
        <v>1754</v>
      </c>
      <c r="B85" t="s">
        <v>768</v>
      </c>
      <c r="C85" t="s">
        <v>5650</v>
      </c>
      <c r="D85" t="s">
        <v>5651</v>
      </c>
      <c r="E85" t="s">
        <v>5554</v>
      </c>
      <c r="F85">
        <v>1932</v>
      </c>
      <c r="G85">
        <v>0</v>
      </c>
    </row>
    <row r="86" spans="1:7" x14ac:dyDescent="0.25">
      <c r="A86">
        <v>1764</v>
      </c>
      <c r="B86" t="s">
        <v>1686</v>
      </c>
      <c r="C86" t="s">
        <v>5652</v>
      </c>
      <c r="D86" t="s">
        <v>5556</v>
      </c>
      <c r="E86" t="s">
        <v>5554</v>
      </c>
      <c r="F86">
        <v>1932</v>
      </c>
      <c r="G86">
        <v>0</v>
      </c>
    </row>
    <row r="87" spans="1:7" x14ac:dyDescent="0.25">
      <c r="A87">
        <v>1777</v>
      </c>
      <c r="B87" t="s">
        <v>1173</v>
      </c>
      <c r="C87" t="s">
        <v>5653</v>
      </c>
      <c r="D87" t="s">
        <v>5556</v>
      </c>
      <c r="E87" t="s">
        <v>5554</v>
      </c>
      <c r="F87">
        <v>1903</v>
      </c>
      <c r="G87">
        <v>1975</v>
      </c>
    </row>
    <row r="88" spans="1:7" x14ac:dyDescent="0.25">
      <c r="A88">
        <v>1784</v>
      </c>
      <c r="B88" t="s">
        <v>759</v>
      </c>
      <c r="C88" t="s">
        <v>5654</v>
      </c>
      <c r="D88" t="s">
        <v>5655</v>
      </c>
      <c r="E88" t="s">
        <v>5561</v>
      </c>
      <c r="F88">
        <v>1882</v>
      </c>
      <c r="G88">
        <v>1949</v>
      </c>
    </row>
    <row r="89" spans="1:7" x14ac:dyDescent="0.25">
      <c r="A89">
        <v>1790</v>
      </c>
      <c r="B89" t="s">
        <v>770</v>
      </c>
      <c r="C89" t="s">
        <v>5656</v>
      </c>
      <c r="D89" t="s">
        <v>5657</v>
      </c>
      <c r="E89" t="s">
        <v>5554</v>
      </c>
      <c r="F89">
        <v>1928</v>
      </c>
      <c r="G89">
        <v>1976</v>
      </c>
    </row>
    <row r="90" spans="1:7" x14ac:dyDescent="0.25">
      <c r="A90">
        <v>1833</v>
      </c>
      <c r="B90" t="s">
        <v>1239</v>
      </c>
      <c r="C90" t="s">
        <v>5658</v>
      </c>
      <c r="D90" t="s">
        <v>5556</v>
      </c>
      <c r="E90" t="s">
        <v>5554</v>
      </c>
      <c r="F90">
        <v>1910</v>
      </c>
      <c r="G90">
        <v>2011</v>
      </c>
    </row>
    <row r="91" spans="1:7" x14ac:dyDescent="0.25">
      <c r="A91">
        <v>1911</v>
      </c>
      <c r="B91" t="s">
        <v>1045</v>
      </c>
      <c r="C91" t="s">
        <v>5659</v>
      </c>
      <c r="D91" t="s">
        <v>5556</v>
      </c>
      <c r="E91" t="s">
        <v>5554</v>
      </c>
      <c r="F91">
        <v>1933</v>
      </c>
      <c r="G91">
        <v>1996</v>
      </c>
    </row>
    <row r="92" spans="1:7" x14ac:dyDescent="0.25">
      <c r="A92">
        <v>1930</v>
      </c>
      <c r="B92" t="s">
        <v>637</v>
      </c>
      <c r="C92" t="s">
        <v>5660</v>
      </c>
      <c r="D92" t="s">
        <v>5580</v>
      </c>
      <c r="E92" t="s">
        <v>5554</v>
      </c>
      <c r="F92">
        <v>1899</v>
      </c>
      <c r="G92">
        <v>1968</v>
      </c>
    </row>
    <row r="93" spans="1:7" x14ac:dyDescent="0.25">
      <c r="A93">
        <v>1968</v>
      </c>
      <c r="B93" t="s">
        <v>96</v>
      </c>
      <c r="C93" t="s">
        <v>5661</v>
      </c>
      <c r="D93" t="s">
        <v>5558</v>
      </c>
      <c r="E93" t="s">
        <v>5554</v>
      </c>
      <c r="F93">
        <v>1911</v>
      </c>
      <c r="G93">
        <v>1989</v>
      </c>
    </row>
    <row r="94" spans="1:7" x14ac:dyDescent="0.25">
      <c r="A94">
        <v>1973</v>
      </c>
      <c r="B94" t="s">
        <v>1207</v>
      </c>
      <c r="C94" t="s">
        <v>5662</v>
      </c>
      <c r="D94" t="s">
        <v>5556</v>
      </c>
      <c r="E94" t="s">
        <v>5554</v>
      </c>
      <c r="F94">
        <v>1924</v>
      </c>
      <c r="G94">
        <v>2019</v>
      </c>
    </row>
    <row r="95" spans="1:7" x14ac:dyDescent="0.25">
      <c r="A95">
        <v>1993</v>
      </c>
      <c r="B95" t="s">
        <v>864</v>
      </c>
      <c r="C95" t="s">
        <v>5663</v>
      </c>
      <c r="D95" t="s">
        <v>5576</v>
      </c>
      <c r="E95" t="s">
        <v>5554</v>
      </c>
      <c r="F95">
        <v>1922</v>
      </c>
      <c r="G95">
        <v>2011</v>
      </c>
    </row>
    <row r="96" spans="1:7" x14ac:dyDescent="0.25">
      <c r="A96">
        <v>2098</v>
      </c>
      <c r="B96" t="s">
        <v>1109</v>
      </c>
      <c r="C96" t="s">
        <v>5664</v>
      </c>
      <c r="D96" t="s">
        <v>5553</v>
      </c>
      <c r="E96" t="s">
        <v>5554</v>
      </c>
      <c r="F96">
        <v>1848</v>
      </c>
      <c r="G96">
        <v>1903</v>
      </c>
    </row>
    <row r="97" spans="1:7" x14ac:dyDescent="0.25">
      <c r="A97">
        <v>2141</v>
      </c>
      <c r="B97" t="s">
        <v>580</v>
      </c>
      <c r="C97" t="s">
        <v>5665</v>
      </c>
      <c r="D97" t="s">
        <v>5666</v>
      </c>
      <c r="E97" t="s">
        <v>5554</v>
      </c>
      <c r="F97">
        <v>1901</v>
      </c>
      <c r="G97">
        <v>1966</v>
      </c>
    </row>
    <row r="98" spans="1:7" x14ac:dyDescent="0.25">
      <c r="A98">
        <v>2161</v>
      </c>
      <c r="B98" t="s">
        <v>1084</v>
      </c>
      <c r="C98" t="s">
        <v>5667</v>
      </c>
      <c r="D98" t="s">
        <v>5556</v>
      </c>
      <c r="E98" t="s">
        <v>5554</v>
      </c>
      <c r="F98">
        <v>1933</v>
      </c>
      <c r="G98">
        <v>2022</v>
      </c>
    </row>
    <row r="99" spans="1:7" x14ac:dyDescent="0.25">
      <c r="A99">
        <v>2167</v>
      </c>
      <c r="B99" t="s">
        <v>721</v>
      </c>
      <c r="C99" t="s">
        <v>5668</v>
      </c>
      <c r="D99" t="s">
        <v>5556</v>
      </c>
      <c r="E99" t="s">
        <v>5554</v>
      </c>
      <c r="F99">
        <v>1926</v>
      </c>
      <c r="G99">
        <v>1997</v>
      </c>
    </row>
    <row r="100" spans="1:7" x14ac:dyDescent="0.25">
      <c r="A100">
        <v>2171</v>
      </c>
      <c r="B100" t="s">
        <v>1866</v>
      </c>
      <c r="C100" t="s">
        <v>5669</v>
      </c>
      <c r="D100" t="s">
        <v>5556</v>
      </c>
      <c r="E100" t="s">
        <v>5554</v>
      </c>
      <c r="F100">
        <v>1936</v>
      </c>
      <c r="G100">
        <v>2019</v>
      </c>
    </row>
    <row r="101" spans="1:7" x14ac:dyDescent="0.25">
      <c r="A101">
        <v>2177</v>
      </c>
      <c r="B101" t="s">
        <v>771</v>
      </c>
      <c r="C101" t="s">
        <v>5670</v>
      </c>
      <c r="D101" t="s">
        <v>5671</v>
      </c>
      <c r="E101" t="s">
        <v>5554</v>
      </c>
      <c r="F101">
        <v>1929</v>
      </c>
      <c r="G101">
        <v>1999</v>
      </c>
    </row>
    <row r="102" spans="1:7" x14ac:dyDescent="0.25">
      <c r="A102">
        <v>2191</v>
      </c>
      <c r="B102" t="s">
        <v>705</v>
      </c>
      <c r="C102" t="s">
        <v>5672</v>
      </c>
      <c r="D102" t="s">
        <v>5553</v>
      </c>
      <c r="E102" t="s">
        <v>5554</v>
      </c>
      <c r="F102">
        <v>1881</v>
      </c>
      <c r="G102">
        <v>1953</v>
      </c>
    </row>
    <row r="103" spans="1:7" x14ac:dyDescent="0.25">
      <c r="A103">
        <v>2206</v>
      </c>
      <c r="B103" t="s">
        <v>1746</v>
      </c>
      <c r="C103" t="s">
        <v>5673</v>
      </c>
      <c r="D103" t="s">
        <v>5567</v>
      </c>
      <c r="E103" t="s">
        <v>5554</v>
      </c>
      <c r="F103">
        <v>1853</v>
      </c>
      <c r="G103">
        <v>1890</v>
      </c>
    </row>
    <row r="104" spans="1:7" x14ac:dyDescent="0.25">
      <c r="A104">
        <v>2207</v>
      </c>
      <c r="B104" t="s">
        <v>1274</v>
      </c>
      <c r="C104" t="s">
        <v>5674</v>
      </c>
      <c r="D104" t="s">
        <v>5556</v>
      </c>
      <c r="E104" t="s">
        <v>5554</v>
      </c>
      <c r="F104">
        <v>1942</v>
      </c>
      <c r="G104">
        <v>0</v>
      </c>
    </row>
    <row r="105" spans="1:7" x14ac:dyDescent="0.25">
      <c r="A105">
        <v>2217</v>
      </c>
      <c r="B105" t="s">
        <v>1758</v>
      </c>
      <c r="C105" t="s">
        <v>5675</v>
      </c>
      <c r="D105" t="s">
        <v>5556</v>
      </c>
      <c r="E105" t="s">
        <v>5561</v>
      </c>
      <c r="F105">
        <v>1925</v>
      </c>
      <c r="G105">
        <v>1980</v>
      </c>
    </row>
    <row r="106" spans="1:7" x14ac:dyDescent="0.25">
      <c r="A106">
        <v>2229</v>
      </c>
      <c r="B106" t="s">
        <v>680</v>
      </c>
      <c r="C106" t="s">
        <v>5676</v>
      </c>
      <c r="D106" t="s">
        <v>5655</v>
      </c>
      <c r="E106" t="s">
        <v>5561</v>
      </c>
      <c r="F106">
        <v>1881</v>
      </c>
      <c r="G106">
        <v>1962</v>
      </c>
    </row>
    <row r="107" spans="1:7" x14ac:dyDescent="0.25">
      <c r="A107">
        <v>2231</v>
      </c>
      <c r="B107" t="s">
        <v>688</v>
      </c>
      <c r="C107" t="s">
        <v>5677</v>
      </c>
      <c r="D107" t="s">
        <v>5628</v>
      </c>
      <c r="E107" t="s">
        <v>5554</v>
      </c>
      <c r="F107">
        <v>1876</v>
      </c>
      <c r="G107">
        <v>1942</v>
      </c>
    </row>
    <row r="108" spans="1:7" x14ac:dyDescent="0.25">
      <c r="A108">
        <v>2252</v>
      </c>
      <c r="B108" t="s">
        <v>283</v>
      </c>
      <c r="C108" t="s">
        <v>5678</v>
      </c>
      <c r="D108" t="s">
        <v>5556</v>
      </c>
      <c r="E108" t="s">
        <v>5554</v>
      </c>
      <c r="F108">
        <v>1904</v>
      </c>
      <c r="G108">
        <v>1948</v>
      </c>
    </row>
    <row r="109" spans="1:7" x14ac:dyDescent="0.25">
      <c r="A109">
        <v>2310</v>
      </c>
      <c r="B109" t="s">
        <v>910</v>
      </c>
      <c r="C109" t="s">
        <v>5679</v>
      </c>
      <c r="D109" t="s">
        <v>5556</v>
      </c>
      <c r="E109" t="s">
        <v>5561</v>
      </c>
      <c r="F109">
        <v>1940</v>
      </c>
      <c r="G109">
        <v>1995</v>
      </c>
    </row>
    <row r="110" spans="1:7" x14ac:dyDescent="0.25">
      <c r="A110">
        <v>2313</v>
      </c>
      <c r="B110" t="s">
        <v>495</v>
      </c>
      <c r="C110" t="s">
        <v>5680</v>
      </c>
      <c r="D110" t="s">
        <v>5576</v>
      </c>
      <c r="E110" t="s">
        <v>5561</v>
      </c>
      <c r="F110">
        <v>1879</v>
      </c>
      <c r="G110">
        <v>1976</v>
      </c>
    </row>
    <row r="111" spans="1:7" x14ac:dyDescent="0.25">
      <c r="A111">
        <v>2330</v>
      </c>
      <c r="B111" t="s">
        <v>587</v>
      </c>
      <c r="C111" t="s">
        <v>5681</v>
      </c>
      <c r="D111" t="s">
        <v>5556</v>
      </c>
      <c r="E111" t="s">
        <v>5561</v>
      </c>
      <c r="F111">
        <v>1948</v>
      </c>
      <c r="G111">
        <v>0</v>
      </c>
    </row>
    <row r="112" spans="1:7" x14ac:dyDescent="0.25">
      <c r="A112">
        <v>2349</v>
      </c>
      <c r="B112" t="s">
        <v>735</v>
      </c>
      <c r="C112" t="s">
        <v>5682</v>
      </c>
      <c r="D112" t="s">
        <v>5628</v>
      </c>
      <c r="E112" t="s">
        <v>5554</v>
      </c>
      <c r="F112">
        <v>1887</v>
      </c>
      <c r="G112">
        <v>1927</v>
      </c>
    </row>
    <row r="113" spans="1:7" x14ac:dyDescent="0.25">
      <c r="A113">
        <v>2374</v>
      </c>
      <c r="B113" t="s">
        <v>672</v>
      </c>
      <c r="C113" t="s">
        <v>5683</v>
      </c>
      <c r="D113" t="s">
        <v>5556</v>
      </c>
      <c r="E113" t="s">
        <v>5554</v>
      </c>
      <c r="F113">
        <v>1893</v>
      </c>
      <c r="G113">
        <v>1959</v>
      </c>
    </row>
    <row r="114" spans="1:7" x14ac:dyDescent="0.25">
      <c r="A114">
        <v>2402</v>
      </c>
      <c r="B114" t="s">
        <v>164</v>
      </c>
      <c r="C114" t="s">
        <v>5684</v>
      </c>
      <c r="D114" t="s">
        <v>5556</v>
      </c>
      <c r="E114" t="s">
        <v>5554</v>
      </c>
      <c r="F114">
        <v>1898</v>
      </c>
      <c r="G114">
        <v>1986</v>
      </c>
    </row>
    <row r="115" spans="1:7" x14ac:dyDescent="0.25">
      <c r="A115">
        <v>2407</v>
      </c>
      <c r="B115" t="s">
        <v>187</v>
      </c>
      <c r="C115" t="s">
        <v>5685</v>
      </c>
      <c r="D115" t="s">
        <v>5553</v>
      </c>
      <c r="E115" t="s">
        <v>5554</v>
      </c>
      <c r="F115">
        <v>1867</v>
      </c>
      <c r="G115">
        <v>1942</v>
      </c>
    </row>
    <row r="116" spans="1:7" x14ac:dyDescent="0.25">
      <c r="A116">
        <v>2419</v>
      </c>
      <c r="B116" t="s">
        <v>717</v>
      </c>
      <c r="C116" t="s">
        <v>5686</v>
      </c>
      <c r="D116" t="s">
        <v>5556</v>
      </c>
      <c r="E116" t="s">
        <v>5554</v>
      </c>
      <c r="F116">
        <v>1913</v>
      </c>
      <c r="G116">
        <v>1980</v>
      </c>
    </row>
    <row r="117" spans="1:7" x14ac:dyDescent="0.25">
      <c r="A117">
        <v>2427</v>
      </c>
      <c r="B117" t="s">
        <v>1007</v>
      </c>
      <c r="C117" t="s">
        <v>5687</v>
      </c>
      <c r="D117" t="s">
        <v>5556</v>
      </c>
      <c r="E117" t="s">
        <v>5554</v>
      </c>
      <c r="F117">
        <v>1916</v>
      </c>
      <c r="G117">
        <v>1986</v>
      </c>
    </row>
    <row r="118" spans="1:7" x14ac:dyDescent="0.25">
      <c r="A118">
        <v>2455</v>
      </c>
      <c r="B118" t="s">
        <v>1747</v>
      </c>
      <c r="C118" t="s">
        <v>5688</v>
      </c>
      <c r="D118" t="s">
        <v>5553</v>
      </c>
      <c r="E118" t="s">
        <v>5554</v>
      </c>
      <c r="F118">
        <v>1926</v>
      </c>
      <c r="G118">
        <v>2005</v>
      </c>
    </row>
    <row r="119" spans="1:7" x14ac:dyDescent="0.25">
      <c r="A119">
        <v>2471</v>
      </c>
      <c r="B119" t="s">
        <v>1632</v>
      </c>
      <c r="C119" t="s">
        <v>5689</v>
      </c>
      <c r="D119" t="s">
        <v>5690</v>
      </c>
      <c r="E119" t="s">
        <v>5554</v>
      </c>
      <c r="F119">
        <v>1917</v>
      </c>
      <c r="G119">
        <v>2018</v>
      </c>
    </row>
    <row r="120" spans="1:7" x14ac:dyDescent="0.25">
      <c r="A120">
        <v>2486</v>
      </c>
      <c r="B120" t="s">
        <v>958</v>
      </c>
      <c r="C120" t="s">
        <v>5691</v>
      </c>
      <c r="D120" t="s">
        <v>5556</v>
      </c>
      <c r="E120" t="s">
        <v>5554</v>
      </c>
      <c r="F120">
        <v>1943</v>
      </c>
      <c r="G120">
        <v>0</v>
      </c>
    </row>
    <row r="121" spans="1:7" x14ac:dyDescent="0.25">
      <c r="A121">
        <v>2507</v>
      </c>
      <c r="B121" t="s">
        <v>655</v>
      </c>
      <c r="C121" t="s">
        <v>5692</v>
      </c>
      <c r="D121" t="s">
        <v>5693</v>
      </c>
      <c r="E121" t="s">
        <v>5554</v>
      </c>
      <c r="F121">
        <v>1873</v>
      </c>
      <c r="G121">
        <v>1948</v>
      </c>
    </row>
    <row r="122" spans="1:7" x14ac:dyDescent="0.25">
      <c r="A122">
        <v>2521</v>
      </c>
      <c r="B122" t="s">
        <v>903</v>
      </c>
      <c r="C122" t="s">
        <v>5694</v>
      </c>
      <c r="D122" t="s">
        <v>5556</v>
      </c>
      <c r="E122" t="s">
        <v>5554</v>
      </c>
      <c r="F122">
        <v>1877</v>
      </c>
      <c r="G122">
        <v>1943</v>
      </c>
    </row>
    <row r="123" spans="1:7" x14ac:dyDescent="0.25">
      <c r="A123">
        <v>2558</v>
      </c>
      <c r="B123" t="s">
        <v>733</v>
      </c>
      <c r="C123" t="s">
        <v>5695</v>
      </c>
      <c r="D123" t="s">
        <v>5576</v>
      </c>
      <c r="E123" t="s">
        <v>5554</v>
      </c>
      <c r="F123">
        <v>1901</v>
      </c>
      <c r="G123">
        <v>1988</v>
      </c>
    </row>
    <row r="124" spans="1:7" x14ac:dyDescent="0.25">
      <c r="A124">
        <v>2591</v>
      </c>
      <c r="B124" t="s">
        <v>1018</v>
      </c>
      <c r="C124" t="s">
        <v>5696</v>
      </c>
      <c r="D124" t="s">
        <v>5556</v>
      </c>
      <c r="E124" t="s">
        <v>5554</v>
      </c>
      <c r="F124">
        <v>1931</v>
      </c>
      <c r="G124">
        <v>2018</v>
      </c>
    </row>
    <row r="125" spans="1:7" x14ac:dyDescent="0.25">
      <c r="A125">
        <v>2595</v>
      </c>
      <c r="B125" t="s">
        <v>1114</v>
      </c>
      <c r="C125" t="s">
        <v>5697</v>
      </c>
      <c r="D125" t="s">
        <v>5666</v>
      </c>
      <c r="E125" t="s">
        <v>5561</v>
      </c>
      <c r="F125">
        <v>1893</v>
      </c>
      <c r="G125">
        <v>1982</v>
      </c>
    </row>
    <row r="126" spans="1:7" x14ac:dyDescent="0.25">
      <c r="A126">
        <v>2600</v>
      </c>
      <c r="B126" t="s">
        <v>3006</v>
      </c>
      <c r="C126" t="s">
        <v>5698</v>
      </c>
      <c r="D126" t="s">
        <v>5576</v>
      </c>
      <c r="E126" t="s">
        <v>5561</v>
      </c>
      <c r="F126">
        <v>1903</v>
      </c>
      <c r="G126">
        <v>1975</v>
      </c>
    </row>
    <row r="127" spans="1:7" x14ac:dyDescent="0.25">
      <c r="A127">
        <v>2623</v>
      </c>
      <c r="B127" t="s">
        <v>959</v>
      </c>
      <c r="C127" t="s">
        <v>5699</v>
      </c>
      <c r="D127" t="s">
        <v>5556</v>
      </c>
      <c r="E127" t="s">
        <v>5561</v>
      </c>
      <c r="F127">
        <v>1936</v>
      </c>
      <c r="G127">
        <v>1970</v>
      </c>
    </row>
    <row r="128" spans="1:7" x14ac:dyDescent="0.25">
      <c r="A128">
        <v>2637</v>
      </c>
      <c r="B128" t="s">
        <v>744</v>
      </c>
      <c r="C128" t="s">
        <v>5700</v>
      </c>
      <c r="D128" t="s">
        <v>5556</v>
      </c>
      <c r="E128" t="s">
        <v>5554</v>
      </c>
      <c r="F128">
        <v>1938</v>
      </c>
      <c r="G128">
        <v>1998</v>
      </c>
    </row>
    <row r="129" spans="1:7" x14ac:dyDescent="0.25">
      <c r="A129">
        <v>2671</v>
      </c>
      <c r="B129" t="s">
        <v>2610</v>
      </c>
      <c r="C129" t="s">
        <v>5701</v>
      </c>
      <c r="D129" t="s">
        <v>5556</v>
      </c>
      <c r="E129" t="s">
        <v>5554</v>
      </c>
      <c r="F129">
        <v>1872</v>
      </c>
      <c r="G129">
        <v>1946</v>
      </c>
    </row>
    <row r="130" spans="1:7" x14ac:dyDescent="0.25">
      <c r="A130">
        <v>2675</v>
      </c>
      <c r="B130" t="s">
        <v>819</v>
      </c>
      <c r="C130" t="s">
        <v>5702</v>
      </c>
      <c r="D130" t="s">
        <v>5582</v>
      </c>
      <c r="E130" t="s">
        <v>5561</v>
      </c>
      <c r="F130">
        <v>1889</v>
      </c>
      <c r="G130">
        <v>1978</v>
      </c>
    </row>
    <row r="131" spans="1:7" x14ac:dyDescent="0.25">
      <c r="A131">
        <v>2694</v>
      </c>
      <c r="B131" t="s">
        <v>97</v>
      </c>
      <c r="C131" t="s">
        <v>5703</v>
      </c>
      <c r="D131" t="s">
        <v>5693</v>
      </c>
      <c r="E131" t="s">
        <v>5554</v>
      </c>
      <c r="F131">
        <v>1870</v>
      </c>
      <c r="G131">
        <v>1956</v>
      </c>
    </row>
    <row r="132" spans="1:7" x14ac:dyDescent="0.25">
      <c r="A132">
        <v>2714</v>
      </c>
      <c r="B132" t="s">
        <v>1094</v>
      </c>
      <c r="C132" t="s">
        <v>5704</v>
      </c>
      <c r="D132" t="s">
        <v>5556</v>
      </c>
      <c r="E132" t="s">
        <v>5561</v>
      </c>
      <c r="F132">
        <v>1950</v>
      </c>
      <c r="G132">
        <v>0</v>
      </c>
    </row>
    <row r="133" spans="1:7" x14ac:dyDescent="0.25">
      <c r="A133">
        <v>2726</v>
      </c>
      <c r="B133" t="s">
        <v>897</v>
      </c>
      <c r="C133" t="s">
        <v>5705</v>
      </c>
      <c r="D133" t="s">
        <v>5556</v>
      </c>
      <c r="E133" t="s">
        <v>5554</v>
      </c>
      <c r="F133">
        <v>1882</v>
      </c>
      <c r="G133">
        <v>1967</v>
      </c>
    </row>
    <row r="134" spans="1:7" x14ac:dyDescent="0.25">
      <c r="A134">
        <v>2776</v>
      </c>
      <c r="B134" t="s">
        <v>1821</v>
      </c>
      <c r="C134" t="s">
        <v>5706</v>
      </c>
      <c r="D134" t="s">
        <v>5556</v>
      </c>
      <c r="E134" t="s">
        <v>5561</v>
      </c>
      <c r="F134">
        <v>1920</v>
      </c>
      <c r="G134">
        <v>2020</v>
      </c>
    </row>
    <row r="135" spans="1:7" x14ac:dyDescent="0.25">
      <c r="A135">
        <v>2812</v>
      </c>
      <c r="B135" t="s">
        <v>597</v>
      </c>
      <c r="C135" t="s">
        <v>5707</v>
      </c>
      <c r="D135" t="s">
        <v>5556</v>
      </c>
      <c r="E135" t="s">
        <v>5554</v>
      </c>
      <c r="F135">
        <v>1928</v>
      </c>
      <c r="G135">
        <v>2018</v>
      </c>
    </row>
    <row r="136" spans="1:7" x14ac:dyDescent="0.25">
      <c r="A136">
        <v>2834</v>
      </c>
      <c r="B136" t="s">
        <v>1190</v>
      </c>
      <c r="C136" t="s">
        <v>5708</v>
      </c>
      <c r="D136" t="s">
        <v>5690</v>
      </c>
      <c r="E136" t="s">
        <v>5554</v>
      </c>
      <c r="F136">
        <v>1921</v>
      </c>
      <c r="G136">
        <v>2012</v>
      </c>
    </row>
    <row r="137" spans="1:7" x14ac:dyDescent="0.25">
      <c r="A137">
        <v>2864</v>
      </c>
      <c r="B137" t="s">
        <v>34</v>
      </c>
      <c r="C137" t="s">
        <v>5709</v>
      </c>
      <c r="D137" t="s">
        <v>5556</v>
      </c>
      <c r="E137" t="s">
        <v>5554</v>
      </c>
      <c r="F137">
        <v>1928</v>
      </c>
      <c r="G137">
        <v>0</v>
      </c>
    </row>
    <row r="138" spans="1:7" x14ac:dyDescent="0.25">
      <c r="A138">
        <v>2899</v>
      </c>
      <c r="B138" t="s">
        <v>5710</v>
      </c>
      <c r="C138" t="s">
        <v>5711</v>
      </c>
      <c r="D138" t="s">
        <v>5666</v>
      </c>
      <c r="E138" t="s">
        <v>5554</v>
      </c>
      <c r="F138">
        <v>1896</v>
      </c>
      <c r="G138">
        <v>1967</v>
      </c>
    </row>
    <row r="139" spans="1:7" x14ac:dyDescent="0.25">
      <c r="A139">
        <v>2923</v>
      </c>
      <c r="B139" t="s">
        <v>636</v>
      </c>
      <c r="C139" t="s">
        <v>5712</v>
      </c>
      <c r="D139" t="s">
        <v>5556</v>
      </c>
      <c r="E139" t="s">
        <v>5554</v>
      </c>
      <c r="F139">
        <v>1930</v>
      </c>
      <c r="G139">
        <v>0</v>
      </c>
    </row>
    <row r="140" spans="1:7" x14ac:dyDescent="0.25">
      <c r="A140">
        <v>2928</v>
      </c>
      <c r="B140" t="s">
        <v>690</v>
      </c>
      <c r="C140" t="s">
        <v>5713</v>
      </c>
      <c r="D140" t="s">
        <v>5556</v>
      </c>
      <c r="E140" t="s">
        <v>5554</v>
      </c>
      <c r="F140">
        <v>1927</v>
      </c>
      <c r="G140">
        <v>1995</v>
      </c>
    </row>
    <row r="141" spans="1:7" x14ac:dyDescent="0.25">
      <c r="A141">
        <v>2948</v>
      </c>
      <c r="B141" t="s">
        <v>1083</v>
      </c>
      <c r="C141" t="s">
        <v>5714</v>
      </c>
      <c r="D141" t="s">
        <v>5556</v>
      </c>
      <c r="E141" t="s">
        <v>5554</v>
      </c>
      <c r="F141">
        <v>1928</v>
      </c>
      <c r="G141">
        <v>1994</v>
      </c>
    </row>
    <row r="142" spans="1:7" x14ac:dyDescent="0.25">
      <c r="A142">
        <v>2963</v>
      </c>
      <c r="B142" t="s">
        <v>1938</v>
      </c>
      <c r="C142" t="s">
        <v>5715</v>
      </c>
      <c r="D142" t="s">
        <v>5671</v>
      </c>
      <c r="E142" t="s">
        <v>5561</v>
      </c>
      <c r="F142">
        <v>1907</v>
      </c>
      <c r="G142">
        <v>1954</v>
      </c>
    </row>
    <row r="143" spans="1:7" x14ac:dyDescent="0.25">
      <c r="A143">
        <v>3020</v>
      </c>
      <c r="B143" t="s">
        <v>586</v>
      </c>
      <c r="C143" t="s">
        <v>5716</v>
      </c>
      <c r="D143" t="s">
        <v>5556</v>
      </c>
      <c r="E143" t="s">
        <v>5554</v>
      </c>
      <c r="F143">
        <v>1890</v>
      </c>
      <c r="G143">
        <v>1954</v>
      </c>
    </row>
    <row r="144" spans="1:7" x14ac:dyDescent="0.25">
      <c r="A144">
        <v>3030</v>
      </c>
      <c r="B144" t="s">
        <v>1863</v>
      </c>
      <c r="C144" t="s">
        <v>5717</v>
      </c>
      <c r="D144" t="s">
        <v>5690</v>
      </c>
      <c r="E144" t="s">
        <v>5554</v>
      </c>
      <c r="F144">
        <v>1933</v>
      </c>
      <c r="G144">
        <v>0</v>
      </c>
    </row>
    <row r="145" spans="1:7" x14ac:dyDescent="0.25">
      <c r="A145">
        <v>3045</v>
      </c>
      <c r="B145" t="s">
        <v>877</v>
      </c>
      <c r="C145" t="s">
        <v>5718</v>
      </c>
      <c r="D145" t="s">
        <v>5556</v>
      </c>
      <c r="E145" t="s">
        <v>5554</v>
      </c>
      <c r="F145">
        <v>1954</v>
      </c>
      <c r="G145">
        <v>2012</v>
      </c>
    </row>
    <row r="146" spans="1:7" x14ac:dyDescent="0.25">
      <c r="A146">
        <v>3048</v>
      </c>
      <c r="B146" t="s">
        <v>669</v>
      </c>
      <c r="C146" t="s">
        <v>5719</v>
      </c>
      <c r="D146" t="s">
        <v>5556</v>
      </c>
      <c r="E146" t="s">
        <v>5554</v>
      </c>
      <c r="F146">
        <v>1923</v>
      </c>
      <c r="G146">
        <v>2015</v>
      </c>
    </row>
    <row r="147" spans="1:7" x14ac:dyDescent="0.25">
      <c r="A147">
        <v>3078</v>
      </c>
      <c r="B147" t="s">
        <v>2974</v>
      </c>
      <c r="C147" t="s">
        <v>5720</v>
      </c>
      <c r="D147" t="s">
        <v>5721</v>
      </c>
      <c r="E147" t="s">
        <v>5554</v>
      </c>
      <c r="F147">
        <v>1934</v>
      </c>
      <c r="G147">
        <v>2003</v>
      </c>
    </row>
    <row r="148" spans="1:7" x14ac:dyDescent="0.25">
      <c r="A148">
        <v>3091</v>
      </c>
      <c r="B148" t="s">
        <v>43</v>
      </c>
      <c r="C148" t="s">
        <v>5722</v>
      </c>
      <c r="D148" t="s">
        <v>5556</v>
      </c>
      <c r="E148" t="s">
        <v>5554</v>
      </c>
      <c r="F148">
        <v>1890</v>
      </c>
      <c r="G148">
        <v>1965</v>
      </c>
    </row>
    <row r="149" spans="1:7" x14ac:dyDescent="0.25">
      <c r="A149">
        <v>3093</v>
      </c>
      <c r="B149" t="s">
        <v>3298</v>
      </c>
      <c r="C149" t="s">
        <v>5723</v>
      </c>
      <c r="D149" t="s">
        <v>5690</v>
      </c>
      <c r="E149" t="s">
        <v>5554</v>
      </c>
      <c r="F149">
        <v>1935</v>
      </c>
      <c r="G149">
        <v>2020</v>
      </c>
    </row>
    <row r="150" spans="1:7" x14ac:dyDescent="0.25">
      <c r="A150">
        <v>3115</v>
      </c>
      <c r="B150" t="s">
        <v>734</v>
      </c>
      <c r="C150" t="s">
        <v>5724</v>
      </c>
      <c r="D150" t="s">
        <v>5582</v>
      </c>
      <c r="E150" t="s">
        <v>5554</v>
      </c>
      <c r="F150">
        <v>1880</v>
      </c>
      <c r="G150">
        <v>1938</v>
      </c>
    </row>
    <row r="151" spans="1:7" x14ac:dyDescent="0.25">
      <c r="A151">
        <v>3126</v>
      </c>
      <c r="B151" t="s">
        <v>1908</v>
      </c>
      <c r="C151" t="s">
        <v>5725</v>
      </c>
      <c r="D151" t="s">
        <v>5582</v>
      </c>
      <c r="E151" t="s">
        <v>5554</v>
      </c>
      <c r="F151">
        <v>1935</v>
      </c>
      <c r="G151">
        <v>2023</v>
      </c>
    </row>
    <row r="152" spans="1:7" x14ac:dyDescent="0.25">
      <c r="A152">
        <v>3147</v>
      </c>
      <c r="B152" t="s">
        <v>617</v>
      </c>
      <c r="C152" t="s">
        <v>5726</v>
      </c>
      <c r="D152" t="s">
        <v>5693</v>
      </c>
      <c r="E152" t="s">
        <v>5554</v>
      </c>
      <c r="F152">
        <v>1862</v>
      </c>
      <c r="G152">
        <v>1918</v>
      </c>
    </row>
    <row r="153" spans="1:7" x14ac:dyDescent="0.25">
      <c r="A153">
        <v>3197</v>
      </c>
      <c r="B153" t="s">
        <v>595</v>
      </c>
      <c r="C153" t="s">
        <v>5727</v>
      </c>
      <c r="D153" t="s">
        <v>5693</v>
      </c>
      <c r="E153" t="s">
        <v>5554</v>
      </c>
      <c r="F153">
        <v>1886</v>
      </c>
      <c r="G153">
        <v>1980</v>
      </c>
    </row>
    <row r="154" spans="1:7" x14ac:dyDescent="0.25">
      <c r="A154">
        <v>3207</v>
      </c>
      <c r="B154" t="s">
        <v>126</v>
      </c>
      <c r="C154" t="s">
        <v>5728</v>
      </c>
      <c r="D154" t="s">
        <v>5690</v>
      </c>
      <c r="E154" t="s">
        <v>5554</v>
      </c>
      <c r="F154">
        <v>1943</v>
      </c>
      <c r="G154">
        <v>0</v>
      </c>
    </row>
    <row r="155" spans="1:7" x14ac:dyDescent="0.25">
      <c r="A155">
        <v>3240</v>
      </c>
      <c r="B155" t="s">
        <v>718</v>
      </c>
      <c r="C155" t="s">
        <v>5729</v>
      </c>
      <c r="D155" t="s">
        <v>5556</v>
      </c>
      <c r="E155" t="s">
        <v>5561</v>
      </c>
      <c r="F155">
        <v>1908</v>
      </c>
      <c r="G155">
        <v>1984</v>
      </c>
    </row>
    <row r="156" spans="1:7" x14ac:dyDescent="0.25">
      <c r="A156">
        <v>3302</v>
      </c>
      <c r="B156" t="s">
        <v>738</v>
      </c>
      <c r="C156" t="s">
        <v>5730</v>
      </c>
      <c r="D156" t="s">
        <v>5731</v>
      </c>
      <c r="E156" t="s">
        <v>5554</v>
      </c>
      <c r="F156">
        <v>1871</v>
      </c>
      <c r="G156">
        <v>1957</v>
      </c>
    </row>
    <row r="157" spans="1:7" x14ac:dyDescent="0.25">
      <c r="A157">
        <v>3315</v>
      </c>
      <c r="B157" t="s">
        <v>948</v>
      </c>
      <c r="C157" t="s">
        <v>5732</v>
      </c>
      <c r="D157" t="s">
        <v>5690</v>
      </c>
      <c r="E157" t="s">
        <v>5561</v>
      </c>
      <c r="F157">
        <v>1929</v>
      </c>
      <c r="G157">
        <v>0</v>
      </c>
    </row>
    <row r="158" spans="1:7" x14ac:dyDescent="0.25">
      <c r="A158">
        <v>3325</v>
      </c>
      <c r="B158" t="s">
        <v>729</v>
      </c>
      <c r="C158" t="s">
        <v>5733</v>
      </c>
      <c r="D158" t="s">
        <v>5553</v>
      </c>
      <c r="E158" t="s">
        <v>5554</v>
      </c>
      <c r="F158">
        <v>1885</v>
      </c>
      <c r="G158">
        <v>1925</v>
      </c>
    </row>
    <row r="159" spans="1:7" x14ac:dyDescent="0.25">
      <c r="A159">
        <v>3373</v>
      </c>
      <c r="B159" t="s">
        <v>1186</v>
      </c>
      <c r="C159" t="s">
        <v>5734</v>
      </c>
      <c r="D159" t="s">
        <v>5556</v>
      </c>
      <c r="E159" t="s">
        <v>5561</v>
      </c>
      <c r="F159">
        <v>1895</v>
      </c>
      <c r="G159">
        <v>1965</v>
      </c>
    </row>
    <row r="160" spans="1:7" x14ac:dyDescent="0.25">
      <c r="A160">
        <v>3389</v>
      </c>
      <c r="B160" t="s">
        <v>703</v>
      </c>
      <c r="C160" t="s">
        <v>5735</v>
      </c>
      <c r="D160" t="s">
        <v>5655</v>
      </c>
      <c r="E160" t="s">
        <v>5554</v>
      </c>
      <c r="F160">
        <v>1881</v>
      </c>
      <c r="G160">
        <v>1964</v>
      </c>
    </row>
    <row r="161" spans="1:7" x14ac:dyDescent="0.25">
      <c r="A161">
        <v>3400</v>
      </c>
      <c r="B161" t="s">
        <v>1499</v>
      </c>
      <c r="C161" t="s">
        <v>5736</v>
      </c>
      <c r="D161" t="s">
        <v>5556</v>
      </c>
      <c r="E161" t="s">
        <v>5554</v>
      </c>
      <c r="F161">
        <v>1913</v>
      </c>
      <c r="G161">
        <v>2003</v>
      </c>
    </row>
    <row r="162" spans="1:7" x14ac:dyDescent="0.25">
      <c r="A162">
        <v>3408</v>
      </c>
      <c r="B162" t="s">
        <v>746</v>
      </c>
      <c r="C162" t="s">
        <v>5737</v>
      </c>
      <c r="D162" t="s">
        <v>5553</v>
      </c>
      <c r="E162" t="s">
        <v>5561</v>
      </c>
      <c r="F162">
        <v>1883</v>
      </c>
      <c r="G162">
        <v>1956</v>
      </c>
    </row>
    <row r="163" spans="1:7" x14ac:dyDescent="0.25">
      <c r="A163">
        <v>3409</v>
      </c>
      <c r="B163" t="s">
        <v>612</v>
      </c>
      <c r="C163" t="s">
        <v>5738</v>
      </c>
      <c r="D163" t="s">
        <v>5553</v>
      </c>
      <c r="E163" t="s">
        <v>5554</v>
      </c>
      <c r="F163">
        <v>1885</v>
      </c>
      <c r="G163">
        <v>1954</v>
      </c>
    </row>
    <row r="164" spans="1:7" x14ac:dyDescent="0.25">
      <c r="A164">
        <v>3418</v>
      </c>
      <c r="B164" t="s">
        <v>740</v>
      </c>
      <c r="C164" t="s">
        <v>5739</v>
      </c>
      <c r="D164" t="s">
        <v>5556</v>
      </c>
      <c r="E164" t="s">
        <v>5554</v>
      </c>
      <c r="F164">
        <v>1917</v>
      </c>
      <c r="G164">
        <v>2000</v>
      </c>
    </row>
    <row r="165" spans="1:7" x14ac:dyDescent="0.25">
      <c r="A165">
        <v>3426</v>
      </c>
      <c r="B165" t="s">
        <v>52</v>
      </c>
      <c r="C165" t="s">
        <v>5740</v>
      </c>
      <c r="D165" t="s">
        <v>5553</v>
      </c>
      <c r="E165" t="s">
        <v>5554</v>
      </c>
      <c r="F165">
        <v>1887</v>
      </c>
      <c r="G165">
        <v>1965</v>
      </c>
    </row>
    <row r="166" spans="1:7" x14ac:dyDescent="0.25">
      <c r="A166">
        <v>3443</v>
      </c>
      <c r="B166" t="s">
        <v>769</v>
      </c>
      <c r="C166" t="s">
        <v>5741</v>
      </c>
      <c r="D166" t="s">
        <v>5553</v>
      </c>
      <c r="E166" t="s">
        <v>5554</v>
      </c>
      <c r="F166">
        <v>1936</v>
      </c>
      <c r="G166">
        <v>0</v>
      </c>
    </row>
    <row r="167" spans="1:7" x14ac:dyDescent="0.25">
      <c r="A167">
        <v>3524</v>
      </c>
      <c r="B167" t="s">
        <v>1015</v>
      </c>
      <c r="C167" t="s">
        <v>5742</v>
      </c>
      <c r="D167" t="s">
        <v>5556</v>
      </c>
      <c r="E167" t="s">
        <v>5554</v>
      </c>
      <c r="F167">
        <v>1909</v>
      </c>
      <c r="G167">
        <v>1979</v>
      </c>
    </row>
    <row r="168" spans="1:7" x14ac:dyDescent="0.25">
      <c r="A168">
        <v>3528</v>
      </c>
      <c r="B168" t="s">
        <v>723</v>
      </c>
      <c r="C168" t="s">
        <v>5743</v>
      </c>
      <c r="D168" t="s">
        <v>5556</v>
      </c>
      <c r="E168" t="s">
        <v>5554</v>
      </c>
      <c r="F168">
        <v>1928</v>
      </c>
      <c r="G168">
        <v>2007</v>
      </c>
    </row>
    <row r="169" spans="1:7" x14ac:dyDescent="0.25">
      <c r="A169">
        <v>3542</v>
      </c>
      <c r="B169" t="s">
        <v>649</v>
      </c>
      <c r="C169" t="s">
        <v>5744</v>
      </c>
      <c r="D169" t="s">
        <v>5556</v>
      </c>
      <c r="E169" t="s">
        <v>5554</v>
      </c>
      <c r="F169">
        <v>1923</v>
      </c>
      <c r="G169">
        <v>1997</v>
      </c>
    </row>
    <row r="170" spans="1:7" x14ac:dyDescent="0.25">
      <c r="A170">
        <v>3563</v>
      </c>
      <c r="B170" t="s">
        <v>682</v>
      </c>
      <c r="C170" t="s">
        <v>5745</v>
      </c>
      <c r="D170" t="s">
        <v>5556</v>
      </c>
      <c r="E170" t="s">
        <v>5554</v>
      </c>
      <c r="F170">
        <v>1891</v>
      </c>
      <c r="G170">
        <v>1973</v>
      </c>
    </row>
    <row r="171" spans="1:7" x14ac:dyDescent="0.25">
      <c r="A171">
        <v>3569</v>
      </c>
      <c r="B171" t="s">
        <v>641</v>
      </c>
      <c r="C171" t="s">
        <v>5746</v>
      </c>
      <c r="D171" t="s">
        <v>5655</v>
      </c>
      <c r="E171" t="s">
        <v>5554</v>
      </c>
      <c r="F171">
        <v>1890</v>
      </c>
      <c r="G171">
        <v>1941</v>
      </c>
    </row>
    <row r="172" spans="1:7" x14ac:dyDescent="0.25">
      <c r="A172">
        <v>3585</v>
      </c>
      <c r="B172" t="s">
        <v>604</v>
      </c>
      <c r="C172" t="s">
        <v>5747</v>
      </c>
      <c r="D172" t="s">
        <v>5693</v>
      </c>
      <c r="E172" t="s">
        <v>5554</v>
      </c>
      <c r="F172">
        <v>1874</v>
      </c>
      <c r="G172">
        <v>1960</v>
      </c>
    </row>
    <row r="173" spans="1:7" x14ac:dyDescent="0.25">
      <c r="A173">
        <v>3615</v>
      </c>
      <c r="B173" t="s">
        <v>1862</v>
      </c>
      <c r="C173" t="s">
        <v>5748</v>
      </c>
      <c r="D173" t="s">
        <v>5556</v>
      </c>
      <c r="E173" t="s">
        <v>5561</v>
      </c>
      <c r="F173">
        <v>1930</v>
      </c>
      <c r="G173">
        <v>1999</v>
      </c>
    </row>
    <row r="174" spans="1:7" x14ac:dyDescent="0.25">
      <c r="A174">
        <v>3641</v>
      </c>
      <c r="B174" t="s">
        <v>584</v>
      </c>
      <c r="C174" t="s">
        <v>5749</v>
      </c>
      <c r="D174" t="s">
        <v>5553</v>
      </c>
      <c r="E174" t="s">
        <v>5554</v>
      </c>
      <c r="F174">
        <v>1892</v>
      </c>
      <c r="G174">
        <v>1966</v>
      </c>
    </row>
    <row r="175" spans="1:7" x14ac:dyDescent="0.25">
      <c r="A175">
        <v>3648</v>
      </c>
      <c r="B175" t="s">
        <v>1025</v>
      </c>
      <c r="C175" t="s">
        <v>5750</v>
      </c>
      <c r="D175" t="s">
        <v>5556</v>
      </c>
      <c r="E175" t="s">
        <v>5554</v>
      </c>
      <c r="F175">
        <v>1907</v>
      </c>
      <c r="G175">
        <v>1955</v>
      </c>
    </row>
    <row r="176" spans="1:7" x14ac:dyDescent="0.25">
      <c r="A176">
        <v>3663</v>
      </c>
      <c r="B176" t="s">
        <v>753</v>
      </c>
      <c r="C176" t="s">
        <v>5751</v>
      </c>
      <c r="D176" t="s">
        <v>5556</v>
      </c>
      <c r="E176" t="s">
        <v>5554</v>
      </c>
      <c r="F176">
        <v>1890</v>
      </c>
      <c r="G176">
        <v>1973</v>
      </c>
    </row>
    <row r="177" spans="1:7" x14ac:dyDescent="0.25">
      <c r="A177">
        <v>3692</v>
      </c>
      <c r="B177" t="s">
        <v>1019</v>
      </c>
      <c r="C177" t="s">
        <v>5752</v>
      </c>
      <c r="D177" t="s">
        <v>5753</v>
      </c>
      <c r="E177" t="s">
        <v>5554</v>
      </c>
      <c r="F177">
        <v>1898</v>
      </c>
      <c r="G177">
        <v>1967</v>
      </c>
    </row>
    <row r="178" spans="1:7" x14ac:dyDescent="0.25">
      <c r="A178">
        <v>3697</v>
      </c>
      <c r="B178" t="s">
        <v>758</v>
      </c>
      <c r="C178" t="s">
        <v>5754</v>
      </c>
      <c r="D178" t="s">
        <v>5553</v>
      </c>
      <c r="E178" t="s">
        <v>5554</v>
      </c>
      <c r="F178">
        <v>1861</v>
      </c>
      <c r="G178">
        <v>1944</v>
      </c>
    </row>
    <row r="179" spans="1:7" x14ac:dyDescent="0.25">
      <c r="A179">
        <v>3710</v>
      </c>
      <c r="B179" t="s">
        <v>678</v>
      </c>
      <c r="C179" t="s">
        <v>5755</v>
      </c>
      <c r="D179" t="s">
        <v>5655</v>
      </c>
      <c r="E179" t="s">
        <v>5554</v>
      </c>
      <c r="F179">
        <v>1878</v>
      </c>
      <c r="G179">
        <v>1935</v>
      </c>
    </row>
    <row r="180" spans="1:7" x14ac:dyDescent="0.25">
      <c r="A180">
        <v>3716</v>
      </c>
      <c r="B180" t="s">
        <v>146</v>
      </c>
      <c r="C180" t="s">
        <v>5756</v>
      </c>
      <c r="D180" t="s">
        <v>5556</v>
      </c>
      <c r="E180" t="s">
        <v>5554</v>
      </c>
      <c r="F180">
        <v>1890</v>
      </c>
      <c r="G180">
        <v>1976</v>
      </c>
    </row>
    <row r="181" spans="1:7" x14ac:dyDescent="0.25">
      <c r="A181">
        <v>3743</v>
      </c>
      <c r="B181" t="s">
        <v>567</v>
      </c>
      <c r="C181" t="s">
        <v>5757</v>
      </c>
      <c r="D181" t="s">
        <v>5580</v>
      </c>
      <c r="E181" t="s">
        <v>5554</v>
      </c>
      <c r="F181">
        <v>1939</v>
      </c>
      <c r="G181">
        <v>1969</v>
      </c>
    </row>
    <row r="182" spans="1:7" x14ac:dyDescent="0.25">
      <c r="A182">
        <v>3745</v>
      </c>
      <c r="B182" t="s">
        <v>1299</v>
      </c>
      <c r="C182" t="s">
        <v>5758</v>
      </c>
      <c r="D182" t="s">
        <v>5556</v>
      </c>
      <c r="E182" t="s">
        <v>5554</v>
      </c>
      <c r="F182">
        <v>1946</v>
      </c>
      <c r="G182">
        <v>1989</v>
      </c>
    </row>
    <row r="183" spans="1:7" x14ac:dyDescent="0.25">
      <c r="A183">
        <v>3758</v>
      </c>
      <c r="B183" t="s">
        <v>747</v>
      </c>
      <c r="C183" t="s">
        <v>5759</v>
      </c>
      <c r="D183" t="s">
        <v>5556</v>
      </c>
      <c r="E183" t="s">
        <v>5554</v>
      </c>
      <c r="F183">
        <v>1938</v>
      </c>
      <c r="G183">
        <v>2023</v>
      </c>
    </row>
    <row r="184" spans="1:7" x14ac:dyDescent="0.25">
      <c r="A184">
        <v>3766</v>
      </c>
      <c r="B184" t="s">
        <v>112</v>
      </c>
      <c r="C184" t="s">
        <v>5760</v>
      </c>
      <c r="D184" t="s">
        <v>5580</v>
      </c>
      <c r="E184" t="s">
        <v>5554</v>
      </c>
      <c r="F184">
        <v>1932</v>
      </c>
      <c r="G184">
        <v>2020</v>
      </c>
    </row>
    <row r="185" spans="1:7" x14ac:dyDescent="0.25">
      <c r="A185">
        <v>3767</v>
      </c>
      <c r="B185" t="s">
        <v>693</v>
      </c>
      <c r="C185" t="s">
        <v>5761</v>
      </c>
      <c r="D185" t="s">
        <v>5762</v>
      </c>
      <c r="E185" t="s">
        <v>5561</v>
      </c>
      <c r="F185">
        <v>1894</v>
      </c>
      <c r="G185">
        <v>1973</v>
      </c>
    </row>
    <row r="186" spans="1:7" x14ac:dyDescent="0.25">
      <c r="A186">
        <v>3770</v>
      </c>
      <c r="B186" t="s">
        <v>842</v>
      </c>
      <c r="C186" t="s">
        <v>5763</v>
      </c>
      <c r="D186" t="s">
        <v>5556</v>
      </c>
      <c r="E186" t="s">
        <v>5554</v>
      </c>
      <c r="F186">
        <v>1870</v>
      </c>
      <c r="G186">
        <v>1953</v>
      </c>
    </row>
    <row r="187" spans="1:7" x14ac:dyDescent="0.25">
      <c r="A187">
        <v>3774</v>
      </c>
      <c r="B187" t="s">
        <v>670</v>
      </c>
      <c r="C187" t="s">
        <v>5764</v>
      </c>
      <c r="D187" t="s">
        <v>5765</v>
      </c>
      <c r="E187" t="s">
        <v>5561</v>
      </c>
      <c r="F187">
        <v>1930</v>
      </c>
      <c r="G187">
        <v>2016</v>
      </c>
    </row>
    <row r="188" spans="1:7" x14ac:dyDescent="0.25">
      <c r="A188">
        <v>3787</v>
      </c>
      <c r="B188" t="s">
        <v>911</v>
      </c>
      <c r="C188" t="s">
        <v>5766</v>
      </c>
      <c r="D188" t="s">
        <v>5556</v>
      </c>
      <c r="E188" t="s">
        <v>5561</v>
      </c>
      <c r="F188">
        <v>1912</v>
      </c>
      <c r="G188">
        <v>2004</v>
      </c>
    </row>
    <row r="189" spans="1:7" x14ac:dyDescent="0.25">
      <c r="A189">
        <v>3822</v>
      </c>
      <c r="B189" t="s">
        <v>460</v>
      </c>
      <c r="C189" t="s">
        <v>5767</v>
      </c>
      <c r="D189" t="s">
        <v>5580</v>
      </c>
      <c r="E189" t="s">
        <v>5554</v>
      </c>
      <c r="F189">
        <v>1929</v>
      </c>
      <c r="G189">
        <v>2013</v>
      </c>
    </row>
    <row r="190" spans="1:7" x14ac:dyDescent="0.25">
      <c r="A190">
        <v>3832</v>
      </c>
      <c r="B190" t="s">
        <v>609</v>
      </c>
      <c r="C190" t="s">
        <v>5768</v>
      </c>
      <c r="D190" t="s">
        <v>5553</v>
      </c>
      <c r="E190" t="s">
        <v>5554</v>
      </c>
      <c r="F190">
        <v>1869</v>
      </c>
      <c r="G190">
        <v>1954</v>
      </c>
    </row>
    <row r="191" spans="1:7" x14ac:dyDescent="0.25">
      <c r="A191">
        <v>3842</v>
      </c>
      <c r="B191" t="s">
        <v>493</v>
      </c>
      <c r="C191" t="s">
        <v>5769</v>
      </c>
      <c r="D191" t="s">
        <v>5770</v>
      </c>
      <c r="E191" t="s">
        <v>5554</v>
      </c>
      <c r="F191">
        <v>1911</v>
      </c>
      <c r="G191">
        <v>2002</v>
      </c>
    </row>
    <row r="192" spans="1:7" x14ac:dyDescent="0.25">
      <c r="A192">
        <v>3924</v>
      </c>
      <c r="B192" t="s">
        <v>1526</v>
      </c>
      <c r="C192" t="s">
        <v>5771</v>
      </c>
      <c r="D192" t="s">
        <v>5556</v>
      </c>
      <c r="E192" t="s">
        <v>5561</v>
      </c>
      <c r="F192">
        <v>1948</v>
      </c>
      <c r="G192">
        <v>1985</v>
      </c>
    </row>
    <row r="193" spans="1:7" x14ac:dyDescent="0.25">
      <c r="A193">
        <v>3947</v>
      </c>
      <c r="B193" t="s">
        <v>802</v>
      </c>
      <c r="C193" t="s">
        <v>5737</v>
      </c>
      <c r="D193" t="s">
        <v>5553</v>
      </c>
      <c r="E193" t="s">
        <v>5554</v>
      </c>
      <c r="F193">
        <v>1883</v>
      </c>
      <c r="G193">
        <v>1956</v>
      </c>
    </row>
    <row r="194" spans="1:7" x14ac:dyDescent="0.25">
      <c r="A194">
        <v>3948</v>
      </c>
      <c r="B194" t="s">
        <v>1282</v>
      </c>
      <c r="C194" t="s">
        <v>5772</v>
      </c>
      <c r="D194" t="s">
        <v>5556</v>
      </c>
      <c r="E194" t="s">
        <v>5554</v>
      </c>
      <c r="F194">
        <v>1931</v>
      </c>
      <c r="G194">
        <v>2014</v>
      </c>
    </row>
    <row r="195" spans="1:7" x14ac:dyDescent="0.25">
      <c r="A195">
        <v>3964</v>
      </c>
      <c r="B195" t="s">
        <v>449</v>
      </c>
      <c r="C195" t="s">
        <v>5773</v>
      </c>
      <c r="D195" t="s">
        <v>5582</v>
      </c>
      <c r="E195" t="s">
        <v>5554</v>
      </c>
      <c r="F195">
        <v>1897</v>
      </c>
      <c r="G195">
        <v>1983</v>
      </c>
    </row>
    <row r="196" spans="1:7" x14ac:dyDescent="0.25">
      <c r="A196">
        <v>3973</v>
      </c>
      <c r="B196" t="s">
        <v>3304</v>
      </c>
      <c r="C196" t="s">
        <v>5774</v>
      </c>
      <c r="D196" t="s">
        <v>5690</v>
      </c>
      <c r="E196" t="s">
        <v>5554</v>
      </c>
      <c r="F196">
        <v>1937</v>
      </c>
      <c r="G196">
        <v>1978</v>
      </c>
    </row>
    <row r="197" spans="1:7" x14ac:dyDescent="0.25">
      <c r="A197">
        <v>3979</v>
      </c>
      <c r="B197" t="s">
        <v>1226</v>
      </c>
      <c r="C197" t="s">
        <v>5775</v>
      </c>
      <c r="D197" t="s">
        <v>5556</v>
      </c>
      <c r="E197" t="s">
        <v>5554</v>
      </c>
      <c r="F197">
        <v>1904</v>
      </c>
      <c r="G197">
        <v>1984</v>
      </c>
    </row>
    <row r="198" spans="1:7" x14ac:dyDescent="0.25">
      <c r="A198">
        <v>3982</v>
      </c>
      <c r="B198" t="s">
        <v>2292</v>
      </c>
      <c r="C198" t="s">
        <v>5776</v>
      </c>
      <c r="D198" t="s">
        <v>5628</v>
      </c>
      <c r="E198" t="s">
        <v>5554</v>
      </c>
      <c r="F198">
        <v>1926</v>
      </c>
      <c r="G198">
        <v>1972</v>
      </c>
    </row>
    <row r="199" spans="1:7" x14ac:dyDescent="0.25">
      <c r="A199">
        <v>4010</v>
      </c>
      <c r="B199" t="s">
        <v>1860</v>
      </c>
      <c r="C199" t="s">
        <v>5777</v>
      </c>
      <c r="D199" t="s">
        <v>5778</v>
      </c>
      <c r="E199" t="s">
        <v>5554</v>
      </c>
      <c r="F199">
        <v>1943</v>
      </c>
      <c r="G199">
        <v>0</v>
      </c>
    </row>
    <row r="200" spans="1:7" x14ac:dyDescent="0.25">
      <c r="A200">
        <v>4016</v>
      </c>
      <c r="B200" t="s">
        <v>602</v>
      </c>
      <c r="C200" t="s">
        <v>5779</v>
      </c>
      <c r="D200" t="s">
        <v>5628</v>
      </c>
      <c r="E200" t="s">
        <v>5554</v>
      </c>
      <c r="F200">
        <v>1893</v>
      </c>
      <c r="G200">
        <v>1983</v>
      </c>
    </row>
    <row r="201" spans="1:7" x14ac:dyDescent="0.25">
      <c r="A201">
        <v>4026</v>
      </c>
      <c r="B201" t="s">
        <v>704</v>
      </c>
      <c r="C201" t="s">
        <v>5780</v>
      </c>
      <c r="D201" t="s">
        <v>5556</v>
      </c>
      <c r="E201" t="s">
        <v>5561</v>
      </c>
      <c r="F201">
        <v>1925</v>
      </c>
      <c r="G201">
        <v>1992</v>
      </c>
    </row>
    <row r="202" spans="1:7" x14ac:dyDescent="0.25">
      <c r="A202">
        <v>4038</v>
      </c>
      <c r="B202" t="s">
        <v>801</v>
      </c>
      <c r="C202" t="s">
        <v>5781</v>
      </c>
      <c r="D202" t="s">
        <v>5580</v>
      </c>
      <c r="E202" t="s">
        <v>5554</v>
      </c>
      <c r="F202">
        <v>1884</v>
      </c>
      <c r="G202">
        <v>1920</v>
      </c>
    </row>
    <row r="203" spans="1:7" x14ac:dyDescent="0.25">
      <c r="A203">
        <v>4039</v>
      </c>
      <c r="B203" t="s">
        <v>1228</v>
      </c>
      <c r="C203" t="s">
        <v>5782</v>
      </c>
      <c r="D203" t="s">
        <v>5580</v>
      </c>
      <c r="E203" t="s">
        <v>5561</v>
      </c>
      <c r="F203">
        <v>1896</v>
      </c>
      <c r="G203">
        <v>1942</v>
      </c>
    </row>
    <row r="204" spans="1:7" x14ac:dyDescent="0.25">
      <c r="A204">
        <v>4048</v>
      </c>
      <c r="B204" t="s">
        <v>642</v>
      </c>
      <c r="C204" t="s">
        <v>5783</v>
      </c>
      <c r="D204" t="s">
        <v>5556</v>
      </c>
      <c r="E204" t="s">
        <v>5554</v>
      </c>
      <c r="F204">
        <v>1895</v>
      </c>
      <c r="G204">
        <v>1946</v>
      </c>
    </row>
    <row r="205" spans="1:7" x14ac:dyDescent="0.25">
      <c r="A205">
        <v>4057</v>
      </c>
      <c r="B205" t="s">
        <v>803</v>
      </c>
      <c r="C205" t="s">
        <v>5784</v>
      </c>
      <c r="D205" t="s">
        <v>5567</v>
      </c>
      <c r="E205" t="s">
        <v>5554</v>
      </c>
      <c r="F205">
        <v>1872</v>
      </c>
      <c r="G205">
        <v>1944</v>
      </c>
    </row>
    <row r="206" spans="1:7" x14ac:dyDescent="0.25">
      <c r="A206">
        <v>4058</v>
      </c>
      <c r="B206" t="s">
        <v>1564</v>
      </c>
      <c r="C206" t="s">
        <v>5785</v>
      </c>
      <c r="D206" t="s">
        <v>5553</v>
      </c>
      <c r="E206" t="s">
        <v>5554</v>
      </c>
      <c r="F206">
        <v>1840</v>
      </c>
      <c r="G206">
        <v>1926</v>
      </c>
    </row>
    <row r="207" spans="1:7" x14ac:dyDescent="0.25">
      <c r="A207">
        <v>4071</v>
      </c>
      <c r="B207" t="s">
        <v>752</v>
      </c>
      <c r="C207" t="s">
        <v>5786</v>
      </c>
      <c r="D207" t="s">
        <v>5576</v>
      </c>
      <c r="E207" t="s">
        <v>5554</v>
      </c>
      <c r="F207">
        <v>1898</v>
      </c>
      <c r="G207">
        <v>1986</v>
      </c>
    </row>
    <row r="208" spans="1:7" x14ac:dyDescent="0.25">
      <c r="A208">
        <v>4089</v>
      </c>
      <c r="B208" t="s">
        <v>1198</v>
      </c>
      <c r="C208" t="s">
        <v>5787</v>
      </c>
      <c r="D208" t="s">
        <v>5556</v>
      </c>
      <c r="E208" t="s">
        <v>5561</v>
      </c>
      <c r="F208">
        <v>1900</v>
      </c>
      <c r="G208">
        <v>1992</v>
      </c>
    </row>
    <row r="209" spans="1:7" x14ac:dyDescent="0.25">
      <c r="A209">
        <v>4108</v>
      </c>
      <c r="B209" t="s">
        <v>724</v>
      </c>
      <c r="C209" t="s">
        <v>5696</v>
      </c>
      <c r="D209" t="s">
        <v>5556</v>
      </c>
      <c r="E209" t="s">
        <v>5554</v>
      </c>
      <c r="F209">
        <v>1931</v>
      </c>
      <c r="G209">
        <v>2018</v>
      </c>
    </row>
    <row r="210" spans="1:7" x14ac:dyDescent="0.25">
      <c r="A210">
        <v>4109</v>
      </c>
      <c r="B210" t="s">
        <v>1199</v>
      </c>
      <c r="C210" t="s">
        <v>5788</v>
      </c>
      <c r="D210" t="s">
        <v>5556</v>
      </c>
      <c r="E210" t="s">
        <v>5554</v>
      </c>
      <c r="F210">
        <v>1910</v>
      </c>
      <c r="G210">
        <v>1998</v>
      </c>
    </row>
    <row r="211" spans="1:7" x14ac:dyDescent="0.25">
      <c r="A211">
        <v>4119</v>
      </c>
      <c r="B211" t="s">
        <v>235</v>
      </c>
      <c r="C211" t="s">
        <v>5789</v>
      </c>
      <c r="D211" t="s">
        <v>5693</v>
      </c>
      <c r="E211" t="s">
        <v>5554</v>
      </c>
      <c r="F211">
        <v>1868</v>
      </c>
      <c r="G211">
        <v>1918</v>
      </c>
    </row>
    <row r="212" spans="1:7" x14ac:dyDescent="0.25">
      <c r="A212">
        <v>4124</v>
      </c>
      <c r="B212" t="s">
        <v>2923</v>
      </c>
      <c r="C212" t="s">
        <v>5790</v>
      </c>
      <c r="D212" t="s">
        <v>5576</v>
      </c>
      <c r="E212" t="s">
        <v>5561</v>
      </c>
      <c r="F212">
        <v>1890</v>
      </c>
      <c r="G212">
        <v>1958</v>
      </c>
    </row>
    <row r="213" spans="1:7" x14ac:dyDescent="0.25">
      <c r="A213">
        <v>4126</v>
      </c>
      <c r="B213" t="s">
        <v>650</v>
      </c>
      <c r="C213" t="s">
        <v>5791</v>
      </c>
      <c r="D213" t="s">
        <v>5556</v>
      </c>
      <c r="E213" t="s">
        <v>5554</v>
      </c>
      <c r="F213">
        <v>1915</v>
      </c>
      <c r="G213">
        <v>1991</v>
      </c>
    </row>
    <row r="214" spans="1:7" x14ac:dyDescent="0.25">
      <c r="A214">
        <v>4143</v>
      </c>
      <c r="B214" t="s">
        <v>2765</v>
      </c>
      <c r="C214" t="s">
        <v>5792</v>
      </c>
      <c r="D214" t="s">
        <v>5690</v>
      </c>
      <c r="E214" t="s">
        <v>5554</v>
      </c>
      <c r="F214">
        <v>1939</v>
      </c>
      <c r="G214">
        <v>0</v>
      </c>
    </row>
    <row r="215" spans="1:7" x14ac:dyDescent="0.25">
      <c r="A215">
        <v>4163</v>
      </c>
      <c r="B215" t="s">
        <v>109</v>
      </c>
      <c r="C215" t="s">
        <v>5793</v>
      </c>
      <c r="D215" t="s">
        <v>5580</v>
      </c>
      <c r="E215" t="s">
        <v>5554</v>
      </c>
      <c r="F215">
        <v>1907</v>
      </c>
      <c r="G215">
        <v>1998</v>
      </c>
    </row>
    <row r="216" spans="1:7" x14ac:dyDescent="0.25">
      <c r="A216">
        <v>4197</v>
      </c>
      <c r="B216" t="s">
        <v>950</v>
      </c>
      <c r="C216" t="s">
        <v>5794</v>
      </c>
      <c r="D216" t="s">
        <v>5556</v>
      </c>
      <c r="E216" t="s">
        <v>5554</v>
      </c>
      <c r="F216">
        <v>1882</v>
      </c>
      <c r="G216">
        <v>1946</v>
      </c>
    </row>
    <row r="217" spans="1:7" x14ac:dyDescent="0.25">
      <c r="A217">
        <v>4253</v>
      </c>
      <c r="B217" t="s">
        <v>741</v>
      </c>
      <c r="C217" t="s">
        <v>5795</v>
      </c>
      <c r="D217" t="s">
        <v>5556</v>
      </c>
      <c r="E217" t="s">
        <v>5561</v>
      </c>
      <c r="F217">
        <v>1900</v>
      </c>
      <c r="G217">
        <v>1984</v>
      </c>
    </row>
    <row r="218" spans="1:7" x14ac:dyDescent="0.25">
      <c r="A218">
        <v>4278</v>
      </c>
      <c r="B218" t="s">
        <v>671</v>
      </c>
      <c r="C218" t="s">
        <v>5796</v>
      </c>
      <c r="D218" t="s">
        <v>5556</v>
      </c>
      <c r="E218" t="s">
        <v>5561</v>
      </c>
      <c r="F218">
        <v>1899</v>
      </c>
      <c r="G218">
        <v>1988</v>
      </c>
    </row>
    <row r="219" spans="1:7" x14ac:dyDescent="0.25">
      <c r="A219">
        <v>4285</v>
      </c>
      <c r="B219" t="s">
        <v>716</v>
      </c>
      <c r="C219" t="s">
        <v>5797</v>
      </c>
      <c r="D219" t="s">
        <v>5556</v>
      </c>
      <c r="E219" t="s">
        <v>5554</v>
      </c>
      <c r="F219">
        <v>1905</v>
      </c>
      <c r="G219">
        <v>1970</v>
      </c>
    </row>
    <row r="220" spans="1:7" x14ac:dyDescent="0.25">
      <c r="A220">
        <v>4324</v>
      </c>
      <c r="B220" t="s">
        <v>117</v>
      </c>
      <c r="C220" t="s">
        <v>5798</v>
      </c>
      <c r="D220" t="s">
        <v>5556</v>
      </c>
      <c r="E220" t="s">
        <v>5554</v>
      </c>
      <c r="F220">
        <v>1904</v>
      </c>
      <c r="G220">
        <v>1988</v>
      </c>
    </row>
    <row r="221" spans="1:7" x14ac:dyDescent="0.25">
      <c r="A221">
        <v>4360</v>
      </c>
      <c r="B221" t="s">
        <v>850</v>
      </c>
      <c r="C221" t="s">
        <v>5799</v>
      </c>
      <c r="D221" t="s">
        <v>5556</v>
      </c>
      <c r="E221" t="s">
        <v>5561</v>
      </c>
      <c r="F221">
        <v>1887</v>
      </c>
      <c r="G221">
        <v>1986</v>
      </c>
    </row>
    <row r="222" spans="1:7" x14ac:dyDescent="0.25">
      <c r="A222">
        <v>4389</v>
      </c>
      <c r="B222" t="s">
        <v>1327</v>
      </c>
      <c r="C222" t="s">
        <v>5800</v>
      </c>
      <c r="D222" t="s">
        <v>5556</v>
      </c>
      <c r="E222" t="s">
        <v>5554</v>
      </c>
      <c r="F222">
        <v>1915</v>
      </c>
      <c r="G222">
        <v>1985</v>
      </c>
    </row>
    <row r="223" spans="1:7" x14ac:dyDescent="0.25">
      <c r="A223">
        <v>4394</v>
      </c>
      <c r="B223" t="s">
        <v>433</v>
      </c>
      <c r="C223" t="s">
        <v>5801</v>
      </c>
      <c r="D223" t="s">
        <v>5693</v>
      </c>
      <c r="E223" t="s">
        <v>5554</v>
      </c>
      <c r="F223">
        <v>1867</v>
      </c>
      <c r="G223">
        <v>1908</v>
      </c>
    </row>
    <row r="224" spans="1:7" x14ac:dyDescent="0.25">
      <c r="A224">
        <v>4397</v>
      </c>
      <c r="B224" t="s">
        <v>633</v>
      </c>
      <c r="C224" t="s">
        <v>5802</v>
      </c>
      <c r="D224" t="s">
        <v>5556</v>
      </c>
      <c r="E224" t="s">
        <v>5554</v>
      </c>
      <c r="F224">
        <v>1929</v>
      </c>
      <c r="G224">
        <v>2022</v>
      </c>
    </row>
    <row r="225" spans="1:7" x14ac:dyDescent="0.25">
      <c r="A225">
        <v>4410</v>
      </c>
      <c r="B225" t="s">
        <v>1865</v>
      </c>
      <c r="C225" t="s">
        <v>5803</v>
      </c>
      <c r="D225" t="s">
        <v>5556</v>
      </c>
      <c r="E225" t="s">
        <v>5561</v>
      </c>
      <c r="F225">
        <v>1933</v>
      </c>
      <c r="G225">
        <v>0</v>
      </c>
    </row>
    <row r="226" spans="1:7" x14ac:dyDescent="0.25">
      <c r="A226">
        <v>4416</v>
      </c>
      <c r="B226" t="s">
        <v>728</v>
      </c>
      <c r="C226" t="s">
        <v>5804</v>
      </c>
      <c r="D226" t="s">
        <v>5666</v>
      </c>
      <c r="E226" t="s">
        <v>5561</v>
      </c>
      <c r="F226">
        <v>1913</v>
      </c>
      <c r="G226">
        <v>1985</v>
      </c>
    </row>
    <row r="227" spans="1:7" x14ac:dyDescent="0.25">
      <c r="A227">
        <v>4430</v>
      </c>
      <c r="B227" t="s">
        <v>898</v>
      </c>
      <c r="C227" t="s">
        <v>5805</v>
      </c>
      <c r="D227" t="s">
        <v>5671</v>
      </c>
      <c r="E227" t="s">
        <v>5554</v>
      </c>
      <c r="F227">
        <v>1883</v>
      </c>
      <c r="G227">
        <v>1949</v>
      </c>
    </row>
    <row r="228" spans="1:7" x14ac:dyDescent="0.25">
      <c r="A228">
        <v>4441</v>
      </c>
      <c r="B228" t="s">
        <v>1088</v>
      </c>
      <c r="C228" t="s">
        <v>5806</v>
      </c>
      <c r="D228" t="s">
        <v>5556</v>
      </c>
      <c r="E228" t="s">
        <v>5554</v>
      </c>
      <c r="F228">
        <v>1916</v>
      </c>
      <c r="G228">
        <v>1990</v>
      </c>
    </row>
    <row r="229" spans="1:7" x14ac:dyDescent="0.25">
      <c r="A229">
        <v>4458</v>
      </c>
      <c r="B229" t="s">
        <v>683</v>
      </c>
      <c r="C229" t="s">
        <v>5807</v>
      </c>
      <c r="D229" t="s">
        <v>5553</v>
      </c>
      <c r="E229" t="s">
        <v>5554</v>
      </c>
      <c r="F229">
        <v>1886</v>
      </c>
      <c r="G229">
        <v>1966</v>
      </c>
    </row>
    <row r="230" spans="1:7" x14ac:dyDescent="0.25">
      <c r="A230">
        <v>4469</v>
      </c>
      <c r="B230" t="s">
        <v>1557</v>
      </c>
      <c r="C230" t="s">
        <v>5808</v>
      </c>
      <c r="D230" t="s">
        <v>5556</v>
      </c>
      <c r="E230" t="s">
        <v>5554</v>
      </c>
      <c r="F230">
        <v>1932</v>
      </c>
      <c r="G230">
        <v>2006</v>
      </c>
    </row>
    <row r="231" spans="1:7" x14ac:dyDescent="0.25">
      <c r="A231">
        <v>4551</v>
      </c>
      <c r="B231" t="s">
        <v>762</v>
      </c>
      <c r="C231" t="s">
        <v>5809</v>
      </c>
      <c r="D231" t="s">
        <v>5576</v>
      </c>
      <c r="E231" t="s">
        <v>5554</v>
      </c>
      <c r="F231">
        <v>1900</v>
      </c>
      <c r="G231">
        <v>1984</v>
      </c>
    </row>
    <row r="232" spans="1:7" x14ac:dyDescent="0.25">
      <c r="A232">
        <v>4607</v>
      </c>
      <c r="B232" t="s">
        <v>764</v>
      </c>
      <c r="C232" t="s">
        <v>5810</v>
      </c>
      <c r="D232" t="s">
        <v>5553</v>
      </c>
      <c r="E232" t="s">
        <v>5554</v>
      </c>
      <c r="F232">
        <v>1879</v>
      </c>
      <c r="G232">
        <v>1953</v>
      </c>
    </row>
    <row r="233" spans="1:7" x14ac:dyDescent="0.25">
      <c r="A233">
        <v>4609</v>
      </c>
      <c r="B233" t="s">
        <v>582</v>
      </c>
      <c r="C233" t="s">
        <v>5811</v>
      </c>
      <c r="D233" t="s">
        <v>5628</v>
      </c>
      <c r="E233" t="s">
        <v>5554</v>
      </c>
      <c r="F233">
        <v>1881</v>
      </c>
      <c r="G233">
        <v>1973</v>
      </c>
    </row>
    <row r="234" spans="1:7" x14ac:dyDescent="0.25">
      <c r="A234">
        <v>4635</v>
      </c>
      <c r="B234" t="s">
        <v>2298</v>
      </c>
      <c r="C234" t="s">
        <v>5812</v>
      </c>
      <c r="D234" t="s">
        <v>5556</v>
      </c>
      <c r="E234" t="s">
        <v>5554</v>
      </c>
      <c r="F234">
        <v>1888</v>
      </c>
      <c r="G234">
        <v>1946</v>
      </c>
    </row>
    <row r="235" spans="1:7" x14ac:dyDescent="0.25">
      <c r="A235">
        <v>4675</v>
      </c>
      <c r="B235" t="s">
        <v>832</v>
      </c>
      <c r="C235" t="s">
        <v>5813</v>
      </c>
      <c r="D235" t="s">
        <v>5556</v>
      </c>
      <c r="E235" t="s">
        <v>5554</v>
      </c>
      <c r="F235">
        <v>1912</v>
      </c>
      <c r="G235">
        <v>1956</v>
      </c>
    </row>
    <row r="236" spans="1:7" x14ac:dyDescent="0.25">
      <c r="A236">
        <v>4694</v>
      </c>
      <c r="B236" t="s">
        <v>681</v>
      </c>
      <c r="C236" t="s">
        <v>5814</v>
      </c>
      <c r="D236" t="s">
        <v>5655</v>
      </c>
      <c r="E236" t="s">
        <v>5561</v>
      </c>
      <c r="F236">
        <v>1889</v>
      </c>
      <c r="G236">
        <v>1924</v>
      </c>
    </row>
    <row r="237" spans="1:7" x14ac:dyDescent="0.25">
      <c r="A237">
        <v>4749</v>
      </c>
      <c r="B237" t="s">
        <v>361</v>
      </c>
      <c r="C237" t="s">
        <v>5815</v>
      </c>
      <c r="D237" t="s">
        <v>5693</v>
      </c>
      <c r="E237" t="s">
        <v>5554</v>
      </c>
      <c r="F237">
        <v>1880</v>
      </c>
      <c r="G237">
        <v>1949</v>
      </c>
    </row>
    <row r="238" spans="1:7" x14ac:dyDescent="0.25">
      <c r="A238">
        <v>4823</v>
      </c>
      <c r="B238" t="s">
        <v>628</v>
      </c>
      <c r="C238" t="s">
        <v>5816</v>
      </c>
      <c r="D238" t="s">
        <v>5556</v>
      </c>
      <c r="E238" t="s">
        <v>5554</v>
      </c>
      <c r="F238">
        <v>1925</v>
      </c>
      <c r="G238">
        <v>2008</v>
      </c>
    </row>
    <row r="239" spans="1:7" x14ac:dyDescent="0.25">
      <c r="A239">
        <v>4840</v>
      </c>
      <c r="B239" t="s">
        <v>727</v>
      </c>
      <c r="C239" t="s">
        <v>5817</v>
      </c>
      <c r="D239" t="s">
        <v>5553</v>
      </c>
      <c r="E239" t="s">
        <v>5554</v>
      </c>
      <c r="F239">
        <v>1840</v>
      </c>
      <c r="G239">
        <v>1916</v>
      </c>
    </row>
    <row r="240" spans="1:7" x14ac:dyDescent="0.25">
      <c r="A240">
        <v>4856</v>
      </c>
      <c r="B240" t="s">
        <v>809</v>
      </c>
      <c r="C240" t="s">
        <v>5818</v>
      </c>
      <c r="D240" t="s">
        <v>5556</v>
      </c>
      <c r="E240" t="s">
        <v>5554</v>
      </c>
      <c r="F240">
        <v>1913</v>
      </c>
      <c r="G240">
        <v>1967</v>
      </c>
    </row>
    <row r="241" spans="1:7" x14ac:dyDescent="0.25">
      <c r="A241">
        <v>4872</v>
      </c>
      <c r="B241" t="s">
        <v>1405</v>
      </c>
      <c r="C241" t="s">
        <v>5704</v>
      </c>
      <c r="D241" t="s">
        <v>5556</v>
      </c>
      <c r="E241" t="s">
        <v>5561</v>
      </c>
      <c r="F241">
        <v>1950</v>
      </c>
      <c r="G241">
        <v>0</v>
      </c>
    </row>
    <row r="242" spans="1:7" x14ac:dyDescent="0.25">
      <c r="A242">
        <v>4894</v>
      </c>
      <c r="B242" t="s">
        <v>834</v>
      </c>
      <c r="C242" t="s">
        <v>5819</v>
      </c>
      <c r="D242" t="s">
        <v>5556</v>
      </c>
      <c r="E242" t="s">
        <v>5561</v>
      </c>
      <c r="F242">
        <v>1939</v>
      </c>
      <c r="G242">
        <v>0</v>
      </c>
    </row>
    <row r="243" spans="1:7" x14ac:dyDescent="0.25">
      <c r="A243">
        <v>4905</v>
      </c>
      <c r="B243" t="s">
        <v>610</v>
      </c>
      <c r="C243" t="s">
        <v>5820</v>
      </c>
      <c r="D243" t="s">
        <v>5553</v>
      </c>
      <c r="E243" t="s">
        <v>5561</v>
      </c>
      <c r="F243">
        <v>1904</v>
      </c>
      <c r="G243">
        <v>1959</v>
      </c>
    </row>
    <row r="244" spans="1:7" x14ac:dyDescent="0.25">
      <c r="A244">
        <v>4922</v>
      </c>
      <c r="B244" t="s">
        <v>225</v>
      </c>
      <c r="C244" t="s">
        <v>5821</v>
      </c>
      <c r="D244" t="s">
        <v>5567</v>
      </c>
      <c r="E244" t="s">
        <v>5554</v>
      </c>
      <c r="F244">
        <v>1888</v>
      </c>
      <c r="G244">
        <v>1964</v>
      </c>
    </row>
    <row r="245" spans="1:7" x14ac:dyDescent="0.25">
      <c r="A245">
        <v>4929</v>
      </c>
      <c r="B245" t="s">
        <v>1112</v>
      </c>
      <c r="C245" t="s">
        <v>5822</v>
      </c>
      <c r="D245" t="s">
        <v>5576</v>
      </c>
      <c r="E245" t="s">
        <v>5561</v>
      </c>
      <c r="F245">
        <v>1931</v>
      </c>
      <c r="G245">
        <v>0</v>
      </c>
    </row>
    <row r="246" spans="1:7" x14ac:dyDescent="0.25">
      <c r="A246">
        <v>4942</v>
      </c>
      <c r="B246" t="s">
        <v>863</v>
      </c>
      <c r="C246" t="s">
        <v>5823</v>
      </c>
      <c r="D246" t="s">
        <v>5671</v>
      </c>
      <c r="E246" t="s">
        <v>5554</v>
      </c>
      <c r="F246">
        <v>1886</v>
      </c>
      <c r="G246">
        <v>1957</v>
      </c>
    </row>
    <row r="247" spans="1:7" x14ac:dyDescent="0.25">
      <c r="A247">
        <v>4945</v>
      </c>
      <c r="B247" t="s">
        <v>651</v>
      </c>
      <c r="C247" t="s">
        <v>5824</v>
      </c>
      <c r="D247" t="s">
        <v>5556</v>
      </c>
      <c r="E247" t="s">
        <v>5554</v>
      </c>
      <c r="F247">
        <v>1923</v>
      </c>
      <c r="G247">
        <v>2002</v>
      </c>
    </row>
    <row r="248" spans="1:7" x14ac:dyDescent="0.25">
      <c r="A248">
        <v>4975</v>
      </c>
      <c r="B248" t="s">
        <v>388</v>
      </c>
      <c r="C248" t="s">
        <v>5825</v>
      </c>
      <c r="D248" t="s">
        <v>5655</v>
      </c>
      <c r="E248" t="s">
        <v>5554</v>
      </c>
      <c r="F248">
        <v>1891</v>
      </c>
      <c r="G248">
        <v>1956</v>
      </c>
    </row>
    <row r="249" spans="1:7" x14ac:dyDescent="0.25">
      <c r="A249">
        <v>5021</v>
      </c>
      <c r="B249" t="s">
        <v>667</v>
      </c>
      <c r="C249" t="s">
        <v>5826</v>
      </c>
      <c r="D249" t="s">
        <v>5556</v>
      </c>
      <c r="E249" t="s">
        <v>5554</v>
      </c>
      <c r="F249">
        <v>1933</v>
      </c>
      <c r="G249">
        <v>2017</v>
      </c>
    </row>
    <row r="250" spans="1:7" x14ac:dyDescent="0.25">
      <c r="A250">
        <v>5047</v>
      </c>
      <c r="B250" t="s">
        <v>956</v>
      </c>
      <c r="C250" t="s">
        <v>5827</v>
      </c>
      <c r="D250" t="s">
        <v>5556</v>
      </c>
      <c r="E250" t="s">
        <v>5554</v>
      </c>
      <c r="F250">
        <v>1903</v>
      </c>
      <c r="G250">
        <v>1970</v>
      </c>
    </row>
    <row r="251" spans="1:7" x14ac:dyDescent="0.25">
      <c r="A251">
        <v>5056</v>
      </c>
      <c r="B251" t="s">
        <v>805</v>
      </c>
      <c r="C251" t="s">
        <v>5828</v>
      </c>
      <c r="D251" t="s">
        <v>5553</v>
      </c>
      <c r="E251" t="s">
        <v>5554</v>
      </c>
      <c r="F251">
        <v>1844</v>
      </c>
      <c r="G251">
        <v>1910</v>
      </c>
    </row>
    <row r="252" spans="1:7" x14ac:dyDescent="0.25">
      <c r="A252">
        <v>5102</v>
      </c>
      <c r="B252" t="s">
        <v>1739</v>
      </c>
      <c r="C252" t="s">
        <v>5829</v>
      </c>
      <c r="D252" t="s">
        <v>5556</v>
      </c>
      <c r="E252" t="s">
        <v>5561</v>
      </c>
      <c r="F252">
        <v>1926</v>
      </c>
      <c r="G252">
        <v>0</v>
      </c>
    </row>
    <row r="253" spans="1:7" x14ac:dyDescent="0.25">
      <c r="A253">
        <v>5103</v>
      </c>
      <c r="B253" t="s">
        <v>276</v>
      </c>
      <c r="C253" t="s">
        <v>5830</v>
      </c>
      <c r="D253" t="s">
        <v>5556</v>
      </c>
      <c r="E253" t="s">
        <v>5554</v>
      </c>
      <c r="F253">
        <v>1910</v>
      </c>
      <c r="G253">
        <v>1961</v>
      </c>
    </row>
    <row r="254" spans="1:7" x14ac:dyDescent="0.25">
      <c r="A254">
        <v>5121</v>
      </c>
      <c r="B254" t="s">
        <v>1962</v>
      </c>
      <c r="C254" t="s">
        <v>5831</v>
      </c>
      <c r="D254" t="s">
        <v>5832</v>
      </c>
      <c r="E254" t="s">
        <v>5554</v>
      </c>
      <c r="F254">
        <v>1930</v>
      </c>
      <c r="G254">
        <v>0</v>
      </c>
    </row>
    <row r="255" spans="1:7" x14ac:dyDescent="0.25">
      <c r="A255">
        <v>5145</v>
      </c>
      <c r="B255" t="s">
        <v>1187</v>
      </c>
      <c r="C255" t="s">
        <v>5833</v>
      </c>
      <c r="D255" t="s">
        <v>5582</v>
      </c>
      <c r="E255" t="s">
        <v>5554</v>
      </c>
      <c r="F255">
        <v>1876</v>
      </c>
      <c r="G255">
        <v>1964</v>
      </c>
    </row>
    <row r="256" spans="1:7" x14ac:dyDescent="0.25">
      <c r="A256">
        <v>5168</v>
      </c>
      <c r="B256" t="s">
        <v>160</v>
      </c>
      <c r="C256" t="s">
        <v>5834</v>
      </c>
      <c r="D256" t="s">
        <v>5558</v>
      </c>
      <c r="E256" t="s">
        <v>5554</v>
      </c>
      <c r="F256">
        <v>1926</v>
      </c>
      <c r="G256">
        <v>2006</v>
      </c>
    </row>
    <row r="257" spans="1:7" x14ac:dyDescent="0.25">
      <c r="A257">
        <v>5178</v>
      </c>
      <c r="B257" t="s">
        <v>720</v>
      </c>
      <c r="C257" t="s">
        <v>5835</v>
      </c>
      <c r="D257" t="s">
        <v>5556</v>
      </c>
      <c r="E257" t="s">
        <v>5554</v>
      </c>
      <c r="F257">
        <v>1934</v>
      </c>
      <c r="G257">
        <v>0</v>
      </c>
    </row>
    <row r="258" spans="1:7" x14ac:dyDescent="0.25">
      <c r="A258">
        <v>5219</v>
      </c>
      <c r="B258" t="s">
        <v>640</v>
      </c>
      <c r="C258" t="s">
        <v>5836</v>
      </c>
      <c r="D258" t="s">
        <v>5582</v>
      </c>
      <c r="E258" t="s">
        <v>5554</v>
      </c>
      <c r="F258">
        <v>1888</v>
      </c>
      <c r="G258">
        <v>1943</v>
      </c>
    </row>
    <row r="259" spans="1:7" x14ac:dyDescent="0.25">
      <c r="A259">
        <v>5281</v>
      </c>
      <c r="B259" t="s">
        <v>1098</v>
      </c>
      <c r="C259" t="s">
        <v>5837</v>
      </c>
      <c r="D259" t="s">
        <v>5582</v>
      </c>
      <c r="E259" t="s">
        <v>5554</v>
      </c>
      <c r="F259">
        <v>1954</v>
      </c>
      <c r="G259">
        <v>0</v>
      </c>
    </row>
    <row r="260" spans="1:7" x14ac:dyDescent="0.25">
      <c r="A260">
        <v>5293</v>
      </c>
      <c r="B260" t="s">
        <v>662</v>
      </c>
      <c r="C260" t="s">
        <v>5838</v>
      </c>
      <c r="D260" t="s">
        <v>5582</v>
      </c>
      <c r="E260" t="s">
        <v>5554</v>
      </c>
      <c r="F260">
        <v>1887</v>
      </c>
      <c r="G260">
        <v>1948</v>
      </c>
    </row>
    <row r="261" spans="1:7" x14ac:dyDescent="0.25">
      <c r="A261">
        <v>5349</v>
      </c>
      <c r="B261" t="s">
        <v>885</v>
      </c>
      <c r="C261" t="s">
        <v>5839</v>
      </c>
      <c r="D261" t="s">
        <v>5556</v>
      </c>
      <c r="E261" t="s">
        <v>5554</v>
      </c>
      <c r="F261">
        <v>1938</v>
      </c>
      <c r="G261">
        <v>2024</v>
      </c>
    </row>
    <row r="262" spans="1:7" x14ac:dyDescent="0.25">
      <c r="A262">
        <v>5358</v>
      </c>
      <c r="B262" t="s">
        <v>901</v>
      </c>
      <c r="C262" t="s">
        <v>5840</v>
      </c>
      <c r="D262" t="s">
        <v>5553</v>
      </c>
      <c r="E262" t="s">
        <v>5554</v>
      </c>
      <c r="F262">
        <v>1859</v>
      </c>
      <c r="G262">
        <v>1891</v>
      </c>
    </row>
    <row r="263" spans="1:7" x14ac:dyDescent="0.25">
      <c r="A263">
        <v>5360</v>
      </c>
      <c r="B263" t="s">
        <v>754</v>
      </c>
      <c r="C263" t="s">
        <v>5841</v>
      </c>
      <c r="D263" t="s">
        <v>5580</v>
      </c>
      <c r="E263" t="s">
        <v>5554</v>
      </c>
      <c r="F263">
        <v>1883</v>
      </c>
      <c r="G263">
        <v>1966</v>
      </c>
    </row>
    <row r="264" spans="1:7" x14ac:dyDescent="0.25">
      <c r="A264">
        <v>5366</v>
      </c>
      <c r="B264" t="s">
        <v>585</v>
      </c>
      <c r="C264" t="s">
        <v>5842</v>
      </c>
      <c r="D264" t="s">
        <v>5556</v>
      </c>
      <c r="E264" t="s">
        <v>5554</v>
      </c>
      <c r="F264">
        <v>1898</v>
      </c>
      <c r="G264">
        <v>1969</v>
      </c>
    </row>
    <row r="265" spans="1:7" x14ac:dyDescent="0.25">
      <c r="A265">
        <v>5383</v>
      </c>
      <c r="B265" t="s">
        <v>954</v>
      </c>
      <c r="C265" t="s">
        <v>5843</v>
      </c>
      <c r="D265" t="s">
        <v>5556</v>
      </c>
      <c r="E265" t="s">
        <v>5554</v>
      </c>
      <c r="F265">
        <v>1883</v>
      </c>
      <c r="G265">
        <v>1965</v>
      </c>
    </row>
    <row r="266" spans="1:7" x14ac:dyDescent="0.25">
      <c r="A266">
        <v>5403</v>
      </c>
      <c r="B266" t="s">
        <v>1768</v>
      </c>
      <c r="C266" t="s">
        <v>5844</v>
      </c>
      <c r="D266" t="s">
        <v>5690</v>
      </c>
      <c r="E266" t="s">
        <v>5561</v>
      </c>
      <c r="F266">
        <v>1938</v>
      </c>
      <c r="G266">
        <v>0</v>
      </c>
    </row>
    <row r="267" spans="1:7" x14ac:dyDescent="0.25">
      <c r="A267">
        <v>5421</v>
      </c>
      <c r="B267" t="s">
        <v>856</v>
      </c>
      <c r="C267" t="s">
        <v>5845</v>
      </c>
      <c r="D267" t="s">
        <v>5553</v>
      </c>
      <c r="E267" t="s">
        <v>5554</v>
      </c>
      <c r="F267">
        <v>1863</v>
      </c>
      <c r="G267">
        <v>1935</v>
      </c>
    </row>
    <row r="268" spans="1:7" x14ac:dyDescent="0.25">
      <c r="A268">
        <v>5451</v>
      </c>
      <c r="B268" t="s">
        <v>1879</v>
      </c>
      <c r="C268" t="s">
        <v>5846</v>
      </c>
      <c r="D268" t="s">
        <v>5582</v>
      </c>
      <c r="E268" t="s">
        <v>5561</v>
      </c>
      <c r="F268">
        <v>1888</v>
      </c>
      <c r="G268">
        <v>1965</v>
      </c>
    </row>
    <row r="269" spans="1:7" x14ac:dyDescent="0.25">
      <c r="A269">
        <v>5454</v>
      </c>
      <c r="B269" t="s">
        <v>751</v>
      </c>
      <c r="C269" t="s">
        <v>5847</v>
      </c>
      <c r="D269" t="s">
        <v>5671</v>
      </c>
      <c r="E269" t="s">
        <v>5554</v>
      </c>
      <c r="F269">
        <v>1896</v>
      </c>
      <c r="G269">
        <v>1974</v>
      </c>
    </row>
    <row r="270" spans="1:7" x14ac:dyDescent="0.25">
      <c r="A270">
        <v>5456</v>
      </c>
      <c r="B270" t="s">
        <v>1189</v>
      </c>
      <c r="C270" t="s">
        <v>5848</v>
      </c>
      <c r="D270" t="s">
        <v>5556</v>
      </c>
      <c r="E270" t="s">
        <v>5554</v>
      </c>
      <c r="F270">
        <v>1903</v>
      </c>
      <c r="G270">
        <v>1991</v>
      </c>
    </row>
    <row r="271" spans="1:7" x14ac:dyDescent="0.25">
      <c r="A271">
        <v>5467</v>
      </c>
      <c r="B271" t="s">
        <v>915</v>
      </c>
      <c r="C271" t="s">
        <v>5849</v>
      </c>
      <c r="D271" t="s">
        <v>5850</v>
      </c>
      <c r="E271" t="s">
        <v>5554</v>
      </c>
      <c r="F271">
        <v>1937</v>
      </c>
      <c r="G271">
        <v>2003</v>
      </c>
    </row>
    <row r="272" spans="1:7" x14ac:dyDescent="0.25">
      <c r="A272">
        <v>5480</v>
      </c>
      <c r="B272" t="s">
        <v>611</v>
      </c>
      <c r="C272" t="s">
        <v>5851</v>
      </c>
      <c r="D272" t="s">
        <v>5556</v>
      </c>
      <c r="E272" t="s">
        <v>5554</v>
      </c>
      <c r="F272">
        <v>1906</v>
      </c>
      <c r="G272">
        <v>1965</v>
      </c>
    </row>
    <row r="273" spans="1:7" x14ac:dyDescent="0.25">
      <c r="A273">
        <v>5486</v>
      </c>
      <c r="B273" t="s">
        <v>695</v>
      </c>
      <c r="C273" t="s">
        <v>5852</v>
      </c>
      <c r="D273" t="s">
        <v>5556</v>
      </c>
      <c r="E273" t="s">
        <v>5561</v>
      </c>
      <c r="F273">
        <v>1954</v>
      </c>
      <c r="G273">
        <v>0</v>
      </c>
    </row>
    <row r="274" spans="1:7" x14ac:dyDescent="0.25">
      <c r="A274">
        <v>5538</v>
      </c>
      <c r="B274" t="s">
        <v>749</v>
      </c>
      <c r="C274" t="s">
        <v>5853</v>
      </c>
      <c r="D274" t="s">
        <v>5553</v>
      </c>
      <c r="E274" t="s">
        <v>5554</v>
      </c>
      <c r="F274">
        <v>1919</v>
      </c>
      <c r="G274">
        <v>2022</v>
      </c>
    </row>
    <row r="275" spans="1:7" x14ac:dyDescent="0.25">
      <c r="A275">
        <v>5565</v>
      </c>
      <c r="B275" t="s">
        <v>486</v>
      </c>
      <c r="C275" t="s">
        <v>5819</v>
      </c>
      <c r="D275" t="s">
        <v>5556</v>
      </c>
      <c r="E275" t="s">
        <v>5554</v>
      </c>
      <c r="F275">
        <v>1939</v>
      </c>
      <c r="G275">
        <v>0</v>
      </c>
    </row>
    <row r="276" spans="1:7" x14ac:dyDescent="0.25">
      <c r="A276">
        <v>5631</v>
      </c>
      <c r="B276" t="s">
        <v>1210</v>
      </c>
      <c r="C276" t="s">
        <v>5854</v>
      </c>
      <c r="D276" t="s">
        <v>5556</v>
      </c>
      <c r="E276" t="s">
        <v>5554</v>
      </c>
      <c r="F276">
        <v>1899</v>
      </c>
      <c r="G276">
        <v>1986</v>
      </c>
    </row>
    <row r="277" spans="1:7" x14ac:dyDescent="0.25">
      <c r="A277">
        <v>5641</v>
      </c>
      <c r="B277" t="s">
        <v>940</v>
      </c>
      <c r="C277" t="s">
        <v>5855</v>
      </c>
      <c r="D277" t="s">
        <v>5556</v>
      </c>
      <c r="E277" t="s">
        <v>5554</v>
      </c>
      <c r="F277">
        <v>1877</v>
      </c>
      <c r="G277">
        <v>1946</v>
      </c>
    </row>
    <row r="278" spans="1:7" x14ac:dyDescent="0.25">
      <c r="A278">
        <v>5657</v>
      </c>
      <c r="B278" t="s">
        <v>896</v>
      </c>
      <c r="C278" t="s">
        <v>5856</v>
      </c>
      <c r="D278" t="s">
        <v>5556</v>
      </c>
      <c r="E278" t="s">
        <v>5561</v>
      </c>
      <c r="F278">
        <v>1871</v>
      </c>
      <c r="G278">
        <v>1944</v>
      </c>
    </row>
    <row r="279" spans="1:7" x14ac:dyDescent="0.25">
      <c r="A279">
        <v>5665</v>
      </c>
      <c r="B279" t="s">
        <v>1906</v>
      </c>
      <c r="C279" t="s">
        <v>5857</v>
      </c>
      <c r="D279" t="s">
        <v>5556</v>
      </c>
      <c r="E279" t="s">
        <v>5554</v>
      </c>
      <c r="F279">
        <v>1904</v>
      </c>
      <c r="G279">
        <v>1980</v>
      </c>
    </row>
    <row r="280" spans="1:7" x14ac:dyDescent="0.25">
      <c r="A280">
        <v>5689</v>
      </c>
      <c r="B280" t="s">
        <v>995</v>
      </c>
      <c r="C280" t="s">
        <v>5858</v>
      </c>
      <c r="D280" t="s">
        <v>5556</v>
      </c>
      <c r="E280" t="s">
        <v>5561</v>
      </c>
      <c r="F280">
        <v>1911</v>
      </c>
      <c r="G280">
        <v>1959</v>
      </c>
    </row>
    <row r="281" spans="1:7" x14ac:dyDescent="0.25">
      <c r="A281">
        <v>5702</v>
      </c>
      <c r="B281" t="s">
        <v>694</v>
      </c>
      <c r="C281" t="s">
        <v>5859</v>
      </c>
      <c r="D281" t="s">
        <v>5556</v>
      </c>
      <c r="E281" t="s">
        <v>5561</v>
      </c>
      <c r="F281">
        <v>1938</v>
      </c>
      <c r="G281">
        <v>0</v>
      </c>
    </row>
    <row r="282" spans="1:7" x14ac:dyDescent="0.25">
      <c r="A282">
        <v>5707</v>
      </c>
      <c r="B282" t="s">
        <v>461</v>
      </c>
      <c r="C282" t="s">
        <v>5860</v>
      </c>
      <c r="D282" t="s">
        <v>5580</v>
      </c>
      <c r="F282">
        <v>1955</v>
      </c>
      <c r="G282">
        <v>0</v>
      </c>
    </row>
    <row r="283" spans="1:7" x14ac:dyDescent="0.25">
      <c r="A283">
        <v>5719</v>
      </c>
      <c r="B283" t="s">
        <v>1587</v>
      </c>
      <c r="C283" t="s">
        <v>5861</v>
      </c>
      <c r="D283" t="s">
        <v>5690</v>
      </c>
      <c r="E283" t="s">
        <v>5554</v>
      </c>
      <c r="F283">
        <v>1919</v>
      </c>
      <c r="G283">
        <v>1996</v>
      </c>
    </row>
    <row r="284" spans="1:7" x14ac:dyDescent="0.25">
      <c r="A284">
        <v>5723</v>
      </c>
      <c r="B284" t="s">
        <v>435</v>
      </c>
      <c r="C284" t="s">
        <v>5862</v>
      </c>
      <c r="D284" t="s">
        <v>5556</v>
      </c>
      <c r="E284" t="s">
        <v>5554</v>
      </c>
      <c r="F284">
        <v>1856</v>
      </c>
      <c r="G284">
        <v>1924</v>
      </c>
    </row>
    <row r="285" spans="1:7" x14ac:dyDescent="0.25">
      <c r="A285">
        <v>5749</v>
      </c>
      <c r="B285" t="s">
        <v>1206</v>
      </c>
      <c r="C285" t="s">
        <v>5863</v>
      </c>
      <c r="D285" t="s">
        <v>5556</v>
      </c>
      <c r="E285" t="s">
        <v>5554</v>
      </c>
      <c r="F285">
        <v>1890</v>
      </c>
      <c r="G285">
        <v>1944</v>
      </c>
    </row>
    <row r="286" spans="1:7" x14ac:dyDescent="0.25">
      <c r="A286">
        <v>5777</v>
      </c>
      <c r="B286" t="s">
        <v>684</v>
      </c>
      <c r="C286" t="s">
        <v>5864</v>
      </c>
      <c r="D286" t="s">
        <v>5666</v>
      </c>
      <c r="E286" t="s">
        <v>5561</v>
      </c>
      <c r="F286">
        <v>1889</v>
      </c>
      <c r="G286">
        <v>1943</v>
      </c>
    </row>
    <row r="287" spans="1:7" x14ac:dyDescent="0.25">
      <c r="A287">
        <v>5799</v>
      </c>
      <c r="B287" t="s">
        <v>2774</v>
      </c>
      <c r="C287" t="s">
        <v>5865</v>
      </c>
      <c r="D287" t="s">
        <v>5690</v>
      </c>
      <c r="E287" t="s">
        <v>5561</v>
      </c>
      <c r="F287">
        <v>1932</v>
      </c>
      <c r="G287">
        <v>2005</v>
      </c>
    </row>
    <row r="288" spans="1:7" x14ac:dyDescent="0.25">
      <c r="A288">
        <v>5806</v>
      </c>
      <c r="B288" t="s">
        <v>714</v>
      </c>
      <c r="C288" t="s">
        <v>5866</v>
      </c>
      <c r="D288" t="s">
        <v>5556</v>
      </c>
      <c r="E288" t="s">
        <v>5561</v>
      </c>
      <c r="F288">
        <v>1910</v>
      </c>
      <c r="G288">
        <v>2012</v>
      </c>
    </row>
    <row r="289" spans="1:7" x14ac:dyDescent="0.25">
      <c r="A289">
        <v>5809</v>
      </c>
      <c r="B289" t="s">
        <v>691</v>
      </c>
      <c r="C289" t="s">
        <v>5867</v>
      </c>
      <c r="D289" t="s">
        <v>5628</v>
      </c>
      <c r="E289" t="s">
        <v>5554</v>
      </c>
      <c r="F289">
        <v>1923</v>
      </c>
      <c r="G289">
        <v>2012</v>
      </c>
    </row>
    <row r="290" spans="1:7" x14ac:dyDescent="0.25">
      <c r="A290">
        <v>5814</v>
      </c>
      <c r="B290" t="s">
        <v>169</v>
      </c>
      <c r="C290" t="s">
        <v>5868</v>
      </c>
      <c r="D290" t="s">
        <v>5556</v>
      </c>
      <c r="E290" t="s">
        <v>5561</v>
      </c>
      <c r="F290">
        <v>1907</v>
      </c>
      <c r="G290">
        <v>2007</v>
      </c>
    </row>
    <row r="291" spans="1:7" x14ac:dyDescent="0.25">
      <c r="A291">
        <v>5858</v>
      </c>
      <c r="B291" t="s">
        <v>953</v>
      </c>
      <c r="C291" t="s">
        <v>5869</v>
      </c>
      <c r="D291" t="s">
        <v>5556</v>
      </c>
      <c r="E291" t="s">
        <v>5554</v>
      </c>
      <c r="F291">
        <v>1937</v>
      </c>
      <c r="G291">
        <v>1966</v>
      </c>
    </row>
    <row r="292" spans="1:7" x14ac:dyDescent="0.25">
      <c r="A292">
        <v>5882</v>
      </c>
      <c r="B292" t="s">
        <v>668</v>
      </c>
      <c r="C292" t="s">
        <v>5870</v>
      </c>
      <c r="D292" t="s">
        <v>5666</v>
      </c>
      <c r="E292" t="s">
        <v>5554</v>
      </c>
      <c r="F292">
        <v>1925</v>
      </c>
      <c r="G292">
        <v>1991</v>
      </c>
    </row>
    <row r="293" spans="1:7" x14ac:dyDescent="0.25">
      <c r="A293">
        <v>5907</v>
      </c>
      <c r="B293" t="s">
        <v>685</v>
      </c>
      <c r="C293" t="s">
        <v>5871</v>
      </c>
      <c r="D293" t="s">
        <v>5872</v>
      </c>
      <c r="E293" t="s">
        <v>5554</v>
      </c>
      <c r="F293">
        <v>1874</v>
      </c>
      <c r="G293">
        <v>1949</v>
      </c>
    </row>
    <row r="294" spans="1:7" x14ac:dyDescent="0.25">
      <c r="A294">
        <v>5933</v>
      </c>
      <c r="B294" t="s">
        <v>941</v>
      </c>
      <c r="C294" t="s">
        <v>5873</v>
      </c>
      <c r="D294" t="s">
        <v>5582</v>
      </c>
      <c r="E294" t="s">
        <v>5561</v>
      </c>
      <c r="F294">
        <v>1952</v>
      </c>
      <c r="G294">
        <v>0</v>
      </c>
    </row>
    <row r="295" spans="1:7" x14ac:dyDescent="0.25">
      <c r="A295">
        <v>5981</v>
      </c>
      <c r="B295" t="s">
        <v>3114</v>
      </c>
      <c r="C295" t="s">
        <v>5691</v>
      </c>
      <c r="D295" t="s">
        <v>5556</v>
      </c>
      <c r="E295" t="s">
        <v>5554</v>
      </c>
      <c r="F295">
        <v>1943</v>
      </c>
      <c r="G295">
        <v>0</v>
      </c>
    </row>
    <row r="296" spans="1:7" x14ac:dyDescent="0.25">
      <c r="A296">
        <v>5983</v>
      </c>
      <c r="B296" t="s">
        <v>696</v>
      </c>
      <c r="C296" t="s">
        <v>5588</v>
      </c>
      <c r="D296" t="s">
        <v>5556</v>
      </c>
      <c r="E296" t="s">
        <v>5554</v>
      </c>
      <c r="F296">
        <v>1941</v>
      </c>
      <c r="G296">
        <v>0</v>
      </c>
    </row>
    <row r="297" spans="1:7" x14ac:dyDescent="0.25">
      <c r="A297">
        <v>5988</v>
      </c>
      <c r="B297" t="s">
        <v>1089</v>
      </c>
      <c r="C297" t="s">
        <v>5874</v>
      </c>
      <c r="D297" t="s">
        <v>5556</v>
      </c>
      <c r="E297" t="s">
        <v>5554</v>
      </c>
      <c r="F297">
        <v>1928</v>
      </c>
      <c r="G297">
        <v>2011</v>
      </c>
    </row>
    <row r="298" spans="1:7" x14ac:dyDescent="0.25">
      <c r="A298">
        <v>6011</v>
      </c>
      <c r="B298" t="s">
        <v>100</v>
      </c>
      <c r="F298">
        <v>0</v>
      </c>
      <c r="G298">
        <v>0</v>
      </c>
    </row>
    <row r="299" spans="1:7" x14ac:dyDescent="0.25">
      <c r="A299">
        <v>6091</v>
      </c>
      <c r="B299" t="s">
        <v>755</v>
      </c>
      <c r="C299" t="s">
        <v>5875</v>
      </c>
      <c r="D299" t="s">
        <v>5753</v>
      </c>
      <c r="E299" t="s">
        <v>5554</v>
      </c>
      <c r="F299">
        <v>1886</v>
      </c>
      <c r="G299">
        <v>1965</v>
      </c>
    </row>
    <row r="300" spans="1:7" x14ac:dyDescent="0.25">
      <c r="A300">
        <v>6155</v>
      </c>
      <c r="B300" t="s">
        <v>108</v>
      </c>
      <c r="C300" t="s">
        <v>5876</v>
      </c>
      <c r="D300" t="s">
        <v>5580</v>
      </c>
      <c r="E300" t="s">
        <v>5554</v>
      </c>
      <c r="F300">
        <v>1931</v>
      </c>
      <c r="G300">
        <v>2014</v>
      </c>
    </row>
    <row r="301" spans="1:7" x14ac:dyDescent="0.25">
      <c r="A301">
        <v>6165</v>
      </c>
      <c r="B301" t="s">
        <v>731</v>
      </c>
      <c r="C301" t="s">
        <v>5877</v>
      </c>
      <c r="D301" t="s">
        <v>5553</v>
      </c>
      <c r="E301" t="s">
        <v>5554</v>
      </c>
      <c r="F301">
        <v>1875</v>
      </c>
      <c r="G301">
        <v>1963</v>
      </c>
    </row>
    <row r="302" spans="1:7" x14ac:dyDescent="0.25">
      <c r="A302">
        <v>6191</v>
      </c>
      <c r="B302" t="s">
        <v>677</v>
      </c>
      <c r="C302" t="s">
        <v>5878</v>
      </c>
      <c r="D302" t="s">
        <v>5582</v>
      </c>
      <c r="E302" t="s">
        <v>5554</v>
      </c>
      <c r="F302">
        <v>1932</v>
      </c>
      <c r="G302">
        <v>1998</v>
      </c>
    </row>
    <row r="303" spans="1:7" x14ac:dyDescent="0.25">
      <c r="A303">
        <v>6194</v>
      </c>
      <c r="B303" t="s">
        <v>757</v>
      </c>
      <c r="C303" t="s">
        <v>5879</v>
      </c>
      <c r="D303" t="s">
        <v>5553</v>
      </c>
      <c r="E303" t="s">
        <v>5554</v>
      </c>
      <c r="F303">
        <v>1868</v>
      </c>
      <c r="G303">
        <v>1940</v>
      </c>
    </row>
    <row r="304" spans="1:7" x14ac:dyDescent="0.25">
      <c r="A304">
        <v>6208</v>
      </c>
      <c r="B304" t="s">
        <v>162</v>
      </c>
      <c r="C304" t="s">
        <v>5880</v>
      </c>
      <c r="D304" t="s">
        <v>5582</v>
      </c>
      <c r="E304" t="s">
        <v>5554</v>
      </c>
      <c r="F304">
        <v>1900</v>
      </c>
      <c r="G304">
        <v>1990</v>
      </c>
    </row>
    <row r="305" spans="1:7" x14ac:dyDescent="0.25">
      <c r="A305">
        <v>6210</v>
      </c>
      <c r="B305" t="s">
        <v>17</v>
      </c>
      <c r="C305" t="s">
        <v>5881</v>
      </c>
      <c r="D305" t="s">
        <v>5693</v>
      </c>
      <c r="E305" t="s">
        <v>5554</v>
      </c>
      <c r="F305">
        <v>1841</v>
      </c>
      <c r="G305">
        <v>1918</v>
      </c>
    </row>
    <row r="306" spans="1:7" x14ac:dyDescent="0.25">
      <c r="A306">
        <v>6246</v>
      </c>
      <c r="B306" t="s">
        <v>594</v>
      </c>
      <c r="C306" t="s">
        <v>5882</v>
      </c>
      <c r="D306" t="s">
        <v>5556</v>
      </c>
      <c r="E306" t="s">
        <v>5554</v>
      </c>
      <c r="F306">
        <v>1928</v>
      </c>
      <c r="G306">
        <v>1987</v>
      </c>
    </row>
    <row r="307" spans="1:7" x14ac:dyDescent="0.25">
      <c r="A307">
        <v>6275</v>
      </c>
      <c r="B307" t="s">
        <v>761</v>
      </c>
      <c r="C307" t="s">
        <v>5883</v>
      </c>
      <c r="D307" t="s">
        <v>5556</v>
      </c>
      <c r="E307" t="s">
        <v>5554</v>
      </c>
      <c r="F307">
        <v>1881</v>
      </c>
      <c r="G307">
        <v>1961</v>
      </c>
    </row>
    <row r="308" spans="1:7" x14ac:dyDescent="0.25">
      <c r="A308">
        <v>6282</v>
      </c>
      <c r="B308" t="s">
        <v>163</v>
      </c>
      <c r="C308" t="s">
        <v>5884</v>
      </c>
      <c r="D308" t="s">
        <v>5570</v>
      </c>
      <c r="E308" t="s">
        <v>5554</v>
      </c>
      <c r="F308">
        <v>1914</v>
      </c>
      <c r="G308">
        <v>2007</v>
      </c>
    </row>
    <row r="309" spans="1:7" x14ac:dyDescent="0.25">
      <c r="A309">
        <v>6329</v>
      </c>
      <c r="B309" t="s">
        <v>1185</v>
      </c>
      <c r="C309" t="s">
        <v>5885</v>
      </c>
      <c r="D309" t="s">
        <v>5556</v>
      </c>
      <c r="E309" t="s">
        <v>5554</v>
      </c>
      <c r="F309">
        <v>1886</v>
      </c>
      <c r="G309">
        <v>1958</v>
      </c>
    </row>
    <row r="310" spans="1:7" x14ac:dyDescent="0.25">
      <c r="A310">
        <v>6356</v>
      </c>
      <c r="B310" t="s">
        <v>209</v>
      </c>
      <c r="C310" t="s">
        <v>5693</v>
      </c>
      <c r="D310" t="s">
        <v>5693</v>
      </c>
      <c r="F310">
        <v>0</v>
      </c>
      <c r="G310">
        <v>0</v>
      </c>
    </row>
    <row r="311" spans="1:7" x14ac:dyDescent="0.25">
      <c r="A311">
        <v>6394</v>
      </c>
      <c r="B311" t="s">
        <v>290</v>
      </c>
      <c r="C311" t="s">
        <v>5886</v>
      </c>
      <c r="D311" t="s">
        <v>5657</v>
      </c>
      <c r="E311" t="s">
        <v>5554</v>
      </c>
      <c r="F311">
        <v>1876</v>
      </c>
      <c r="G311">
        <v>1953</v>
      </c>
    </row>
    <row r="312" spans="1:7" x14ac:dyDescent="0.25">
      <c r="A312">
        <v>6402</v>
      </c>
      <c r="B312" t="s">
        <v>3047</v>
      </c>
      <c r="C312" t="s">
        <v>5887</v>
      </c>
      <c r="D312" t="s">
        <v>5556</v>
      </c>
      <c r="E312" t="s">
        <v>5561</v>
      </c>
      <c r="F312">
        <v>1941</v>
      </c>
      <c r="G312">
        <v>2024</v>
      </c>
    </row>
    <row r="313" spans="1:7" x14ac:dyDescent="0.25">
      <c r="A313">
        <v>6459</v>
      </c>
      <c r="B313" t="s">
        <v>31</v>
      </c>
      <c r="C313" t="s">
        <v>5888</v>
      </c>
      <c r="D313" t="s">
        <v>5556</v>
      </c>
      <c r="E313" t="s">
        <v>5554</v>
      </c>
      <c r="F313">
        <v>1867</v>
      </c>
      <c r="G313">
        <v>1959</v>
      </c>
    </row>
    <row r="314" spans="1:7" x14ac:dyDescent="0.25">
      <c r="A314">
        <v>6476</v>
      </c>
      <c r="B314" t="s">
        <v>2264</v>
      </c>
      <c r="C314" t="s">
        <v>5889</v>
      </c>
      <c r="D314" t="s">
        <v>5890</v>
      </c>
      <c r="E314" t="s">
        <v>5554</v>
      </c>
      <c r="F314">
        <v>1928</v>
      </c>
      <c r="G314">
        <v>1985</v>
      </c>
    </row>
    <row r="315" spans="1:7" x14ac:dyDescent="0.25">
      <c r="A315">
        <v>6518</v>
      </c>
      <c r="B315" t="s">
        <v>203</v>
      </c>
      <c r="C315" t="s">
        <v>5891</v>
      </c>
      <c r="D315" t="s">
        <v>5556</v>
      </c>
      <c r="E315" t="s">
        <v>5554</v>
      </c>
      <c r="F315">
        <v>1905</v>
      </c>
      <c r="G315">
        <v>1995</v>
      </c>
    </row>
    <row r="316" spans="1:7" x14ac:dyDescent="0.25">
      <c r="A316">
        <v>6520</v>
      </c>
      <c r="B316" t="s">
        <v>1864</v>
      </c>
      <c r="C316" t="s">
        <v>5639</v>
      </c>
      <c r="D316" t="s">
        <v>5556</v>
      </c>
      <c r="E316" t="s">
        <v>5554</v>
      </c>
      <c r="F316">
        <v>1935</v>
      </c>
      <c r="G316">
        <v>0</v>
      </c>
    </row>
    <row r="317" spans="1:7" x14ac:dyDescent="0.25">
      <c r="A317">
        <v>6524</v>
      </c>
      <c r="B317" t="s">
        <v>653</v>
      </c>
      <c r="C317" t="s">
        <v>5892</v>
      </c>
      <c r="D317" t="s">
        <v>5556</v>
      </c>
      <c r="E317" t="s">
        <v>5554</v>
      </c>
      <c r="F317">
        <v>1926</v>
      </c>
      <c r="G317">
        <v>2020</v>
      </c>
    </row>
    <row r="318" spans="1:7" x14ac:dyDescent="0.25">
      <c r="A318">
        <v>6533</v>
      </c>
      <c r="B318" t="s">
        <v>686</v>
      </c>
      <c r="C318" t="s">
        <v>5893</v>
      </c>
      <c r="D318" t="s">
        <v>5553</v>
      </c>
      <c r="E318" t="s">
        <v>5554</v>
      </c>
      <c r="F318">
        <v>1890</v>
      </c>
      <c r="G318">
        <v>1967</v>
      </c>
    </row>
    <row r="319" spans="1:7" x14ac:dyDescent="0.25">
      <c r="A319">
        <v>6543</v>
      </c>
      <c r="B319" t="s">
        <v>5894</v>
      </c>
      <c r="C319" t="s">
        <v>5681</v>
      </c>
      <c r="D319" t="s">
        <v>5556</v>
      </c>
      <c r="E319" t="s">
        <v>5554</v>
      </c>
      <c r="F319">
        <v>1948</v>
      </c>
      <c r="G319">
        <v>0</v>
      </c>
    </row>
    <row r="320" spans="1:7" x14ac:dyDescent="0.25">
      <c r="A320">
        <v>6602</v>
      </c>
      <c r="B320" t="s">
        <v>1590</v>
      </c>
      <c r="C320" t="s">
        <v>5895</v>
      </c>
      <c r="D320" t="s">
        <v>5556</v>
      </c>
      <c r="E320" t="s">
        <v>5561</v>
      </c>
      <c r="F320">
        <v>1960</v>
      </c>
      <c r="G320">
        <v>0</v>
      </c>
    </row>
    <row r="321" spans="1:7" x14ac:dyDescent="0.25">
      <c r="A321">
        <v>6623</v>
      </c>
      <c r="B321" t="s">
        <v>700</v>
      </c>
      <c r="C321" t="s">
        <v>5896</v>
      </c>
      <c r="D321" t="s">
        <v>5556</v>
      </c>
      <c r="E321" t="s">
        <v>5554</v>
      </c>
      <c r="F321">
        <v>1954</v>
      </c>
      <c r="G321">
        <v>1992</v>
      </c>
    </row>
    <row r="322" spans="1:7" x14ac:dyDescent="0.25">
      <c r="A322">
        <v>6624</v>
      </c>
      <c r="B322" t="s">
        <v>608</v>
      </c>
      <c r="C322" t="s">
        <v>5897</v>
      </c>
      <c r="D322" t="s">
        <v>5553</v>
      </c>
      <c r="E322" t="s">
        <v>5554</v>
      </c>
      <c r="F322">
        <v>1881</v>
      </c>
      <c r="G322">
        <v>1955</v>
      </c>
    </row>
    <row r="323" spans="1:7" x14ac:dyDescent="0.25">
      <c r="A323">
        <v>6628</v>
      </c>
      <c r="B323" t="s">
        <v>1753</v>
      </c>
      <c r="C323" t="s">
        <v>5898</v>
      </c>
      <c r="D323" t="s">
        <v>5556</v>
      </c>
      <c r="E323" t="s">
        <v>5561</v>
      </c>
      <c r="F323">
        <v>1942</v>
      </c>
      <c r="G323">
        <v>2021</v>
      </c>
    </row>
    <row r="324" spans="1:7" x14ac:dyDescent="0.25">
      <c r="A324">
        <v>6636</v>
      </c>
      <c r="B324" t="s">
        <v>952</v>
      </c>
      <c r="C324" t="s">
        <v>5899</v>
      </c>
      <c r="D324" t="s">
        <v>5556</v>
      </c>
      <c r="E324" t="s">
        <v>5554</v>
      </c>
      <c r="F324">
        <v>1943</v>
      </c>
      <c r="G324">
        <v>1978</v>
      </c>
    </row>
    <row r="325" spans="1:7" x14ac:dyDescent="0.25">
      <c r="A325">
        <v>6640</v>
      </c>
      <c r="B325" t="s">
        <v>1694</v>
      </c>
      <c r="C325" t="s">
        <v>5704</v>
      </c>
      <c r="D325" t="s">
        <v>5556</v>
      </c>
      <c r="E325" t="s">
        <v>5561</v>
      </c>
      <c r="F325">
        <v>1950</v>
      </c>
      <c r="G325">
        <v>0</v>
      </c>
    </row>
    <row r="326" spans="1:7" x14ac:dyDescent="0.25">
      <c r="A326">
        <v>6809</v>
      </c>
      <c r="B326" t="s">
        <v>1097</v>
      </c>
      <c r="C326" t="s">
        <v>5900</v>
      </c>
      <c r="D326" t="s">
        <v>5556</v>
      </c>
      <c r="E326" t="s">
        <v>5554</v>
      </c>
      <c r="F326">
        <v>1927</v>
      </c>
      <c r="G326">
        <v>2017</v>
      </c>
    </row>
    <row r="327" spans="1:7" x14ac:dyDescent="0.25">
      <c r="A327">
        <v>6902</v>
      </c>
      <c r="B327" t="s">
        <v>999</v>
      </c>
      <c r="C327" t="s">
        <v>5895</v>
      </c>
      <c r="D327" t="s">
        <v>5556</v>
      </c>
      <c r="E327" t="s">
        <v>5554</v>
      </c>
      <c r="F327">
        <v>1960</v>
      </c>
      <c r="G327">
        <v>0</v>
      </c>
    </row>
    <row r="328" spans="1:7" x14ac:dyDescent="0.25">
      <c r="A328">
        <v>6910</v>
      </c>
      <c r="B328" t="s">
        <v>972</v>
      </c>
      <c r="C328" t="s">
        <v>5901</v>
      </c>
      <c r="D328" t="s">
        <v>5576</v>
      </c>
      <c r="E328" t="s">
        <v>5561</v>
      </c>
      <c r="F328">
        <v>1963</v>
      </c>
      <c r="G328">
        <v>0</v>
      </c>
    </row>
    <row r="329" spans="1:7" x14ac:dyDescent="0.25">
      <c r="A329">
        <v>6913</v>
      </c>
      <c r="B329" t="s">
        <v>1456</v>
      </c>
      <c r="C329" t="s">
        <v>5902</v>
      </c>
      <c r="D329" t="s">
        <v>5556</v>
      </c>
      <c r="E329" t="s">
        <v>5554</v>
      </c>
      <c r="F329">
        <v>1958</v>
      </c>
      <c r="G329">
        <v>1992</v>
      </c>
    </row>
    <row r="330" spans="1:7" x14ac:dyDescent="0.25">
      <c r="A330">
        <v>6916</v>
      </c>
      <c r="B330" t="s">
        <v>1461</v>
      </c>
      <c r="C330" t="s">
        <v>5903</v>
      </c>
      <c r="D330" t="s">
        <v>5671</v>
      </c>
      <c r="E330" t="s">
        <v>5561</v>
      </c>
      <c r="F330">
        <v>1912</v>
      </c>
      <c r="G330">
        <v>2000</v>
      </c>
    </row>
    <row r="331" spans="1:7" x14ac:dyDescent="0.25">
      <c r="A331">
        <v>6971</v>
      </c>
      <c r="B331" t="s">
        <v>463</v>
      </c>
      <c r="C331" t="s">
        <v>5904</v>
      </c>
      <c r="D331" t="s">
        <v>5567</v>
      </c>
      <c r="E331" t="s">
        <v>5554</v>
      </c>
      <c r="F331">
        <v>1883</v>
      </c>
      <c r="G331">
        <v>1942</v>
      </c>
    </row>
    <row r="332" spans="1:7" x14ac:dyDescent="0.25">
      <c r="A332">
        <v>7017</v>
      </c>
      <c r="B332" t="s">
        <v>1409</v>
      </c>
      <c r="C332" t="s">
        <v>5681</v>
      </c>
      <c r="D332" t="s">
        <v>5556</v>
      </c>
      <c r="E332" t="s">
        <v>5561</v>
      </c>
      <c r="F332">
        <v>1948</v>
      </c>
      <c r="G332">
        <v>0</v>
      </c>
    </row>
    <row r="333" spans="1:7" x14ac:dyDescent="0.25">
      <c r="A333">
        <v>7066</v>
      </c>
      <c r="B333" t="s">
        <v>765</v>
      </c>
      <c r="C333" t="s">
        <v>5905</v>
      </c>
      <c r="D333" t="s">
        <v>5556</v>
      </c>
      <c r="E333" t="s">
        <v>5561</v>
      </c>
      <c r="F333">
        <v>1930</v>
      </c>
      <c r="G333">
        <v>2024</v>
      </c>
    </row>
    <row r="334" spans="1:7" x14ac:dyDescent="0.25">
      <c r="A334">
        <v>7094</v>
      </c>
      <c r="B334" t="s">
        <v>699</v>
      </c>
      <c r="C334" t="s">
        <v>5906</v>
      </c>
      <c r="D334" t="s">
        <v>5556</v>
      </c>
      <c r="E334" t="s">
        <v>5554</v>
      </c>
      <c r="F334">
        <v>1946</v>
      </c>
      <c r="G334">
        <v>1999</v>
      </c>
    </row>
    <row r="335" spans="1:7" x14ac:dyDescent="0.25">
      <c r="A335">
        <v>7166</v>
      </c>
      <c r="B335" t="s">
        <v>21</v>
      </c>
      <c r="C335" t="s">
        <v>5907</v>
      </c>
      <c r="D335" t="s">
        <v>5556</v>
      </c>
      <c r="E335" t="s">
        <v>5554</v>
      </c>
      <c r="F335">
        <v>1886</v>
      </c>
      <c r="G335">
        <v>1969</v>
      </c>
    </row>
    <row r="336" spans="1:7" x14ac:dyDescent="0.25">
      <c r="A336">
        <v>7217</v>
      </c>
      <c r="B336" t="s">
        <v>5908</v>
      </c>
      <c r="C336" t="s">
        <v>5704</v>
      </c>
      <c r="D336" t="s">
        <v>5556</v>
      </c>
      <c r="E336" t="s">
        <v>5554</v>
      </c>
      <c r="F336">
        <v>1950</v>
      </c>
      <c r="G336">
        <v>0</v>
      </c>
    </row>
    <row r="337" spans="1:7" x14ac:dyDescent="0.25">
      <c r="A337">
        <v>7221</v>
      </c>
      <c r="B337" t="s">
        <v>547</v>
      </c>
      <c r="C337" t="s">
        <v>5909</v>
      </c>
      <c r="D337" t="s">
        <v>5570</v>
      </c>
      <c r="E337" t="s">
        <v>5554</v>
      </c>
      <c r="F337">
        <v>1942</v>
      </c>
      <c r="G337">
        <v>0</v>
      </c>
    </row>
    <row r="338" spans="1:7" x14ac:dyDescent="0.25">
      <c r="A338">
        <v>7316</v>
      </c>
      <c r="B338" t="s">
        <v>5910</v>
      </c>
      <c r="C338" t="s">
        <v>5911</v>
      </c>
      <c r="D338" t="s">
        <v>5580</v>
      </c>
      <c r="E338" t="s">
        <v>5554</v>
      </c>
      <c r="F338">
        <v>1936</v>
      </c>
      <c r="G338">
        <v>0</v>
      </c>
    </row>
    <row r="339" spans="1:7" x14ac:dyDescent="0.25">
      <c r="A339">
        <v>7317</v>
      </c>
      <c r="B339" t="s">
        <v>5912</v>
      </c>
      <c r="C339" t="s">
        <v>5913</v>
      </c>
      <c r="D339" t="s">
        <v>5580</v>
      </c>
      <c r="E339" t="s">
        <v>5554</v>
      </c>
      <c r="F339">
        <v>1935</v>
      </c>
      <c r="G339">
        <v>0</v>
      </c>
    </row>
    <row r="340" spans="1:7" x14ac:dyDescent="0.25">
      <c r="A340">
        <v>7391</v>
      </c>
      <c r="B340" t="s">
        <v>3249</v>
      </c>
      <c r="C340" t="s">
        <v>5914</v>
      </c>
      <c r="D340" t="s">
        <v>5580</v>
      </c>
      <c r="E340" t="s">
        <v>5561</v>
      </c>
      <c r="F340">
        <v>1926</v>
      </c>
      <c r="G340">
        <v>2019</v>
      </c>
    </row>
    <row r="341" spans="1:7" x14ac:dyDescent="0.25">
      <c r="A341">
        <v>7407</v>
      </c>
      <c r="B341" t="s">
        <v>1881</v>
      </c>
      <c r="C341" t="s">
        <v>5915</v>
      </c>
      <c r="D341" t="s">
        <v>5916</v>
      </c>
      <c r="E341" t="s">
        <v>5561</v>
      </c>
      <c r="F341">
        <v>1940</v>
      </c>
      <c r="G341">
        <v>0</v>
      </c>
    </row>
    <row r="342" spans="1:7" x14ac:dyDescent="0.25">
      <c r="A342">
        <v>7440</v>
      </c>
      <c r="B342" t="s">
        <v>121</v>
      </c>
      <c r="C342" t="s">
        <v>5917</v>
      </c>
      <c r="D342" t="s">
        <v>5690</v>
      </c>
      <c r="E342" t="s">
        <v>5554</v>
      </c>
      <c r="F342">
        <v>1949</v>
      </c>
      <c r="G342">
        <v>0</v>
      </c>
    </row>
    <row r="343" spans="1:7" x14ac:dyDescent="0.25">
      <c r="A343">
        <v>7501</v>
      </c>
      <c r="B343" t="s">
        <v>1009</v>
      </c>
      <c r="C343" t="s">
        <v>5918</v>
      </c>
      <c r="D343" t="s">
        <v>5919</v>
      </c>
      <c r="E343" t="s">
        <v>5561</v>
      </c>
      <c r="F343">
        <v>1964</v>
      </c>
      <c r="G343">
        <v>0</v>
      </c>
    </row>
    <row r="344" spans="1:7" x14ac:dyDescent="0.25">
      <c r="A344">
        <v>7502</v>
      </c>
      <c r="B344" t="s">
        <v>712</v>
      </c>
      <c r="C344" t="s">
        <v>5920</v>
      </c>
      <c r="D344" t="s">
        <v>5582</v>
      </c>
      <c r="E344" t="s">
        <v>5561</v>
      </c>
      <c r="F344">
        <v>1944</v>
      </c>
      <c r="G344">
        <v>2024</v>
      </c>
    </row>
    <row r="345" spans="1:7" x14ac:dyDescent="0.25">
      <c r="A345">
        <v>7520</v>
      </c>
      <c r="B345" t="s">
        <v>1006</v>
      </c>
      <c r="C345" t="s">
        <v>5921</v>
      </c>
      <c r="D345" t="s">
        <v>5753</v>
      </c>
      <c r="E345" t="s">
        <v>5554</v>
      </c>
      <c r="F345">
        <v>1958</v>
      </c>
      <c r="G345">
        <v>0</v>
      </c>
    </row>
    <row r="346" spans="1:7" x14ac:dyDescent="0.25">
      <c r="A346">
        <v>7521</v>
      </c>
      <c r="B346" t="s">
        <v>1022</v>
      </c>
      <c r="C346" t="s">
        <v>5922</v>
      </c>
      <c r="D346" t="s">
        <v>5923</v>
      </c>
      <c r="E346" t="s">
        <v>5561</v>
      </c>
      <c r="F346">
        <v>1953</v>
      </c>
      <c r="G346">
        <v>0</v>
      </c>
    </row>
    <row r="347" spans="1:7" x14ac:dyDescent="0.25">
      <c r="A347">
        <v>7524</v>
      </c>
      <c r="B347" t="s">
        <v>870</v>
      </c>
      <c r="C347" t="s">
        <v>5924</v>
      </c>
      <c r="D347" t="s">
        <v>5556</v>
      </c>
      <c r="E347" t="s">
        <v>5561</v>
      </c>
      <c r="F347">
        <v>1892</v>
      </c>
      <c r="G347">
        <v>1987</v>
      </c>
    </row>
    <row r="348" spans="1:7" x14ac:dyDescent="0.25">
      <c r="A348">
        <v>7561</v>
      </c>
      <c r="B348" t="s">
        <v>3706</v>
      </c>
      <c r="C348" t="s">
        <v>5925</v>
      </c>
      <c r="D348" t="s">
        <v>5693</v>
      </c>
      <c r="E348" t="s">
        <v>5554</v>
      </c>
      <c r="F348">
        <v>1941</v>
      </c>
      <c r="G348">
        <v>0</v>
      </c>
    </row>
    <row r="349" spans="1:7" x14ac:dyDescent="0.25">
      <c r="A349">
        <v>7562</v>
      </c>
      <c r="B349" t="s">
        <v>5926</v>
      </c>
      <c r="C349" t="s">
        <v>5927</v>
      </c>
      <c r="D349" t="s">
        <v>5693</v>
      </c>
      <c r="E349" t="s">
        <v>5554</v>
      </c>
      <c r="F349">
        <v>1943</v>
      </c>
      <c r="G349">
        <v>0</v>
      </c>
    </row>
    <row r="350" spans="1:7" x14ac:dyDescent="0.25">
      <c r="A350">
        <v>7715</v>
      </c>
      <c r="B350" t="s">
        <v>830</v>
      </c>
      <c r="C350" t="s">
        <v>5928</v>
      </c>
      <c r="D350" t="s">
        <v>5762</v>
      </c>
      <c r="E350" t="s">
        <v>5554</v>
      </c>
      <c r="F350">
        <v>1937</v>
      </c>
      <c r="G350">
        <v>1980</v>
      </c>
    </row>
    <row r="351" spans="1:7" x14ac:dyDescent="0.25">
      <c r="A351">
        <v>7816</v>
      </c>
      <c r="B351" t="s">
        <v>1272</v>
      </c>
      <c r="C351" t="s">
        <v>5929</v>
      </c>
      <c r="D351" t="s">
        <v>5693</v>
      </c>
      <c r="E351" t="s">
        <v>5561</v>
      </c>
      <c r="F351">
        <v>1940</v>
      </c>
      <c r="G351">
        <v>0</v>
      </c>
    </row>
    <row r="352" spans="1:7" x14ac:dyDescent="0.25">
      <c r="A352">
        <v>7928</v>
      </c>
      <c r="B352" t="s">
        <v>1177</v>
      </c>
      <c r="C352" t="s">
        <v>5930</v>
      </c>
      <c r="D352" t="s">
        <v>5556</v>
      </c>
      <c r="E352" t="s">
        <v>5561</v>
      </c>
      <c r="F352">
        <v>1947</v>
      </c>
      <c r="G352">
        <v>0</v>
      </c>
    </row>
    <row r="353" spans="1:7" x14ac:dyDescent="0.25">
      <c r="A353">
        <v>7954</v>
      </c>
      <c r="B353" t="s">
        <v>1552</v>
      </c>
      <c r="C353" t="s">
        <v>5931</v>
      </c>
      <c r="D353" t="s">
        <v>5556</v>
      </c>
      <c r="E353" t="s">
        <v>5554</v>
      </c>
      <c r="F353">
        <v>1932</v>
      </c>
      <c r="G353">
        <v>2021</v>
      </c>
    </row>
    <row r="354" spans="1:7" x14ac:dyDescent="0.25">
      <c r="A354">
        <v>7958</v>
      </c>
      <c r="B354" t="s">
        <v>949</v>
      </c>
      <c r="C354" t="s">
        <v>5932</v>
      </c>
      <c r="D354" t="s">
        <v>5762</v>
      </c>
      <c r="E354" t="s">
        <v>5554</v>
      </c>
      <c r="F354">
        <v>1957</v>
      </c>
      <c r="G354">
        <v>1993</v>
      </c>
    </row>
    <row r="355" spans="1:7" x14ac:dyDescent="0.25">
      <c r="A355">
        <v>7987</v>
      </c>
      <c r="B355" t="s">
        <v>71</v>
      </c>
      <c r="C355" t="s">
        <v>5933</v>
      </c>
      <c r="D355" t="s">
        <v>5576</v>
      </c>
      <c r="E355" t="s">
        <v>5554</v>
      </c>
      <c r="F355">
        <v>1937</v>
      </c>
      <c r="G355">
        <v>0</v>
      </c>
    </row>
    <row r="356" spans="1:7" x14ac:dyDescent="0.25">
      <c r="A356">
        <v>8032</v>
      </c>
      <c r="B356" t="s">
        <v>1700</v>
      </c>
      <c r="C356" t="s">
        <v>5934</v>
      </c>
      <c r="D356" t="s">
        <v>5630</v>
      </c>
      <c r="E356" t="s">
        <v>5561</v>
      </c>
      <c r="F356">
        <v>1967</v>
      </c>
      <c r="G356">
        <v>1999</v>
      </c>
    </row>
    <row r="357" spans="1:7" x14ac:dyDescent="0.25">
      <c r="A357">
        <v>8042</v>
      </c>
      <c r="B357" t="s">
        <v>1136</v>
      </c>
      <c r="C357" t="s">
        <v>5935</v>
      </c>
      <c r="D357" t="s">
        <v>5556</v>
      </c>
      <c r="E357" t="s">
        <v>5561</v>
      </c>
      <c r="F357">
        <v>1965</v>
      </c>
      <c r="G357">
        <v>0</v>
      </c>
    </row>
    <row r="358" spans="1:7" x14ac:dyDescent="0.25">
      <c r="A358">
        <v>8073</v>
      </c>
      <c r="B358" t="s">
        <v>3207</v>
      </c>
      <c r="C358" t="s">
        <v>5936</v>
      </c>
      <c r="D358" t="s">
        <v>5937</v>
      </c>
      <c r="E358" t="s">
        <v>5554</v>
      </c>
      <c r="F358">
        <v>1957</v>
      </c>
      <c r="G358">
        <v>0</v>
      </c>
    </row>
    <row r="359" spans="1:7" x14ac:dyDescent="0.25">
      <c r="A359">
        <v>8084</v>
      </c>
      <c r="B359" t="s">
        <v>1406</v>
      </c>
      <c r="C359" t="s">
        <v>5938</v>
      </c>
      <c r="D359" t="s">
        <v>5556</v>
      </c>
      <c r="E359" t="s">
        <v>5554</v>
      </c>
      <c r="F359">
        <v>1925</v>
      </c>
      <c r="G359">
        <v>2007</v>
      </c>
    </row>
    <row r="360" spans="1:7" x14ac:dyDescent="0.25">
      <c r="A360">
        <v>8085</v>
      </c>
      <c r="B360" t="s">
        <v>1039</v>
      </c>
      <c r="C360" t="s">
        <v>5939</v>
      </c>
      <c r="D360" t="s">
        <v>5556</v>
      </c>
      <c r="E360" t="s">
        <v>5561</v>
      </c>
      <c r="F360">
        <v>1898</v>
      </c>
      <c r="G360">
        <v>1992</v>
      </c>
    </row>
    <row r="361" spans="1:7" x14ac:dyDescent="0.25">
      <c r="A361">
        <v>8149</v>
      </c>
      <c r="B361" t="s">
        <v>383</v>
      </c>
      <c r="C361" t="s">
        <v>5940</v>
      </c>
      <c r="D361" t="s">
        <v>5582</v>
      </c>
      <c r="E361" t="s">
        <v>5554</v>
      </c>
      <c r="F361">
        <v>1965</v>
      </c>
      <c r="G361">
        <v>0</v>
      </c>
    </row>
    <row r="362" spans="1:7" x14ac:dyDescent="0.25">
      <c r="A362">
        <v>8182</v>
      </c>
      <c r="B362" t="s">
        <v>5941</v>
      </c>
      <c r="C362" t="s">
        <v>5942</v>
      </c>
      <c r="D362" t="s">
        <v>5693</v>
      </c>
      <c r="E362" t="s">
        <v>5554</v>
      </c>
      <c r="F362">
        <v>1817</v>
      </c>
      <c r="G362">
        <v>1884</v>
      </c>
    </row>
    <row r="363" spans="1:7" x14ac:dyDescent="0.25">
      <c r="A363">
        <v>8195</v>
      </c>
      <c r="B363" t="s">
        <v>1548</v>
      </c>
      <c r="C363" t="s">
        <v>5943</v>
      </c>
      <c r="D363" t="s">
        <v>5553</v>
      </c>
      <c r="E363" t="s">
        <v>5561</v>
      </c>
      <c r="F363">
        <v>1894</v>
      </c>
      <c r="G363">
        <v>1954</v>
      </c>
    </row>
    <row r="364" spans="1:7" x14ac:dyDescent="0.25">
      <c r="A364">
        <v>8196</v>
      </c>
      <c r="B364" t="s">
        <v>1134</v>
      </c>
      <c r="C364" t="s">
        <v>5944</v>
      </c>
      <c r="D364" t="s">
        <v>5762</v>
      </c>
      <c r="E364" t="s">
        <v>5561</v>
      </c>
      <c r="F364">
        <v>1927</v>
      </c>
      <c r="G364">
        <v>2004</v>
      </c>
    </row>
    <row r="365" spans="1:7" x14ac:dyDescent="0.25">
      <c r="A365">
        <v>8317</v>
      </c>
      <c r="B365" t="s">
        <v>4930</v>
      </c>
      <c r="C365" t="s">
        <v>5945</v>
      </c>
      <c r="D365" t="s">
        <v>5628</v>
      </c>
      <c r="E365" t="s">
        <v>5561</v>
      </c>
      <c r="F365">
        <v>1908</v>
      </c>
      <c r="G365">
        <v>1963</v>
      </c>
    </row>
    <row r="366" spans="1:7" x14ac:dyDescent="0.25">
      <c r="A366">
        <v>8324</v>
      </c>
      <c r="B366" t="s">
        <v>5946</v>
      </c>
      <c r="C366" t="s">
        <v>5588</v>
      </c>
      <c r="D366" t="s">
        <v>5556</v>
      </c>
      <c r="E366" t="s">
        <v>5554</v>
      </c>
      <c r="F366">
        <v>1941</v>
      </c>
      <c r="G366">
        <v>0</v>
      </c>
    </row>
    <row r="367" spans="1:7" x14ac:dyDescent="0.25">
      <c r="A367">
        <v>8412</v>
      </c>
      <c r="B367" t="s">
        <v>5947</v>
      </c>
      <c r="C367" t="s">
        <v>5948</v>
      </c>
      <c r="D367" t="s">
        <v>5693</v>
      </c>
      <c r="F367">
        <v>1967</v>
      </c>
      <c r="G367">
        <v>1992</v>
      </c>
    </row>
    <row r="368" spans="1:7" x14ac:dyDescent="0.25">
      <c r="A368">
        <v>8413</v>
      </c>
      <c r="B368" t="s">
        <v>5949</v>
      </c>
      <c r="C368" t="s">
        <v>5925</v>
      </c>
      <c r="D368" t="s">
        <v>5693</v>
      </c>
      <c r="E368" t="s">
        <v>5554</v>
      </c>
      <c r="F368">
        <v>1941</v>
      </c>
      <c r="G368">
        <v>0</v>
      </c>
    </row>
    <row r="369" spans="1:7" x14ac:dyDescent="0.25">
      <c r="A369">
        <v>8414</v>
      </c>
      <c r="B369" t="s">
        <v>5950</v>
      </c>
      <c r="C369" t="s">
        <v>5929</v>
      </c>
      <c r="D369" t="s">
        <v>5693</v>
      </c>
      <c r="E369" t="s">
        <v>5554</v>
      </c>
      <c r="F369">
        <v>1940</v>
      </c>
      <c r="G369">
        <v>0</v>
      </c>
    </row>
    <row r="370" spans="1:7" x14ac:dyDescent="0.25">
      <c r="A370">
        <v>8418</v>
      </c>
      <c r="B370" t="s">
        <v>136</v>
      </c>
      <c r="C370" t="s">
        <v>5951</v>
      </c>
      <c r="D370" t="s">
        <v>5553</v>
      </c>
      <c r="E370" t="s">
        <v>5554</v>
      </c>
      <c r="F370">
        <v>1949</v>
      </c>
      <c r="G370">
        <v>0</v>
      </c>
    </row>
    <row r="371" spans="1:7" x14ac:dyDescent="0.25">
      <c r="A371">
        <v>8435</v>
      </c>
      <c r="B371" t="s">
        <v>575</v>
      </c>
      <c r="C371" t="s">
        <v>5952</v>
      </c>
      <c r="D371" t="s">
        <v>5576</v>
      </c>
      <c r="E371" t="s">
        <v>5554</v>
      </c>
      <c r="F371">
        <v>1899</v>
      </c>
      <c r="G371">
        <v>1967</v>
      </c>
    </row>
    <row r="372" spans="1:7" x14ac:dyDescent="0.25">
      <c r="A372">
        <v>8492</v>
      </c>
      <c r="B372" t="s">
        <v>5953</v>
      </c>
      <c r="C372" t="s">
        <v>5954</v>
      </c>
      <c r="D372" t="s">
        <v>5556</v>
      </c>
      <c r="E372" t="s">
        <v>5554</v>
      </c>
      <c r="F372">
        <v>1924</v>
      </c>
      <c r="G372">
        <v>2013</v>
      </c>
    </row>
    <row r="373" spans="1:7" x14ac:dyDescent="0.25">
      <c r="A373">
        <v>8595</v>
      </c>
      <c r="B373" t="s">
        <v>767</v>
      </c>
      <c r="F373">
        <v>0</v>
      </c>
      <c r="G373">
        <v>0</v>
      </c>
    </row>
    <row r="374" spans="1:7" x14ac:dyDescent="0.25">
      <c r="A374">
        <v>8845</v>
      </c>
      <c r="B374" t="s">
        <v>5955</v>
      </c>
      <c r="C374" t="s">
        <v>5956</v>
      </c>
      <c r="D374" t="s">
        <v>5693</v>
      </c>
      <c r="E374" t="s">
        <v>5554</v>
      </c>
      <c r="F374">
        <v>1791</v>
      </c>
      <c r="G374">
        <v>1868</v>
      </c>
    </row>
    <row r="375" spans="1:7" x14ac:dyDescent="0.25">
      <c r="A375">
        <v>9325</v>
      </c>
      <c r="B375" t="s">
        <v>4544</v>
      </c>
      <c r="C375" t="s">
        <v>5957</v>
      </c>
      <c r="F375">
        <v>1927</v>
      </c>
      <c r="G375">
        <v>0</v>
      </c>
    </row>
    <row r="376" spans="1:7" x14ac:dyDescent="0.25">
      <c r="A376">
        <v>9339</v>
      </c>
      <c r="B376" t="s">
        <v>159</v>
      </c>
      <c r="C376" t="s">
        <v>5958</v>
      </c>
      <c r="D376" t="s">
        <v>5556</v>
      </c>
      <c r="F376">
        <v>1910</v>
      </c>
      <c r="G376">
        <v>0</v>
      </c>
    </row>
    <row r="377" spans="1:7" x14ac:dyDescent="0.25">
      <c r="A377">
        <v>9555</v>
      </c>
      <c r="B377" t="s">
        <v>4538</v>
      </c>
      <c r="C377" t="s">
        <v>5959</v>
      </c>
      <c r="D377" t="s">
        <v>5690</v>
      </c>
      <c r="F377">
        <v>1965</v>
      </c>
      <c r="G377">
        <v>0</v>
      </c>
    </row>
    <row r="378" spans="1:7" x14ac:dyDescent="0.25">
      <c r="A378">
        <v>9682</v>
      </c>
      <c r="B378" t="s">
        <v>236</v>
      </c>
      <c r="C378" t="s">
        <v>5960</v>
      </c>
      <c r="D378" t="s">
        <v>5553</v>
      </c>
      <c r="F378">
        <v>1875</v>
      </c>
      <c r="G378">
        <v>0</v>
      </c>
    </row>
    <row r="379" spans="1:7" x14ac:dyDescent="0.25">
      <c r="A379">
        <v>9724</v>
      </c>
      <c r="B379" t="s">
        <v>199</v>
      </c>
      <c r="D379" t="s">
        <v>5556</v>
      </c>
      <c r="F379">
        <v>0</v>
      </c>
      <c r="G379">
        <v>0</v>
      </c>
    </row>
    <row r="380" spans="1:7" x14ac:dyDescent="0.25">
      <c r="A380">
        <v>9953</v>
      </c>
      <c r="B380" t="s">
        <v>270</v>
      </c>
      <c r="C380" t="s">
        <v>5961</v>
      </c>
      <c r="D380" t="s">
        <v>5556</v>
      </c>
      <c r="F380">
        <v>1898</v>
      </c>
      <c r="G380">
        <v>0</v>
      </c>
    </row>
    <row r="381" spans="1:7" x14ac:dyDescent="0.25">
      <c r="A381">
        <v>9958</v>
      </c>
      <c r="B381" t="s">
        <v>271</v>
      </c>
      <c r="C381" t="s">
        <v>5962</v>
      </c>
      <c r="D381" t="s">
        <v>5556</v>
      </c>
      <c r="F381">
        <v>1888</v>
      </c>
      <c r="G381">
        <v>0</v>
      </c>
    </row>
    <row r="382" spans="1:7" x14ac:dyDescent="0.25">
      <c r="A382">
        <v>10027</v>
      </c>
      <c r="B382" t="s">
        <v>144</v>
      </c>
      <c r="C382" t="s">
        <v>5963</v>
      </c>
      <c r="D382" t="s">
        <v>5556</v>
      </c>
      <c r="F382">
        <v>1901</v>
      </c>
      <c r="G382">
        <v>0</v>
      </c>
    </row>
    <row r="383" spans="1:7" x14ac:dyDescent="0.25">
      <c r="A383">
        <v>10113</v>
      </c>
      <c r="B383" t="s">
        <v>309</v>
      </c>
      <c r="D383" t="s">
        <v>5556</v>
      </c>
      <c r="F383">
        <v>0</v>
      </c>
      <c r="G383">
        <v>0</v>
      </c>
    </row>
    <row r="384" spans="1:7" x14ac:dyDescent="0.25">
      <c r="A384">
        <v>10121</v>
      </c>
      <c r="B384" t="s">
        <v>296</v>
      </c>
      <c r="C384" t="s">
        <v>5964</v>
      </c>
      <c r="D384" t="s">
        <v>5556</v>
      </c>
      <c r="F384">
        <v>1802</v>
      </c>
      <c r="G384">
        <v>0</v>
      </c>
    </row>
    <row r="385" spans="1:7" x14ac:dyDescent="0.25">
      <c r="A385">
        <v>10302</v>
      </c>
      <c r="B385" t="s">
        <v>355</v>
      </c>
      <c r="C385" t="s">
        <v>5965</v>
      </c>
      <c r="D385" t="s">
        <v>5556</v>
      </c>
      <c r="F385">
        <v>1903</v>
      </c>
      <c r="G385">
        <v>0</v>
      </c>
    </row>
    <row r="386" spans="1:7" x14ac:dyDescent="0.25">
      <c r="A386">
        <v>10582</v>
      </c>
      <c r="B386" t="s">
        <v>5966</v>
      </c>
      <c r="C386" t="s">
        <v>5967</v>
      </c>
      <c r="F386">
        <v>1867</v>
      </c>
      <c r="G386">
        <v>0</v>
      </c>
    </row>
    <row r="387" spans="1:7" x14ac:dyDescent="0.25">
      <c r="A387">
        <v>10725</v>
      </c>
      <c r="B387" t="s">
        <v>476</v>
      </c>
      <c r="C387" t="s">
        <v>5968</v>
      </c>
      <c r="D387" t="s">
        <v>5556</v>
      </c>
      <c r="F387">
        <v>1979</v>
      </c>
      <c r="G387">
        <v>0</v>
      </c>
    </row>
    <row r="388" spans="1:7" x14ac:dyDescent="0.25">
      <c r="A388">
        <v>11936</v>
      </c>
      <c r="B388" t="s">
        <v>1913</v>
      </c>
      <c r="C388" t="s">
        <v>5969</v>
      </c>
      <c r="D388" t="s">
        <v>5671</v>
      </c>
      <c r="E388" t="s">
        <v>5554</v>
      </c>
      <c r="F388">
        <v>1914</v>
      </c>
      <c r="G388">
        <v>1998</v>
      </c>
    </row>
    <row r="389" spans="1:7" x14ac:dyDescent="0.25">
      <c r="A389">
        <v>11993</v>
      </c>
      <c r="B389" t="s">
        <v>5970</v>
      </c>
      <c r="C389" t="s">
        <v>5971</v>
      </c>
      <c r="D389" t="s">
        <v>5576</v>
      </c>
      <c r="E389" t="s">
        <v>5561</v>
      </c>
      <c r="F389">
        <v>1928</v>
      </c>
      <c r="G389">
        <v>1987</v>
      </c>
    </row>
    <row r="390" spans="1:7" x14ac:dyDescent="0.25">
      <c r="A390">
        <v>12340</v>
      </c>
      <c r="B390" t="s">
        <v>5972</v>
      </c>
      <c r="C390" t="s">
        <v>5973</v>
      </c>
      <c r="D390" t="s">
        <v>5553</v>
      </c>
      <c r="E390" t="s">
        <v>5554</v>
      </c>
      <c r="F390">
        <v>1901</v>
      </c>
      <c r="G390">
        <v>1990</v>
      </c>
    </row>
    <row r="391" spans="1:7" x14ac:dyDescent="0.25">
      <c r="A391">
        <v>12582</v>
      </c>
      <c r="B391" t="s">
        <v>5974</v>
      </c>
      <c r="C391" t="s">
        <v>5975</v>
      </c>
      <c r="D391" t="s">
        <v>5753</v>
      </c>
      <c r="E391" t="s">
        <v>5554</v>
      </c>
      <c r="F391">
        <v>1933</v>
      </c>
      <c r="G391">
        <v>2020</v>
      </c>
    </row>
    <row r="392" spans="1:7" x14ac:dyDescent="0.25">
      <c r="A392">
        <v>12594</v>
      </c>
      <c r="B392" t="s">
        <v>5976</v>
      </c>
      <c r="C392" t="s">
        <v>5977</v>
      </c>
      <c r="E392" t="s">
        <v>5554</v>
      </c>
      <c r="F392">
        <v>1910</v>
      </c>
      <c r="G392">
        <v>1999</v>
      </c>
    </row>
    <row r="393" spans="1:7" x14ac:dyDescent="0.25">
      <c r="A393">
        <v>13407</v>
      </c>
      <c r="B393" t="s">
        <v>5978</v>
      </c>
      <c r="C393" t="s">
        <v>5979</v>
      </c>
      <c r="D393" t="s">
        <v>5556</v>
      </c>
      <c r="E393" t="s">
        <v>5554</v>
      </c>
      <c r="F393">
        <v>1930</v>
      </c>
      <c r="G393">
        <v>2001</v>
      </c>
    </row>
    <row r="394" spans="1:7" x14ac:dyDescent="0.25">
      <c r="A394">
        <v>13574</v>
      </c>
      <c r="B394" t="s">
        <v>1279</v>
      </c>
      <c r="C394" t="s">
        <v>5980</v>
      </c>
      <c r="D394" t="s">
        <v>5556</v>
      </c>
      <c r="E394" t="s">
        <v>5554</v>
      </c>
      <c r="F394">
        <v>1914</v>
      </c>
      <c r="G394">
        <v>1997</v>
      </c>
    </row>
    <row r="395" spans="1:7" x14ac:dyDescent="0.25">
      <c r="A395">
        <v>13599</v>
      </c>
      <c r="B395" t="s">
        <v>5981</v>
      </c>
      <c r="C395" t="s">
        <v>5982</v>
      </c>
      <c r="D395" t="s">
        <v>5553</v>
      </c>
      <c r="E395" t="s">
        <v>5554</v>
      </c>
      <c r="F395">
        <v>1924</v>
      </c>
      <c r="G395">
        <v>2006</v>
      </c>
    </row>
    <row r="396" spans="1:7" x14ac:dyDescent="0.25">
      <c r="A396">
        <v>13634</v>
      </c>
      <c r="B396" t="s">
        <v>5983</v>
      </c>
      <c r="C396" t="s">
        <v>5984</v>
      </c>
      <c r="D396" t="s">
        <v>5553</v>
      </c>
      <c r="E396" t="s">
        <v>5554</v>
      </c>
      <c r="F396">
        <v>1901</v>
      </c>
      <c r="G396">
        <v>1986</v>
      </c>
    </row>
    <row r="397" spans="1:7" x14ac:dyDescent="0.25">
      <c r="A397">
        <v>14164</v>
      </c>
      <c r="B397" t="s">
        <v>5985</v>
      </c>
      <c r="C397" t="s">
        <v>5986</v>
      </c>
      <c r="D397" t="s">
        <v>5556</v>
      </c>
      <c r="E397" t="s">
        <v>5554</v>
      </c>
      <c r="F397">
        <v>1932</v>
      </c>
      <c r="G397">
        <v>2020</v>
      </c>
    </row>
    <row r="398" spans="1:7" x14ac:dyDescent="0.25">
      <c r="A398">
        <v>14558</v>
      </c>
      <c r="B398" t="s">
        <v>5987</v>
      </c>
      <c r="C398" t="s">
        <v>5988</v>
      </c>
      <c r="D398" t="s">
        <v>5556</v>
      </c>
      <c r="E398" t="s">
        <v>5561</v>
      </c>
      <c r="F398">
        <v>1945</v>
      </c>
      <c r="G398">
        <v>0</v>
      </c>
    </row>
    <row r="399" spans="1:7" x14ac:dyDescent="0.25">
      <c r="A399">
        <v>18539</v>
      </c>
      <c r="B399" t="s">
        <v>3619</v>
      </c>
      <c r="C399" t="s">
        <v>5989</v>
      </c>
      <c r="D399" t="s">
        <v>5556</v>
      </c>
      <c r="E399" t="s">
        <v>5561</v>
      </c>
      <c r="F399">
        <v>1940</v>
      </c>
      <c r="G399">
        <v>1993</v>
      </c>
    </row>
    <row r="400" spans="1:7" x14ac:dyDescent="0.25">
      <c r="A400">
        <v>21398</v>
      </c>
      <c r="B400" t="s">
        <v>4070</v>
      </c>
      <c r="C400" t="s">
        <v>5990</v>
      </c>
      <c r="D400" t="s">
        <v>5556</v>
      </c>
      <c r="E400" t="s">
        <v>5554</v>
      </c>
      <c r="F400">
        <v>1931</v>
      </c>
      <c r="G400">
        <v>1978</v>
      </c>
    </row>
    <row r="401" spans="1:7" x14ac:dyDescent="0.25">
      <c r="A401">
        <v>23262</v>
      </c>
      <c r="B401" t="s">
        <v>5991</v>
      </c>
      <c r="C401" t="s">
        <v>5992</v>
      </c>
      <c r="D401" t="s">
        <v>5553</v>
      </c>
      <c r="E401" t="s">
        <v>5554</v>
      </c>
      <c r="F401">
        <v>1971</v>
      </c>
      <c r="G401">
        <v>0</v>
      </c>
    </row>
    <row r="402" spans="1:7" x14ac:dyDescent="0.25">
      <c r="A402">
        <v>23263</v>
      </c>
      <c r="B402" t="s">
        <v>5993</v>
      </c>
      <c r="C402" t="s">
        <v>5994</v>
      </c>
      <c r="D402" t="s">
        <v>5553</v>
      </c>
      <c r="E402" t="s">
        <v>5554</v>
      </c>
      <c r="F402">
        <v>1976</v>
      </c>
      <c r="G402">
        <v>0</v>
      </c>
    </row>
    <row r="403" spans="1:7" x14ac:dyDescent="0.25">
      <c r="A403">
        <v>23421</v>
      </c>
      <c r="B403" t="s">
        <v>3438</v>
      </c>
      <c r="C403" t="s">
        <v>5995</v>
      </c>
      <c r="D403" t="s">
        <v>5556</v>
      </c>
      <c r="E403" t="s">
        <v>5561</v>
      </c>
      <c r="F403">
        <v>1946</v>
      </c>
      <c r="G403">
        <v>1995</v>
      </c>
    </row>
    <row r="404" spans="1:7" x14ac:dyDescent="0.25">
      <c r="A404">
        <v>24409</v>
      </c>
      <c r="B404" t="s">
        <v>630</v>
      </c>
      <c r="F404">
        <v>0</v>
      </c>
      <c r="G404">
        <v>0</v>
      </c>
    </row>
    <row r="405" spans="1:7" x14ac:dyDescent="0.25">
      <c r="A405">
        <v>24533</v>
      </c>
      <c r="B405" t="s">
        <v>3450</v>
      </c>
      <c r="C405" t="s">
        <v>5996</v>
      </c>
      <c r="D405" t="s">
        <v>5582</v>
      </c>
      <c r="E405" t="s">
        <v>5554</v>
      </c>
      <c r="F405">
        <v>1893</v>
      </c>
      <c r="G405">
        <v>1969</v>
      </c>
    </row>
    <row r="406" spans="1:7" x14ac:dyDescent="0.25">
      <c r="A406">
        <v>24583</v>
      </c>
      <c r="B406" t="s">
        <v>4806</v>
      </c>
      <c r="C406" t="s">
        <v>5997</v>
      </c>
      <c r="D406" t="s">
        <v>5655</v>
      </c>
      <c r="E406" t="s">
        <v>5554</v>
      </c>
      <c r="F406">
        <v>1897</v>
      </c>
      <c r="G406">
        <v>1991</v>
      </c>
    </row>
    <row r="407" spans="1:7" x14ac:dyDescent="0.25">
      <c r="A407">
        <v>24777</v>
      </c>
      <c r="B407" t="s">
        <v>3476</v>
      </c>
      <c r="C407" t="s">
        <v>5998</v>
      </c>
      <c r="D407" t="s">
        <v>5630</v>
      </c>
      <c r="E407" t="s">
        <v>5561</v>
      </c>
      <c r="F407">
        <v>1959</v>
      </c>
      <c r="G407">
        <v>0</v>
      </c>
    </row>
    <row r="408" spans="1:7" x14ac:dyDescent="0.25">
      <c r="A408">
        <v>26342</v>
      </c>
      <c r="B408" t="s">
        <v>3530</v>
      </c>
      <c r="C408" t="s">
        <v>5999</v>
      </c>
      <c r="D408" t="s">
        <v>5556</v>
      </c>
      <c r="E408" t="s">
        <v>5554</v>
      </c>
      <c r="F408">
        <v>1943</v>
      </c>
      <c r="G408">
        <v>1991</v>
      </c>
    </row>
    <row r="409" spans="1:7" x14ac:dyDescent="0.25">
      <c r="A409">
        <v>26369</v>
      </c>
      <c r="B409" t="s">
        <v>3538</v>
      </c>
      <c r="C409" t="s">
        <v>6000</v>
      </c>
      <c r="D409" t="s">
        <v>5690</v>
      </c>
      <c r="E409" t="s">
        <v>5561</v>
      </c>
      <c r="F409">
        <v>1940</v>
      </c>
      <c r="G409">
        <v>0</v>
      </c>
    </row>
    <row r="410" spans="1:7" x14ac:dyDescent="0.25">
      <c r="A410">
        <v>26414</v>
      </c>
      <c r="B410" t="s">
        <v>6001</v>
      </c>
      <c r="C410" t="s">
        <v>6002</v>
      </c>
      <c r="D410" t="s">
        <v>5556</v>
      </c>
      <c r="E410" t="s">
        <v>5554</v>
      </c>
      <c r="F410">
        <v>1923</v>
      </c>
      <c r="G410">
        <v>2010</v>
      </c>
    </row>
    <row r="411" spans="1:7" x14ac:dyDescent="0.25">
      <c r="A411">
        <v>26740</v>
      </c>
      <c r="B411" t="s">
        <v>3627</v>
      </c>
      <c r="C411" t="s">
        <v>6003</v>
      </c>
      <c r="D411" t="s">
        <v>5556</v>
      </c>
      <c r="E411" t="s">
        <v>5554</v>
      </c>
      <c r="F411">
        <v>1968</v>
      </c>
      <c r="G411">
        <v>2024</v>
      </c>
    </row>
    <row r="412" spans="1:7" x14ac:dyDescent="0.25">
      <c r="A412">
        <v>26808</v>
      </c>
      <c r="B412" t="s">
        <v>6004</v>
      </c>
      <c r="C412" t="s">
        <v>6005</v>
      </c>
      <c r="D412" t="s">
        <v>5580</v>
      </c>
      <c r="F412">
        <v>1927</v>
      </c>
      <c r="G412">
        <v>0</v>
      </c>
    </row>
    <row r="413" spans="1:7" x14ac:dyDescent="0.25">
      <c r="A413">
        <v>27020</v>
      </c>
      <c r="B413" t="s">
        <v>6006</v>
      </c>
      <c r="C413" t="s">
        <v>6007</v>
      </c>
      <c r="D413" t="s">
        <v>5556</v>
      </c>
      <c r="E413" t="s">
        <v>5554</v>
      </c>
      <c r="F413">
        <v>0</v>
      </c>
      <c r="G413">
        <v>0</v>
      </c>
    </row>
    <row r="414" spans="1:7" x14ac:dyDescent="0.25">
      <c r="A414">
        <v>27445</v>
      </c>
      <c r="B414" t="s">
        <v>3689</v>
      </c>
      <c r="C414" t="s">
        <v>6008</v>
      </c>
      <c r="D414" t="s">
        <v>5762</v>
      </c>
      <c r="E414" t="s">
        <v>5561</v>
      </c>
      <c r="F414">
        <v>1920</v>
      </c>
      <c r="G414">
        <v>1988</v>
      </c>
    </row>
    <row r="415" spans="1:7" x14ac:dyDescent="0.25">
      <c r="A415">
        <v>27482</v>
      </c>
      <c r="B415" t="s">
        <v>3708</v>
      </c>
      <c r="C415" t="s">
        <v>6009</v>
      </c>
      <c r="D415" t="s">
        <v>5580</v>
      </c>
      <c r="F415">
        <v>1948</v>
      </c>
      <c r="G415">
        <v>0</v>
      </c>
    </row>
    <row r="416" spans="1:7" x14ac:dyDescent="0.25">
      <c r="A416">
        <v>27881</v>
      </c>
      <c r="B416" t="s">
        <v>3775</v>
      </c>
      <c r="C416" t="s">
        <v>6010</v>
      </c>
      <c r="D416" t="s">
        <v>6011</v>
      </c>
      <c r="E416" t="s">
        <v>5554</v>
      </c>
      <c r="F416">
        <v>1969</v>
      </c>
      <c r="G416">
        <v>0</v>
      </c>
    </row>
    <row r="417" spans="1:7" x14ac:dyDescent="0.25">
      <c r="A417">
        <v>27904</v>
      </c>
      <c r="B417" t="s">
        <v>3774</v>
      </c>
      <c r="C417" t="s">
        <v>6012</v>
      </c>
      <c r="D417" t="s">
        <v>5690</v>
      </c>
      <c r="E417" t="s">
        <v>5554</v>
      </c>
      <c r="F417">
        <v>1956</v>
      </c>
      <c r="G417">
        <v>0</v>
      </c>
    </row>
    <row r="418" spans="1:7" x14ac:dyDescent="0.25">
      <c r="A418">
        <v>27971</v>
      </c>
      <c r="B418" t="s">
        <v>3777</v>
      </c>
      <c r="C418" t="s">
        <v>6013</v>
      </c>
      <c r="D418" t="s">
        <v>5762</v>
      </c>
      <c r="E418" t="s">
        <v>5561</v>
      </c>
      <c r="F418">
        <v>1967</v>
      </c>
      <c r="G418">
        <v>0</v>
      </c>
    </row>
    <row r="419" spans="1:7" x14ac:dyDescent="0.25">
      <c r="A419">
        <v>28097</v>
      </c>
      <c r="B419" t="s">
        <v>3778</v>
      </c>
      <c r="C419" t="s">
        <v>6014</v>
      </c>
      <c r="D419" t="s">
        <v>6015</v>
      </c>
      <c r="E419" t="s">
        <v>5561</v>
      </c>
      <c r="F419">
        <v>1972</v>
      </c>
      <c r="G419">
        <v>0</v>
      </c>
    </row>
    <row r="420" spans="1:7" x14ac:dyDescent="0.25">
      <c r="A420">
        <v>28538</v>
      </c>
      <c r="B420" t="s">
        <v>3796</v>
      </c>
      <c r="C420" t="s">
        <v>6016</v>
      </c>
      <c r="D420" t="s">
        <v>5582</v>
      </c>
      <c r="E420" t="s">
        <v>5561</v>
      </c>
      <c r="F420">
        <v>1967</v>
      </c>
      <c r="G420">
        <v>0</v>
      </c>
    </row>
    <row r="421" spans="1:7" x14ac:dyDescent="0.25">
      <c r="A421">
        <v>28566</v>
      </c>
      <c r="B421" t="s">
        <v>3804</v>
      </c>
      <c r="C421" t="s">
        <v>6017</v>
      </c>
      <c r="D421" t="s">
        <v>5556</v>
      </c>
      <c r="E421" t="s">
        <v>5561</v>
      </c>
      <c r="F421">
        <v>1893</v>
      </c>
      <c r="G421">
        <v>1987</v>
      </c>
    </row>
    <row r="422" spans="1:7" x14ac:dyDescent="0.25">
      <c r="A422">
        <v>28632</v>
      </c>
      <c r="B422" t="s">
        <v>3813</v>
      </c>
      <c r="C422" t="s">
        <v>6018</v>
      </c>
      <c r="D422" t="s">
        <v>5582</v>
      </c>
      <c r="E422" t="s">
        <v>5561</v>
      </c>
      <c r="F422">
        <v>1948</v>
      </c>
      <c r="G422">
        <v>0</v>
      </c>
    </row>
    <row r="423" spans="1:7" x14ac:dyDescent="0.25">
      <c r="A423">
        <v>28724</v>
      </c>
      <c r="B423" t="s">
        <v>3822</v>
      </c>
      <c r="C423" t="s">
        <v>6019</v>
      </c>
      <c r="D423" t="s">
        <v>5576</v>
      </c>
      <c r="E423" t="s">
        <v>5554</v>
      </c>
      <c r="F423">
        <v>1969</v>
      </c>
      <c r="G423">
        <v>0</v>
      </c>
    </row>
    <row r="424" spans="1:7" x14ac:dyDescent="0.25">
      <c r="A424">
        <v>28846</v>
      </c>
      <c r="B424" t="s">
        <v>3824</v>
      </c>
      <c r="C424" t="s">
        <v>6020</v>
      </c>
      <c r="D424" t="s">
        <v>5582</v>
      </c>
      <c r="E424" t="s">
        <v>5561</v>
      </c>
      <c r="F424">
        <v>1960</v>
      </c>
      <c r="G424">
        <v>0</v>
      </c>
    </row>
    <row r="425" spans="1:7" x14ac:dyDescent="0.25">
      <c r="A425">
        <v>28874</v>
      </c>
      <c r="B425" t="s">
        <v>3934</v>
      </c>
      <c r="C425" t="s">
        <v>6021</v>
      </c>
      <c r="D425" t="s">
        <v>5556</v>
      </c>
      <c r="E425" t="s">
        <v>5554</v>
      </c>
      <c r="F425">
        <v>1972</v>
      </c>
      <c r="G425">
        <v>0</v>
      </c>
    </row>
    <row r="426" spans="1:7" x14ac:dyDescent="0.25">
      <c r="A426">
        <v>29857</v>
      </c>
      <c r="B426" t="s">
        <v>4501</v>
      </c>
      <c r="C426" t="s">
        <v>6022</v>
      </c>
      <c r="D426" t="s">
        <v>5582</v>
      </c>
      <c r="E426" t="s">
        <v>5554</v>
      </c>
      <c r="F426">
        <v>1967</v>
      </c>
      <c r="G426">
        <v>2002</v>
      </c>
    </row>
    <row r="427" spans="1:7" x14ac:dyDescent="0.25">
      <c r="A427">
        <v>29982</v>
      </c>
      <c r="B427" t="s">
        <v>3960</v>
      </c>
      <c r="D427" t="s">
        <v>5567</v>
      </c>
      <c r="E427" t="s">
        <v>5554</v>
      </c>
      <c r="F427">
        <v>1935</v>
      </c>
      <c r="G427">
        <v>2017</v>
      </c>
    </row>
    <row r="428" spans="1:7" x14ac:dyDescent="0.25">
      <c r="A428">
        <v>30935</v>
      </c>
      <c r="B428" t="s">
        <v>1892</v>
      </c>
      <c r="C428" t="s">
        <v>6023</v>
      </c>
      <c r="D428" t="s">
        <v>5556</v>
      </c>
      <c r="E428" t="s">
        <v>5561</v>
      </c>
      <c r="F428">
        <v>1940</v>
      </c>
      <c r="G428">
        <v>0</v>
      </c>
    </row>
    <row r="429" spans="1:7" x14ac:dyDescent="0.25">
      <c r="A429">
        <v>30952</v>
      </c>
      <c r="B429" t="s">
        <v>3872</v>
      </c>
      <c r="C429" t="s">
        <v>6024</v>
      </c>
      <c r="D429" t="s">
        <v>5693</v>
      </c>
      <c r="E429" t="s">
        <v>5561</v>
      </c>
      <c r="F429">
        <v>1949</v>
      </c>
      <c r="G429">
        <v>2003</v>
      </c>
    </row>
    <row r="430" spans="1:7" x14ac:dyDescent="0.25">
      <c r="A430">
        <v>31072</v>
      </c>
      <c r="B430" t="s">
        <v>3873</v>
      </c>
      <c r="C430" t="s">
        <v>6025</v>
      </c>
      <c r="D430" t="s">
        <v>5560</v>
      </c>
      <c r="E430" t="s">
        <v>5554</v>
      </c>
      <c r="F430">
        <v>1943</v>
      </c>
      <c r="G430">
        <v>0</v>
      </c>
    </row>
    <row r="431" spans="1:7" x14ac:dyDescent="0.25">
      <c r="A431">
        <v>31420</v>
      </c>
      <c r="B431" t="s">
        <v>3884</v>
      </c>
      <c r="C431" t="s">
        <v>6023</v>
      </c>
      <c r="D431" t="s">
        <v>5556</v>
      </c>
      <c r="E431" t="s">
        <v>5561</v>
      </c>
      <c r="F431">
        <v>1940</v>
      </c>
      <c r="G431">
        <v>0</v>
      </c>
    </row>
    <row r="432" spans="1:7" x14ac:dyDescent="0.25">
      <c r="A432">
        <v>32176</v>
      </c>
      <c r="B432" t="s">
        <v>3939</v>
      </c>
      <c r="C432" t="s">
        <v>6026</v>
      </c>
      <c r="D432" t="s">
        <v>5556</v>
      </c>
      <c r="F432">
        <v>1968</v>
      </c>
      <c r="G432">
        <v>0</v>
      </c>
    </row>
    <row r="433" spans="1:7" x14ac:dyDescent="0.25">
      <c r="A433">
        <v>32312</v>
      </c>
      <c r="B433" t="s">
        <v>3941</v>
      </c>
      <c r="C433" t="s">
        <v>6027</v>
      </c>
      <c r="D433" t="s">
        <v>5556</v>
      </c>
      <c r="E433" t="s">
        <v>5561</v>
      </c>
      <c r="F433">
        <v>1944</v>
      </c>
      <c r="G433">
        <v>0</v>
      </c>
    </row>
    <row r="434" spans="1:7" x14ac:dyDescent="0.25">
      <c r="A434">
        <v>32349</v>
      </c>
      <c r="B434" t="s">
        <v>4049</v>
      </c>
      <c r="C434" t="s">
        <v>5835</v>
      </c>
      <c r="D434" t="s">
        <v>5556</v>
      </c>
      <c r="E434" t="s">
        <v>5561</v>
      </c>
      <c r="F434">
        <v>1934</v>
      </c>
      <c r="G434">
        <v>0</v>
      </c>
    </row>
    <row r="435" spans="1:7" x14ac:dyDescent="0.25">
      <c r="A435">
        <v>32690</v>
      </c>
      <c r="B435" t="s">
        <v>3958</v>
      </c>
      <c r="C435" t="s">
        <v>6028</v>
      </c>
      <c r="D435" t="s">
        <v>5556</v>
      </c>
      <c r="E435" t="s">
        <v>5554</v>
      </c>
      <c r="F435">
        <v>1973</v>
      </c>
      <c r="G435">
        <v>0</v>
      </c>
    </row>
    <row r="436" spans="1:7" x14ac:dyDescent="0.25">
      <c r="A436">
        <v>32750</v>
      </c>
      <c r="B436" t="s">
        <v>4026</v>
      </c>
      <c r="C436" t="s">
        <v>6027</v>
      </c>
      <c r="D436" t="s">
        <v>5556</v>
      </c>
      <c r="E436" t="s">
        <v>5554</v>
      </c>
      <c r="F436">
        <v>1944</v>
      </c>
      <c r="G436">
        <v>0</v>
      </c>
    </row>
    <row r="437" spans="1:7" x14ac:dyDescent="0.25">
      <c r="A437">
        <v>32751</v>
      </c>
      <c r="B437" t="s">
        <v>6029</v>
      </c>
      <c r="C437" t="s">
        <v>6030</v>
      </c>
      <c r="D437" t="s">
        <v>5556</v>
      </c>
      <c r="E437" t="s">
        <v>5554</v>
      </c>
      <c r="F437">
        <v>1943</v>
      </c>
      <c r="G437">
        <v>2003</v>
      </c>
    </row>
    <row r="438" spans="1:7" x14ac:dyDescent="0.25">
      <c r="A438">
        <v>32825</v>
      </c>
      <c r="B438" t="s">
        <v>3961</v>
      </c>
      <c r="C438" t="s">
        <v>6031</v>
      </c>
      <c r="D438" t="s">
        <v>5721</v>
      </c>
      <c r="E438" t="s">
        <v>5561</v>
      </c>
      <c r="F438">
        <v>1946</v>
      </c>
      <c r="G438">
        <v>0</v>
      </c>
    </row>
    <row r="439" spans="1:7" x14ac:dyDescent="0.25">
      <c r="A439">
        <v>33372</v>
      </c>
      <c r="B439" t="s">
        <v>5429</v>
      </c>
      <c r="C439" t="s">
        <v>6032</v>
      </c>
      <c r="D439" t="s">
        <v>5556</v>
      </c>
      <c r="E439" t="s">
        <v>5561</v>
      </c>
      <c r="F439">
        <v>1953</v>
      </c>
      <c r="G439">
        <v>0</v>
      </c>
    </row>
    <row r="440" spans="1:7" x14ac:dyDescent="0.25">
      <c r="A440">
        <v>33865</v>
      </c>
      <c r="B440" t="s">
        <v>4010</v>
      </c>
      <c r="C440" t="s">
        <v>6033</v>
      </c>
      <c r="D440" t="s">
        <v>5762</v>
      </c>
      <c r="E440" t="s">
        <v>5554</v>
      </c>
      <c r="F440">
        <v>1923</v>
      </c>
      <c r="G440">
        <v>1973</v>
      </c>
    </row>
    <row r="441" spans="1:7" x14ac:dyDescent="0.25">
      <c r="A441">
        <v>33915</v>
      </c>
      <c r="B441" t="s">
        <v>4012</v>
      </c>
      <c r="C441" t="s">
        <v>6034</v>
      </c>
      <c r="D441" t="s">
        <v>5556</v>
      </c>
      <c r="E441" t="s">
        <v>5561</v>
      </c>
      <c r="F441">
        <v>1962</v>
      </c>
      <c r="G441">
        <v>0</v>
      </c>
    </row>
    <row r="442" spans="1:7" x14ac:dyDescent="0.25">
      <c r="A442">
        <v>34045</v>
      </c>
      <c r="B442" t="s">
        <v>6035</v>
      </c>
      <c r="C442" t="s">
        <v>5674</v>
      </c>
      <c r="D442" t="s">
        <v>5556</v>
      </c>
      <c r="E442" t="s">
        <v>5554</v>
      </c>
      <c r="F442">
        <v>1942</v>
      </c>
      <c r="G442">
        <v>0</v>
      </c>
    </row>
    <row r="443" spans="1:7" x14ac:dyDescent="0.25">
      <c r="A443">
        <v>34532</v>
      </c>
      <c r="B443" t="s">
        <v>4054</v>
      </c>
      <c r="C443" t="s">
        <v>6036</v>
      </c>
      <c r="D443" t="s">
        <v>5576</v>
      </c>
      <c r="E443" t="s">
        <v>5554</v>
      </c>
      <c r="F443">
        <v>1960</v>
      </c>
      <c r="G443">
        <v>0</v>
      </c>
    </row>
    <row r="444" spans="1:7" x14ac:dyDescent="0.25">
      <c r="A444">
        <v>34555</v>
      </c>
      <c r="B444" t="s">
        <v>4018</v>
      </c>
      <c r="C444" t="s">
        <v>6037</v>
      </c>
      <c r="D444" t="s">
        <v>5582</v>
      </c>
      <c r="E444" t="s">
        <v>5561</v>
      </c>
      <c r="F444">
        <v>1930</v>
      </c>
      <c r="G444">
        <v>1985</v>
      </c>
    </row>
    <row r="445" spans="1:7" x14ac:dyDescent="0.25">
      <c r="A445">
        <v>34878</v>
      </c>
      <c r="B445" t="s">
        <v>4027</v>
      </c>
      <c r="C445" t="s">
        <v>6038</v>
      </c>
      <c r="D445" t="s">
        <v>5556</v>
      </c>
      <c r="E445" t="s">
        <v>5554</v>
      </c>
      <c r="F445">
        <v>1951</v>
      </c>
      <c r="G445">
        <v>0</v>
      </c>
    </row>
    <row r="446" spans="1:7" x14ac:dyDescent="0.25">
      <c r="A446">
        <v>34908</v>
      </c>
      <c r="B446" t="s">
        <v>4028</v>
      </c>
      <c r="C446" t="s">
        <v>6039</v>
      </c>
      <c r="D446" t="s">
        <v>5556</v>
      </c>
      <c r="E446" t="s">
        <v>5561</v>
      </c>
      <c r="F446">
        <v>1935</v>
      </c>
      <c r="G446">
        <v>0</v>
      </c>
    </row>
    <row r="447" spans="1:7" x14ac:dyDescent="0.25">
      <c r="A447">
        <v>35086</v>
      </c>
      <c r="B447" t="s">
        <v>6040</v>
      </c>
      <c r="C447" t="s">
        <v>6041</v>
      </c>
      <c r="D447" t="s">
        <v>5556</v>
      </c>
      <c r="E447" t="s">
        <v>5561</v>
      </c>
      <c r="F447">
        <v>1838</v>
      </c>
      <c r="G447">
        <v>1914</v>
      </c>
    </row>
    <row r="448" spans="1:7" x14ac:dyDescent="0.25">
      <c r="A448">
        <v>35152</v>
      </c>
      <c r="B448" t="s">
        <v>4035</v>
      </c>
      <c r="C448" t="s">
        <v>6042</v>
      </c>
      <c r="D448" t="s">
        <v>5762</v>
      </c>
      <c r="E448" t="s">
        <v>5554</v>
      </c>
      <c r="F448">
        <v>1965</v>
      </c>
      <c r="G448">
        <v>0</v>
      </c>
    </row>
    <row r="449" spans="1:7" x14ac:dyDescent="0.25">
      <c r="A449">
        <v>35162</v>
      </c>
      <c r="B449" t="s">
        <v>4330</v>
      </c>
      <c r="C449" t="s">
        <v>6043</v>
      </c>
      <c r="D449" t="s">
        <v>5778</v>
      </c>
      <c r="E449" t="s">
        <v>5554</v>
      </c>
      <c r="F449">
        <v>1946</v>
      </c>
      <c r="G449">
        <v>0</v>
      </c>
    </row>
    <row r="450" spans="1:7" x14ac:dyDescent="0.25">
      <c r="A450">
        <v>35212</v>
      </c>
      <c r="B450" t="s">
        <v>4311</v>
      </c>
      <c r="C450" t="s">
        <v>6044</v>
      </c>
      <c r="D450" t="s">
        <v>5556</v>
      </c>
      <c r="E450" t="s">
        <v>5561</v>
      </c>
      <c r="F450">
        <v>1971</v>
      </c>
      <c r="G450">
        <v>0</v>
      </c>
    </row>
    <row r="451" spans="1:7" x14ac:dyDescent="0.25">
      <c r="A451">
        <v>35406</v>
      </c>
      <c r="B451" t="s">
        <v>6045</v>
      </c>
      <c r="C451" t="s">
        <v>6046</v>
      </c>
      <c r="D451" t="s">
        <v>5576</v>
      </c>
      <c r="E451" t="s">
        <v>5561</v>
      </c>
      <c r="F451">
        <v>1942</v>
      </c>
      <c r="G451">
        <v>0</v>
      </c>
    </row>
    <row r="452" spans="1:7" x14ac:dyDescent="0.25">
      <c r="A452">
        <v>36077</v>
      </c>
      <c r="B452" t="s">
        <v>4056</v>
      </c>
      <c r="C452" t="s">
        <v>6047</v>
      </c>
      <c r="D452" t="s">
        <v>6048</v>
      </c>
      <c r="E452" t="s">
        <v>5561</v>
      </c>
      <c r="F452">
        <v>1923</v>
      </c>
      <c r="G452">
        <v>2020</v>
      </c>
    </row>
    <row r="453" spans="1:7" x14ac:dyDescent="0.25">
      <c r="A453">
        <v>36310</v>
      </c>
      <c r="B453" t="s">
        <v>4767</v>
      </c>
      <c r="C453" t="s">
        <v>6049</v>
      </c>
      <c r="D453" t="s">
        <v>5582</v>
      </c>
      <c r="E453" t="s">
        <v>5554</v>
      </c>
      <c r="F453">
        <v>1900</v>
      </c>
      <c r="G453">
        <v>1984</v>
      </c>
    </row>
    <row r="454" spans="1:7" x14ac:dyDescent="0.25">
      <c r="A454">
        <v>36415</v>
      </c>
      <c r="B454" t="s">
        <v>4062</v>
      </c>
      <c r="C454" t="s">
        <v>6050</v>
      </c>
      <c r="D454" t="s">
        <v>6051</v>
      </c>
      <c r="E454" t="s">
        <v>5561</v>
      </c>
      <c r="F454">
        <v>1938</v>
      </c>
      <c r="G454">
        <v>0</v>
      </c>
    </row>
    <row r="455" spans="1:7" x14ac:dyDescent="0.25">
      <c r="A455">
        <v>36471</v>
      </c>
      <c r="B455" t="s">
        <v>4086</v>
      </c>
      <c r="C455" t="s">
        <v>5565</v>
      </c>
      <c r="D455" t="s">
        <v>5556</v>
      </c>
      <c r="E455" t="s">
        <v>5561</v>
      </c>
      <c r="F455">
        <v>1933</v>
      </c>
      <c r="G455">
        <v>0</v>
      </c>
    </row>
    <row r="456" spans="1:7" x14ac:dyDescent="0.25">
      <c r="A456">
        <v>36991</v>
      </c>
      <c r="B456" t="s">
        <v>4229</v>
      </c>
      <c r="C456" t="s">
        <v>6052</v>
      </c>
      <c r="D456" t="s">
        <v>5556</v>
      </c>
      <c r="E456" t="s">
        <v>5561</v>
      </c>
      <c r="F456">
        <v>1947</v>
      </c>
      <c r="G456">
        <v>1997</v>
      </c>
    </row>
    <row r="457" spans="1:7" x14ac:dyDescent="0.25">
      <c r="A457">
        <v>37368</v>
      </c>
      <c r="B457" t="s">
        <v>6053</v>
      </c>
      <c r="C457" t="s">
        <v>6054</v>
      </c>
      <c r="D457" t="s">
        <v>5556</v>
      </c>
      <c r="E457" t="s">
        <v>5554</v>
      </c>
      <c r="F457">
        <v>1844</v>
      </c>
      <c r="G457">
        <v>1900</v>
      </c>
    </row>
    <row r="458" spans="1:7" x14ac:dyDescent="0.25">
      <c r="A458">
        <v>37500</v>
      </c>
      <c r="B458" t="s">
        <v>4085</v>
      </c>
      <c r="C458" t="s">
        <v>6055</v>
      </c>
      <c r="D458" t="s">
        <v>5556</v>
      </c>
      <c r="E458" t="s">
        <v>5561</v>
      </c>
      <c r="F458">
        <v>1934</v>
      </c>
      <c r="G458">
        <v>2017</v>
      </c>
    </row>
    <row r="459" spans="1:7" x14ac:dyDescent="0.25">
      <c r="A459">
        <v>37569</v>
      </c>
      <c r="B459" t="s">
        <v>4923</v>
      </c>
      <c r="C459" t="s">
        <v>6056</v>
      </c>
      <c r="D459" t="s">
        <v>5770</v>
      </c>
      <c r="E459" t="s">
        <v>5561</v>
      </c>
      <c r="F459">
        <v>1948</v>
      </c>
      <c r="G459">
        <v>0</v>
      </c>
    </row>
    <row r="460" spans="1:7" x14ac:dyDescent="0.25">
      <c r="A460">
        <v>37701</v>
      </c>
      <c r="B460" t="s">
        <v>4072</v>
      </c>
      <c r="C460" t="s">
        <v>5652</v>
      </c>
      <c r="D460" t="s">
        <v>5556</v>
      </c>
      <c r="E460" t="s">
        <v>5561</v>
      </c>
      <c r="F460">
        <v>1932</v>
      </c>
      <c r="G460">
        <v>0</v>
      </c>
    </row>
    <row r="461" spans="1:7" x14ac:dyDescent="0.25">
      <c r="A461">
        <v>37934</v>
      </c>
      <c r="B461" t="s">
        <v>4137</v>
      </c>
      <c r="C461" t="s">
        <v>6057</v>
      </c>
      <c r="D461" t="s">
        <v>6058</v>
      </c>
      <c r="E461" t="s">
        <v>5561</v>
      </c>
      <c r="F461">
        <v>1971</v>
      </c>
      <c r="G461">
        <v>0</v>
      </c>
    </row>
    <row r="462" spans="1:7" x14ac:dyDescent="0.25">
      <c r="A462">
        <v>37964</v>
      </c>
      <c r="B462" t="s">
        <v>4142</v>
      </c>
      <c r="C462" t="s">
        <v>6059</v>
      </c>
      <c r="D462" t="s">
        <v>5556</v>
      </c>
      <c r="E462" t="s">
        <v>5554</v>
      </c>
      <c r="F462">
        <v>1908</v>
      </c>
      <c r="G462">
        <v>2002</v>
      </c>
    </row>
    <row r="463" spans="1:7" x14ac:dyDescent="0.25">
      <c r="A463">
        <v>38011</v>
      </c>
      <c r="B463" t="s">
        <v>4147</v>
      </c>
      <c r="C463" t="s">
        <v>6027</v>
      </c>
      <c r="D463" t="s">
        <v>5556</v>
      </c>
      <c r="E463" t="s">
        <v>5561</v>
      </c>
      <c r="F463">
        <v>1944</v>
      </c>
      <c r="G463">
        <v>0</v>
      </c>
    </row>
    <row r="464" spans="1:7" x14ac:dyDescent="0.25">
      <c r="A464">
        <v>38017</v>
      </c>
      <c r="B464" t="s">
        <v>4148</v>
      </c>
      <c r="C464" t="s">
        <v>5930</v>
      </c>
      <c r="D464" t="s">
        <v>5556</v>
      </c>
      <c r="E464" t="s">
        <v>5561</v>
      </c>
      <c r="F464">
        <v>1947</v>
      </c>
      <c r="G464">
        <v>0</v>
      </c>
    </row>
    <row r="465" spans="1:7" x14ac:dyDescent="0.25">
      <c r="A465">
        <v>38854</v>
      </c>
      <c r="B465" t="s">
        <v>4178</v>
      </c>
      <c r="C465" t="s">
        <v>5556</v>
      </c>
      <c r="D465" t="s">
        <v>5556</v>
      </c>
      <c r="E465" t="s">
        <v>5554</v>
      </c>
      <c r="F465">
        <v>0</v>
      </c>
      <c r="G465">
        <v>0</v>
      </c>
    </row>
    <row r="466" spans="1:7" x14ac:dyDescent="0.25">
      <c r="A466">
        <v>38908</v>
      </c>
      <c r="B466" t="s">
        <v>4201</v>
      </c>
      <c r="C466" t="s">
        <v>6060</v>
      </c>
      <c r="D466" t="s">
        <v>5582</v>
      </c>
      <c r="E466" t="s">
        <v>5561</v>
      </c>
      <c r="F466">
        <v>1979</v>
      </c>
      <c r="G466">
        <v>0</v>
      </c>
    </row>
    <row r="467" spans="1:7" x14ac:dyDescent="0.25">
      <c r="A467">
        <v>38972</v>
      </c>
      <c r="B467" t="s">
        <v>4771</v>
      </c>
      <c r="C467" t="s">
        <v>6061</v>
      </c>
      <c r="D467" t="s">
        <v>5690</v>
      </c>
      <c r="E467" t="s">
        <v>5554</v>
      </c>
      <c r="F467">
        <v>1924</v>
      </c>
      <c r="G467">
        <v>2008</v>
      </c>
    </row>
    <row r="468" spans="1:7" x14ac:dyDescent="0.25">
      <c r="A468">
        <v>38991</v>
      </c>
      <c r="B468" t="s">
        <v>4245</v>
      </c>
      <c r="C468" t="s">
        <v>6062</v>
      </c>
      <c r="D468" t="s">
        <v>5690</v>
      </c>
      <c r="E468" t="s">
        <v>5554</v>
      </c>
      <c r="F468">
        <v>1925</v>
      </c>
      <c r="G468">
        <v>1996</v>
      </c>
    </row>
    <row r="469" spans="1:7" x14ac:dyDescent="0.25">
      <c r="A469">
        <v>39621</v>
      </c>
      <c r="B469" t="s">
        <v>4224</v>
      </c>
      <c r="C469" t="s">
        <v>6063</v>
      </c>
      <c r="D469" t="s">
        <v>5778</v>
      </c>
      <c r="E469" t="s">
        <v>5561</v>
      </c>
      <c r="F469">
        <v>1921</v>
      </c>
      <c r="G469">
        <v>2008</v>
      </c>
    </row>
    <row r="470" spans="1:7" x14ac:dyDescent="0.25">
      <c r="A470">
        <v>39696</v>
      </c>
      <c r="B470" t="s">
        <v>4239</v>
      </c>
      <c r="C470" t="s">
        <v>5588</v>
      </c>
      <c r="D470" t="s">
        <v>5556</v>
      </c>
      <c r="E470" t="s">
        <v>5561</v>
      </c>
      <c r="F470">
        <v>1941</v>
      </c>
      <c r="G470">
        <v>0</v>
      </c>
    </row>
    <row r="471" spans="1:7" x14ac:dyDescent="0.25">
      <c r="A471">
        <v>39961</v>
      </c>
      <c r="B471" t="s">
        <v>4251</v>
      </c>
      <c r="C471" t="s">
        <v>6064</v>
      </c>
      <c r="D471" t="s">
        <v>5556</v>
      </c>
      <c r="E471" t="s">
        <v>5561</v>
      </c>
      <c r="F471">
        <v>1981</v>
      </c>
      <c r="G471">
        <v>0</v>
      </c>
    </row>
    <row r="472" spans="1:7" x14ac:dyDescent="0.25">
      <c r="A472">
        <v>40431</v>
      </c>
      <c r="B472" t="s">
        <v>6065</v>
      </c>
      <c r="C472" t="s">
        <v>6066</v>
      </c>
      <c r="D472" t="s">
        <v>6067</v>
      </c>
      <c r="E472" t="s">
        <v>5561</v>
      </c>
      <c r="F472">
        <v>1966</v>
      </c>
      <c r="G472">
        <v>0</v>
      </c>
    </row>
    <row r="473" spans="1:7" x14ac:dyDescent="0.25">
      <c r="A473">
        <v>40432</v>
      </c>
      <c r="B473" t="s">
        <v>6068</v>
      </c>
      <c r="C473" t="s">
        <v>6069</v>
      </c>
      <c r="D473" t="s">
        <v>5693</v>
      </c>
      <c r="E473" t="s">
        <v>5554</v>
      </c>
      <c r="F473">
        <v>1967</v>
      </c>
      <c r="G473">
        <v>0</v>
      </c>
    </row>
    <row r="474" spans="1:7" x14ac:dyDescent="0.25">
      <c r="A474">
        <v>40531</v>
      </c>
      <c r="B474" t="s">
        <v>4272</v>
      </c>
      <c r="C474" t="s">
        <v>5691</v>
      </c>
      <c r="D474" t="s">
        <v>5556</v>
      </c>
      <c r="E474" t="s">
        <v>5561</v>
      </c>
      <c r="F474">
        <v>1943</v>
      </c>
      <c r="G474">
        <v>0</v>
      </c>
    </row>
    <row r="475" spans="1:7" x14ac:dyDescent="0.25">
      <c r="A475">
        <v>40564</v>
      </c>
      <c r="B475" t="s">
        <v>4278</v>
      </c>
      <c r="C475" t="s">
        <v>6027</v>
      </c>
      <c r="D475" t="s">
        <v>5556</v>
      </c>
      <c r="E475" t="s">
        <v>5554</v>
      </c>
      <c r="F475">
        <v>1944</v>
      </c>
      <c r="G475">
        <v>0</v>
      </c>
    </row>
    <row r="476" spans="1:7" x14ac:dyDescent="0.25">
      <c r="A476">
        <v>41280</v>
      </c>
      <c r="B476" t="s">
        <v>4881</v>
      </c>
      <c r="C476" t="s">
        <v>5930</v>
      </c>
      <c r="D476" t="s">
        <v>5556</v>
      </c>
      <c r="E476" t="s">
        <v>5561</v>
      </c>
      <c r="F476">
        <v>1947</v>
      </c>
      <c r="G476">
        <v>0</v>
      </c>
    </row>
    <row r="477" spans="1:7" x14ac:dyDescent="0.25">
      <c r="A477">
        <v>41281</v>
      </c>
      <c r="B477" t="s">
        <v>5175</v>
      </c>
      <c r="C477" t="s">
        <v>6027</v>
      </c>
      <c r="D477" t="s">
        <v>5556</v>
      </c>
      <c r="E477" t="s">
        <v>5561</v>
      </c>
      <c r="F477">
        <v>1944</v>
      </c>
      <c r="G477">
        <v>0</v>
      </c>
    </row>
    <row r="478" spans="1:7" x14ac:dyDescent="0.25">
      <c r="A478">
        <v>41343</v>
      </c>
      <c r="B478" t="s">
        <v>6070</v>
      </c>
      <c r="C478" t="s">
        <v>6071</v>
      </c>
      <c r="D478" t="s">
        <v>5556</v>
      </c>
      <c r="E478" t="s">
        <v>5561</v>
      </c>
      <c r="F478">
        <v>1934</v>
      </c>
      <c r="G478">
        <v>2012</v>
      </c>
    </row>
    <row r="479" spans="1:7" x14ac:dyDescent="0.25">
      <c r="A479">
        <v>41431</v>
      </c>
      <c r="B479" t="s">
        <v>4316</v>
      </c>
      <c r="C479" t="s">
        <v>6072</v>
      </c>
      <c r="D479" t="s">
        <v>5628</v>
      </c>
      <c r="E479" t="s">
        <v>5554</v>
      </c>
      <c r="F479">
        <v>1971</v>
      </c>
      <c r="G479">
        <v>0</v>
      </c>
    </row>
    <row r="480" spans="1:7" x14ac:dyDescent="0.25">
      <c r="A480">
        <v>41483</v>
      </c>
      <c r="B480" t="s">
        <v>6073</v>
      </c>
      <c r="F480">
        <v>0</v>
      </c>
      <c r="G480">
        <v>0</v>
      </c>
    </row>
    <row r="481" spans="1:7" x14ac:dyDescent="0.25">
      <c r="A481">
        <v>42463</v>
      </c>
      <c r="B481" t="s">
        <v>6074</v>
      </c>
      <c r="C481" t="s">
        <v>6075</v>
      </c>
      <c r="D481" t="s">
        <v>5556</v>
      </c>
      <c r="E481" t="s">
        <v>5554</v>
      </c>
      <c r="F481">
        <v>1939</v>
      </c>
      <c r="G481">
        <v>0</v>
      </c>
    </row>
    <row r="482" spans="1:7" x14ac:dyDescent="0.25">
      <c r="A482">
        <v>42856</v>
      </c>
      <c r="B482" t="s">
        <v>4413</v>
      </c>
      <c r="C482" t="s">
        <v>6076</v>
      </c>
      <c r="D482" t="s">
        <v>5762</v>
      </c>
      <c r="E482" t="s">
        <v>5554</v>
      </c>
      <c r="F482">
        <v>1925</v>
      </c>
      <c r="G482">
        <v>1973</v>
      </c>
    </row>
    <row r="483" spans="1:7" x14ac:dyDescent="0.25">
      <c r="A483">
        <v>43084</v>
      </c>
      <c r="B483" t="s">
        <v>6077</v>
      </c>
      <c r="C483" t="s">
        <v>6078</v>
      </c>
      <c r="D483" t="s">
        <v>5567</v>
      </c>
      <c r="E483" t="s">
        <v>5554</v>
      </c>
      <c r="F483">
        <v>1928</v>
      </c>
      <c r="G483">
        <v>2009</v>
      </c>
    </row>
    <row r="484" spans="1:7" x14ac:dyDescent="0.25">
      <c r="A484">
        <v>43150</v>
      </c>
      <c r="B484" t="s">
        <v>4433</v>
      </c>
      <c r="C484" t="s">
        <v>6079</v>
      </c>
      <c r="D484" t="s">
        <v>6080</v>
      </c>
      <c r="E484" t="s">
        <v>5561</v>
      </c>
      <c r="F484">
        <v>1926</v>
      </c>
      <c r="G484">
        <v>2018</v>
      </c>
    </row>
    <row r="485" spans="1:7" x14ac:dyDescent="0.25">
      <c r="A485">
        <v>43480</v>
      </c>
      <c r="B485" t="s">
        <v>4449</v>
      </c>
      <c r="C485" t="s">
        <v>5681</v>
      </c>
      <c r="D485" t="s">
        <v>5556</v>
      </c>
      <c r="E485" t="s">
        <v>5554</v>
      </c>
      <c r="F485">
        <v>1948</v>
      </c>
      <c r="G485">
        <v>0</v>
      </c>
    </row>
    <row r="486" spans="1:7" x14ac:dyDescent="0.25">
      <c r="A486">
        <v>44767</v>
      </c>
      <c r="B486" t="s">
        <v>4485</v>
      </c>
      <c r="C486" t="s">
        <v>6081</v>
      </c>
      <c r="D486" t="s">
        <v>5556</v>
      </c>
      <c r="E486" t="s">
        <v>5554</v>
      </c>
      <c r="F486">
        <v>1938</v>
      </c>
      <c r="G486">
        <v>0</v>
      </c>
    </row>
    <row r="487" spans="1:7" x14ac:dyDescent="0.25">
      <c r="A487">
        <v>45626</v>
      </c>
      <c r="B487" t="s">
        <v>4491</v>
      </c>
      <c r="C487" t="s">
        <v>6082</v>
      </c>
      <c r="D487" t="s">
        <v>5556</v>
      </c>
      <c r="E487" t="s">
        <v>5561</v>
      </c>
      <c r="F487">
        <v>1952</v>
      </c>
      <c r="G487">
        <v>2019</v>
      </c>
    </row>
    <row r="488" spans="1:7" x14ac:dyDescent="0.25">
      <c r="A488">
        <v>45801</v>
      </c>
      <c r="B488" t="s">
        <v>4494</v>
      </c>
      <c r="C488" t="s">
        <v>6083</v>
      </c>
      <c r="D488" t="s">
        <v>5556</v>
      </c>
      <c r="E488" t="s">
        <v>5554</v>
      </c>
      <c r="F488">
        <v>1926</v>
      </c>
      <c r="G488">
        <v>2019</v>
      </c>
    </row>
    <row r="489" spans="1:7" x14ac:dyDescent="0.25">
      <c r="A489">
        <v>45961</v>
      </c>
      <c r="B489" t="s">
        <v>4496</v>
      </c>
      <c r="C489" t="s">
        <v>6084</v>
      </c>
      <c r="D489" t="s">
        <v>5556</v>
      </c>
      <c r="E489" t="s">
        <v>5554</v>
      </c>
      <c r="F489">
        <v>1978</v>
      </c>
      <c r="G489">
        <v>0</v>
      </c>
    </row>
    <row r="490" spans="1:7" x14ac:dyDescent="0.25">
      <c r="A490">
        <v>46315</v>
      </c>
      <c r="B490" t="s">
        <v>4524</v>
      </c>
      <c r="C490" t="s">
        <v>6085</v>
      </c>
      <c r="D490" t="s">
        <v>5690</v>
      </c>
      <c r="E490" t="s">
        <v>5554</v>
      </c>
      <c r="F490">
        <v>1947</v>
      </c>
      <c r="G490">
        <v>0</v>
      </c>
    </row>
    <row r="491" spans="1:7" x14ac:dyDescent="0.25">
      <c r="A491">
        <v>46384</v>
      </c>
      <c r="B491" t="s">
        <v>1586</v>
      </c>
      <c r="C491" t="s">
        <v>6086</v>
      </c>
      <c r="D491" t="s">
        <v>5765</v>
      </c>
      <c r="E491" t="s">
        <v>5554</v>
      </c>
      <c r="F491">
        <v>1933</v>
      </c>
      <c r="G491">
        <v>2022</v>
      </c>
    </row>
    <row r="492" spans="1:7" x14ac:dyDescent="0.25">
      <c r="A492">
        <v>46451</v>
      </c>
      <c r="B492" t="s">
        <v>4554</v>
      </c>
      <c r="C492" t="s">
        <v>6087</v>
      </c>
      <c r="D492" t="s">
        <v>6088</v>
      </c>
      <c r="E492" t="s">
        <v>5554</v>
      </c>
      <c r="F492">
        <v>1895</v>
      </c>
      <c r="G492">
        <v>1958</v>
      </c>
    </row>
    <row r="493" spans="1:7" x14ac:dyDescent="0.25">
      <c r="A493">
        <v>46544</v>
      </c>
      <c r="B493" t="s">
        <v>4585</v>
      </c>
      <c r="C493" t="s">
        <v>6089</v>
      </c>
      <c r="D493" t="s">
        <v>5693</v>
      </c>
      <c r="E493" t="s">
        <v>5561</v>
      </c>
      <c r="F493">
        <v>1971</v>
      </c>
      <c r="G493">
        <v>0</v>
      </c>
    </row>
    <row r="494" spans="1:7" x14ac:dyDescent="0.25">
      <c r="A494">
        <v>46785</v>
      </c>
      <c r="B494" t="s">
        <v>6090</v>
      </c>
      <c r="C494" t="s">
        <v>6091</v>
      </c>
      <c r="F494">
        <v>1970</v>
      </c>
      <c r="G494">
        <v>0</v>
      </c>
    </row>
    <row r="495" spans="1:7" x14ac:dyDescent="0.25">
      <c r="A495">
        <v>46962</v>
      </c>
      <c r="B495" t="s">
        <v>4572</v>
      </c>
      <c r="C495" t="s">
        <v>6092</v>
      </c>
      <c r="D495" t="s">
        <v>5576</v>
      </c>
      <c r="E495" t="s">
        <v>5561</v>
      </c>
      <c r="F495">
        <v>1977</v>
      </c>
      <c r="G495">
        <v>0</v>
      </c>
    </row>
    <row r="496" spans="1:7" x14ac:dyDescent="0.25">
      <c r="A496">
        <v>47458</v>
      </c>
      <c r="B496" t="s">
        <v>4581</v>
      </c>
      <c r="C496" t="s">
        <v>6093</v>
      </c>
      <c r="D496" t="s">
        <v>5778</v>
      </c>
      <c r="E496" t="s">
        <v>5561</v>
      </c>
      <c r="F496">
        <v>1919</v>
      </c>
      <c r="G496">
        <v>2007</v>
      </c>
    </row>
    <row r="497" spans="1:7" x14ac:dyDescent="0.25">
      <c r="A497">
        <v>47676</v>
      </c>
      <c r="B497" t="s">
        <v>4520</v>
      </c>
      <c r="C497" t="s">
        <v>6094</v>
      </c>
      <c r="D497" t="s">
        <v>5556</v>
      </c>
      <c r="E497" t="s">
        <v>5561</v>
      </c>
      <c r="F497">
        <v>1932</v>
      </c>
      <c r="G497">
        <v>2016</v>
      </c>
    </row>
    <row r="498" spans="1:7" x14ac:dyDescent="0.25">
      <c r="A498">
        <v>48549</v>
      </c>
      <c r="B498" t="s">
        <v>5302</v>
      </c>
      <c r="C498" t="s">
        <v>6095</v>
      </c>
      <c r="D498" t="s">
        <v>5556</v>
      </c>
      <c r="E498" t="s">
        <v>5561</v>
      </c>
      <c r="F498">
        <v>1968</v>
      </c>
      <c r="G498">
        <v>0</v>
      </c>
    </row>
    <row r="499" spans="1:7" x14ac:dyDescent="0.25">
      <c r="A499">
        <v>48624</v>
      </c>
      <c r="B499" t="s">
        <v>4655</v>
      </c>
      <c r="C499" t="s">
        <v>6096</v>
      </c>
      <c r="D499" t="s">
        <v>5690</v>
      </c>
      <c r="E499" t="s">
        <v>5554</v>
      </c>
      <c r="F499">
        <v>1972</v>
      </c>
      <c r="G499">
        <v>0</v>
      </c>
    </row>
    <row r="500" spans="1:7" x14ac:dyDescent="0.25">
      <c r="A500">
        <v>49158</v>
      </c>
      <c r="B500" t="s">
        <v>4673</v>
      </c>
      <c r="C500" t="s">
        <v>6097</v>
      </c>
      <c r="D500" t="s">
        <v>5762</v>
      </c>
      <c r="E500" t="s">
        <v>5561</v>
      </c>
      <c r="F500">
        <v>1886</v>
      </c>
      <c r="G500">
        <v>1973</v>
      </c>
    </row>
    <row r="501" spans="1:7" x14ac:dyDescent="0.25">
      <c r="A501">
        <v>49614</v>
      </c>
      <c r="B501" t="s">
        <v>4697</v>
      </c>
      <c r="C501" t="s">
        <v>6098</v>
      </c>
      <c r="D501" t="s">
        <v>5649</v>
      </c>
      <c r="E501" t="s">
        <v>5561</v>
      </c>
      <c r="F501">
        <v>1982</v>
      </c>
      <c r="G501">
        <v>0</v>
      </c>
    </row>
    <row r="502" spans="1:7" x14ac:dyDescent="0.25">
      <c r="A502">
        <v>49695</v>
      </c>
      <c r="B502" t="s">
        <v>5387</v>
      </c>
      <c r="C502" t="s">
        <v>6099</v>
      </c>
      <c r="D502" t="s">
        <v>5556</v>
      </c>
      <c r="E502" t="s">
        <v>5561</v>
      </c>
      <c r="F502">
        <v>1958</v>
      </c>
      <c r="G502">
        <v>1996</v>
      </c>
    </row>
    <row r="503" spans="1:7" x14ac:dyDescent="0.25">
      <c r="A503">
        <v>49837</v>
      </c>
      <c r="B503" t="s">
        <v>6100</v>
      </c>
      <c r="C503" t="s">
        <v>6101</v>
      </c>
      <c r="D503" t="s">
        <v>5567</v>
      </c>
      <c r="E503" t="s">
        <v>5554</v>
      </c>
      <c r="F503">
        <v>1937</v>
      </c>
      <c r="G503">
        <v>0</v>
      </c>
    </row>
    <row r="504" spans="1:7" x14ac:dyDescent="0.25">
      <c r="A504">
        <v>50003</v>
      </c>
      <c r="B504" t="s">
        <v>4735</v>
      </c>
      <c r="C504" t="s">
        <v>6102</v>
      </c>
      <c r="D504" t="s">
        <v>5778</v>
      </c>
      <c r="E504" t="s">
        <v>5554</v>
      </c>
      <c r="F504">
        <v>1923</v>
      </c>
      <c r="G504">
        <v>1993</v>
      </c>
    </row>
    <row r="505" spans="1:7" x14ac:dyDescent="0.25">
      <c r="A505">
        <v>50004</v>
      </c>
      <c r="B505" t="s">
        <v>4740</v>
      </c>
      <c r="C505" t="s">
        <v>6103</v>
      </c>
      <c r="D505" t="s">
        <v>5762</v>
      </c>
      <c r="E505" t="s">
        <v>5561</v>
      </c>
      <c r="F505">
        <v>1922</v>
      </c>
      <c r="G505">
        <v>2022</v>
      </c>
    </row>
    <row r="506" spans="1:7" x14ac:dyDescent="0.25">
      <c r="A506">
        <v>50006</v>
      </c>
      <c r="B506" t="s">
        <v>4748</v>
      </c>
      <c r="C506" t="s">
        <v>6104</v>
      </c>
      <c r="D506" t="s">
        <v>5872</v>
      </c>
      <c r="E506" t="s">
        <v>5554</v>
      </c>
      <c r="F506">
        <v>1920</v>
      </c>
      <c r="G506">
        <v>1969</v>
      </c>
    </row>
    <row r="507" spans="1:7" x14ac:dyDescent="0.25">
      <c r="A507">
        <v>62371</v>
      </c>
      <c r="B507" t="s">
        <v>5417</v>
      </c>
      <c r="C507" t="s">
        <v>5588</v>
      </c>
      <c r="D507" t="s">
        <v>5556</v>
      </c>
      <c r="E507" t="s">
        <v>5554</v>
      </c>
      <c r="F507">
        <v>1941</v>
      </c>
      <c r="G507">
        <v>0</v>
      </c>
    </row>
    <row r="508" spans="1:7" x14ac:dyDescent="0.25">
      <c r="A508">
        <v>66091</v>
      </c>
      <c r="B508" t="s">
        <v>4877</v>
      </c>
      <c r="C508" t="s">
        <v>6105</v>
      </c>
      <c r="D508" t="s">
        <v>5556</v>
      </c>
      <c r="E508" t="s">
        <v>5561</v>
      </c>
      <c r="F508">
        <v>1927</v>
      </c>
      <c r="G508">
        <v>0</v>
      </c>
    </row>
    <row r="509" spans="1:7" x14ac:dyDescent="0.25">
      <c r="A509">
        <v>67347</v>
      </c>
      <c r="B509" t="s">
        <v>4776</v>
      </c>
      <c r="C509" t="s">
        <v>6106</v>
      </c>
      <c r="D509" t="s">
        <v>5721</v>
      </c>
      <c r="E509" t="s">
        <v>5561</v>
      </c>
      <c r="F509">
        <v>1949</v>
      </c>
      <c r="G509">
        <v>2015</v>
      </c>
    </row>
    <row r="510" spans="1:7" x14ac:dyDescent="0.25">
      <c r="A510">
        <v>67529</v>
      </c>
      <c r="B510" t="s">
        <v>4781</v>
      </c>
      <c r="C510" t="s">
        <v>6107</v>
      </c>
      <c r="D510" t="s">
        <v>5721</v>
      </c>
      <c r="E510" t="s">
        <v>5561</v>
      </c>
      <c r="F510">
        <v>1970</v>
      </c>
      <c r="G510">
        <v>0</v>
      </c>
    </row>
    <row r="511" spans="1:7" x14ac:dyDescent="0.25">
      <c r="A511">
        <v>67542</v>
      </c>
      <c r="B511" t="s">
        <v>6108</v>
      </c>
      <c r="C511" t="s">
        <v>6109</v>
      </c>
      <c r="D511" t="s">
        <v>5576</v>
      </c>
      <c r="E511" t="s">
        <v>5554</v>
      </c>
      <c r="F511">
        <v>1940</v>
      </c>
      <c r="G511">
        <v>2019</v>
      </c>
    </row>
    <row r="512" spans="1:7" x14ac:dyDescent="0.25">
      <c r="A512">
        <v>67545</v>
      </c>
      <c r="B512" t="s">
        <v>4782</v>
      </c>
      <c r="C512" t="s">
        <v>6110</v>
      </c>
      <c r="D512" t="s">
        <v>5721</v>
      </c>
      <c r="E512" t="s">
        <v>5554</v>
      </c>
      <c r="F512">
        <v>1953</v>
      </c>
      <c r="G512">
        <v>0</v>
      </c>
    </row>
    <row r="513" spans="1:7" x14ac:dyDescent="0.25">
      <c r="A513">
        <v>67617</v>
      </c>
      <c r="B513" t="s">
        <v>5550</v>
      </c>
      <c r="C513" t="s">
        <v>6111</v>
      </c>
      <c r="D513" t="s">
        <v>5770</v>
      </c>
      <c r="F513">
        <v>1987</v>
      </c>
      <c r="G513">
        <v>1997</v>
      </c>
    </row>
    <row r="514" spans="1:7" x14ac:dyDescent="0.25">
      <c r="A514">
        <v>67887</v>
      </c>
      <c r="B514" t="s">
        <v>4816</v>
      </c>
      <c r="C514" t="s">
        <v>6112</v>
      </c>
      <c r="D514" t="s">
        <v>5556</v>
      </c>
      <c r="E514" t="s">
        <v>5554</v>
      </c>
      <c r="F514">
        <v>1962</v>
      </c>
      <c r="G514">
        <v>0</v>
      </c>
    </row>
    <row r="515" spans="1:7" x14ac:dyDescent="0.25">
      <c r="A515">
        <v>67932</v>
      </c>
      <c r="B515" t="s">
        <v>4828</v>
      </c>
      <c r="C515" t="s">
        <v>6113</v>
      </c>
      <c r="D515" t="s">
        <v>5556</v>
      </c>
      <c r="E515" t="s">
        <v>5561</v>
      </c>
      <c r="F515">
        <v>1943</v>
      </c>
      <c r="G515">
        <v>2014</v>
      </c>
    </row>
    <row r="516" spans="1:7" x14ac:dyDescent="0.25">
      <c r="A516">
        <v>67990</v>
      </c>
      <c r="B516" t="s">
        <v>4830</v>
      </c>
      <c r="C516" t="s">
        <v>6114</v>
      </c>
      <c r="D516" t="s">
        <v>6051</v>
      </c>
      <c r="E516" t="s">
        <v>5554</v>
      </c>
      <c r="F516">
        <v>1959</v>
      </c>
      <c r="G516">
        <v>0</v>
      </c>
    </row>
    <row r="517" spans="1:7" x14ac:dyDescent="0.25">
      <c r="A517">
        <v>68036</v>
      </c>
      <c r="B517" t="s">
        <v>4835</v>
      </c>
      <c r="C517" t="s">
        <v>6115</v>
      </c>
      <c r="D517" t="s">
        <v>5556</v>
      </c>
      <c r="E517" t="s">
        <v>5561</v>
      </c>
      <c r="F517">
        <v>1988</v>
      </c>
      <c r="G517">
        <v>0</v>
      </c>
    </row>
    <row r="518" spans="1:7" x14ac:dyDescent="0.25">
      <c r="A518">
        <v>68082</v>
      </c>
      <c r="B518" t="s">
        <v>6116</v>
      </c>
      <c r="C518" t="s">
        <v>6117</v>
      </c>
      <c r="D518" t="s">
        <v>5721</v>
      </c>
      <c r="E518" t="s">
        <v>5554</v>
      </c>
      <c r="F518">
        <v>1975</v>
      </c>
      <c r="G518">
        <v>0</v>
      </c>
    </row>
    <row r="519" spans="1:7" x14ac:dyDescent="0.25">
      <c r="A519">
        <v>68341</v>
      </c>
      <c r="B519" t="s">
        <v>4836</v>
      </c>
      <c r="C519" t="s">
        <v>6096</v>
      </c>
      <c r="D519" t="s">
        <v>5690</v>
      </c>
      <c r="E519" t="s">
        <v>5554</v>
      </c>
      <c r="F519">
        <v>1972</v>
      </c>
      <c r="G519">
        <v>0</v>
      </c>
    </row>
    <row r="520" spans="1:7" x14ac:dyDescent="0.25">
      <c r="A520">
        <v>69495</v>
      </c>
      <c r="B520" t="s">
        <v>4837</v>
      </c>
      <c r="C520" t="s">
        <v>5704</v>
      </c>
      <c r="D520" t="s">
        <v>5556</v>
      </c>
      <c r="E520" t="s">
        <v>5554</v>
      </c>
      <c r="F520">
        <v>1950</v>
      </c>
      <c r="G520">
        <v>0</v>
      </c>
    </row>
    <row r="521" spans="1:7" x14ac:dyDescent="0.25">
      <c r="A521">
        <v>69514</v>
      </c>
      <c r="B521" t="s">
        <v>4838</v>
      </c>
      <c r="C521" t="s">
        <v>5588</v>
      </c>
      <c r="D521" t="s">
        <v>5556</v>
      </c>
      <c r="E521" t="s">
        <v>5561</v>
      </c>
      <c r="F521">
        <v>1941</v>
      </c>
      <c r="G521">
        <v>0</v>
      </c>
    </row>
    <row r="522" spans="1:7" x14ac:dyDescent="0.25">
      <c r="A522">
        <v>69701</v>
      </c>
      <c r="B522" t="s">
        <v>6118</v>
      </c>
      <c r="C522" t="s">
        <v>6119</v>
      </c>
      <c r="D522" t="s">
        <v>5556</v>
      </c>
      <c r="E522" t="s">
        <v>5554</v>
      </c>
      <c r="F522">
        <v>1928</v>
      </c>
      <c r="G522">
        <v>2003</v>
      </c>
    </row>
    <row r="523" spans="1:7" x14ac:dyDescent="0.25">
      <c r="A523">
        <v>69702</v>
      </c>
      <c r="B523" t="s">
        <v>6120</v>
      </c>
      <c r="C523" t="s">
        <v>6121</v>
      </c>
      <c r="D523" t="s">
        <v>5556</v>
      </c>
      <c r="E523" t="s">
        <v>5554</v>
      </c>
      <c r="F523">
        <v>1919</v>
      </c>
      <c r="G523">
        <v>2021</v>
      </c>
    </row>
    <row r="524" spans="1:7" x14ac:dyDescent="0.25">
      <c r="A524">
        <v>69891</v>
      </c>
      <c r="B524" t="s">
        <v>6122</v>
      </c>
      <c r="C524" t="s">
        <v>6123</v>
      </c>
      <c r="D524" t="s">
        <v>5553</v>
      </c>
      <c r="E524" t="s">
        <v>5554</v>
      </c>
      <c r="F524">
        <v>1928</v>
      </c>
      <c r="G524">
        <v>2015</v>
      </c>
    </row>
    <row r="525" spans="1:7" x14ac:dyDescent="0.25">
      <c r="A525">
        <v>69972</v>
      </c>
      <c r="B525" t="s">
        <v>4862</v>
      </c>
      <c r="C525" t="s">
        <v>6124</v>
      </c>
      <c r="D525" t="s">
        <v>5721</v>
      </c>
      <c r="E525" t="s">
        <v>5561</v>
      </c>
      <c r="F525">
        <v>1956</v>
      </c>
      <c r="G525">
        <v>0</v>
      </c>
    </row>
    <row r="526" spans="1:7" x14ac:dyDescent="0.25">
      <c r="A526">
        <v>70436</v>
      </c>
      <c r="B526" t="s">
        <v>5304</v>
      </c>
      <c r="C526" t="s">
        <v>6125</v>
      </c>
      <c r="D526" t="s">
        <v>4195</v>
      </c>
      <c r="E526" t="s">
        <v>5554</v>
      </c>
      <c r="F526">
        <v>1953</v>
      </c>
      <c r="G526">
        <v>2000</v>
      </c>
    </row>
    <row r="527" spans="1:7" x14ac:dyDescent="0.25">
      <c r="A527">
        <v>71206</v>
      </c>
      <c r="B527" t="s">
        <v>5048</v>
      </c>
      <c r="C527" t="s">
        <v>6126</v>
      </c>
      <c r="D527" t="s">
        <v>5556</v>
      </c>
      <c r="E527" t="s">
        <v>5561</v>
      </c>
      <c r="F527">
        <v>1960</v>
      </c>
      <c r="G527">
        <v>0</v>
      </c>
    </row>
    <row r="528" spans="1:7" x14ac:dyDescent="0.25">
      <c r="A528">
        <v>71841</v>
      </c>
      <c r="B528" t="s">
        <v>5032</v>
      </c>
      <c r="C528" t="s">
        <v>5588</v>
      </c>
      <c r="D528" t="s">
        <v>5556</v>
      </c>
      <c r="E528" t="s">
        <v>5561</v>
      </c>
      <c r="F528">
        <v>1941</v>
      </c>
      <c r="G528">
        <v>0</v>
      </c>
    </row>
    <row r="529" spans="1:7" x14ac:dyDescent="0.25">
      <c r="A529">
        <v>72572</v>
      </c>
      <c r="B529" t="s">
        <v>5163</v>
      </c>
      <c r="C529" t="s">
        <v>6127</v>
      </c>
      <c r="D529" t="s">
        <v>6128</v>
      </c>
      <c r="E529" t="s">
        <v>5554</v>
      </c>
      <c r="F529">
        <v>1936</v>
      </c>
      <c r="G529">
        <v>2011</v>
      </c>
    </row>
    <row r="530" spans="1:7" x14ac:dyDescent="0.25">
      <c r="A530">
        <v>72721</v>
      </c>
      <c r="B530" t="s">
        <v>5239</v>
      </c>
      <c r="C530" t="s">
        <v>6129</v>
      </c>
      <c r="D530" t="s">
        <v>5556</v>
      </c>
      <c r="E530" t="s">
        <v>5561</v>
      </c>
      <c r="F530">
        <v>1951</v>
      </c>
      <c r="G530">
        <v>2021</v>
      </c>
    </row>
    <row r="531" spans="1:7" x14ac:dyDescent="0.25">
      <c r="A531">
        <v>74188</v>
      </c>
      <c r="B531" t="s">
        <v>6130</v>
      </c>
      <c r="C531" t="s">
        <v>5937</v>
      </c>
      <c r="D531" t="s">
        <v>5937</v>
      </c>
      <c r="E531" t="s">
        <v>5554</v>
      </c>
      <c r="F531">
        <v>0</v>
      </c>
      <c r="G531">
        <v>0</v>
      </c>
    </row>
    <row r="532" spans="1:7" x14ac:dyDescent="0.25">
      <c r="A532">
        <v>74341</v>
      </c>
      <c r="B532" t="s">
        <v>6131</v>
      </c>
      <c r="C532" t="s">
        <v>6132</v>
      </c>
      <c r="D532" t="s">
        <v>5556</v>
      </c>
      <c r="E532" t="s">
        <v>5554</v>
      </c>
      <c r="F532">
        <v>1925</v>
      </c>
      <c r="G532">
        <v>2010</v>
      </c>
    </row>
    <row r="533" spans="1:7" x14ac:dyDescent="0.25">
      <c r="A533">
        <v>74396</v>
      </c>
      <c r="B533" t="s">
        <v>6133</v>
      </c>
      <c r="C533" t="s">
        <v>6134</v>
      </c>
      <c r="D533" t="s">
        <v>5556</v>
      </c>
      <c r="E533" t="s">
        <v>5554</v>
      </c>
      <c r="F533">
        <v>1929</v>
      </c>
      <c r="G533">
        <v>2018</v>
      </c>
    </row>
    <row r="534" spans="1:7" x14ac:dyDescent="0.25">
      <c r="A534">
        <v>74404</v>
      </c>
      <c r="B534" t="s">
        <v>5412</v>
      </c>
      <c r="C534" t="s">
        <v>6135</v>
      </c>
      <c r="D534" t="s">
        <v>5556</v>
      </c>
      <c r="E534" t="s">
        <v>5561</v>
      </c>
      <c r="F534">
        <v>1918</v>
      </c>
      <c r="G534">
        <v>1983</v>
      </c>
    </row>
    <row r="535" spans="1:7" x14ac:dyDescent="0.25">
      <c r="A535">
        <v>75324</v>
      </c>
      <c r="B535" t="s">
        <v>5545</v>
      </c>
      <c r="C535" t="s">
        <v>6136</v>
      </c>
      <c r="D535" t="s">
        <v>5556</v>
      </c>
      <c r="E535" t="s">
        <v>5554</v>
      </c>
      <c r="F535">
        <v>1929</v>
      </c>
      <c r="G535">
        <v>1996</v>
      </c>
    </row>
    <row r="536" spans="1:7" x14ac:dyDescent="0.25">
      <c r="A536">
        <v>75669</v>
      </c>
      <c r="B536" t="s">
        <v>5111</v>
      </c>
      <c r="C536" t="s">
        <v>6137</v>
      </c>
      <c r="D536" t="s">
        <v>5556</v>
      </c>
      <c r="E536" t="s">
        <v>5561</v>
      </c>
      <c r="F536">
        <v>1986</v>
      </c>
      <c r="G536">
        <v>0</v>
      </c>
    </row>
    <row r="537" spans="1:7" x14ac:dyDescent="0.25">
      <c r="A537">
        <v>76665</v>
      </c>
      <c r="B537" t="s">
        <v>5054</v>
      </c>
      <c r="C537" t="s">
        <v>6138</v>
      </c>
      <c r="F537">
        <v>1908</v>
      </c>
      <c r="G537">
        <v>0</v>
      </c>
    </row>
    <row r="538" spans="1:7" x14ac:dyDescent="0.25">
      <c r="A538">
        <v>100523</v>
      </c>
      <c r="B538" t="s">
        <v>6139</v>
      </c>
      <c r="C538" t="s">
        <v>6140</v>
      </c>
      <c r="D538" t="s">
        <v>6141</v>
      </c>
      <c r="F538">
        <v>1957</v>
      </c>
      <c r="G538">
        <v>0</v>
      </c>
    </row>
    <row r="539" spans="1:7" x14ac:dyDescent="0.25">
      <c r="A539">
        <v>103312</v>
      </c>
      <c r="B539" t="s">
        <v>6142</v>
      </c>
      <c r="C539" t="s">
        <v>6143</v>
      </c>
      <c r="D539" t="s">
        <v>5556</v>
      </c>
      <c r="E539" t="s">
        <v>5554</v>
      </c>
      <c r="F539">
        <v>1934</v>
      </c>
      <c r="G539">
        <v>2014</v>
      </c>
    </row>
    <row r="540" spans="1:7" x14ac:dyDescent="0.25">
      <c r="A540">
        <v>106324</v>
      </c>
      <c r="B540" t="s">
        <v>6144</v>
      </c>
      <c r="C540" t="s">
        <v>6145</v>
      </c>
      <c r="D540" t="s">
        <v>5556</v>
      </c>
      <c r="E540" t="s">
        <v>5554</v>
      </c>
      <c r="F540">
        <v>1928</v>
      </c>
      <c r="G540">
        <v>2014</v>
      </c>
    </row>
    <row r="541" spans="1:7" x14ac:dyDescent="0.25">
      <c r="A541">
        <v>114339</v>
      </c>
      <c r="B541" t="s">
        <v>6146</v>
      </c>
      <c r="C541" t="s">
        <v>6147</v>
      </c>
      <c r="D541" t="s">
        <v>5556</v>
      </c>
      <c r="E541" t="s">
        <v>5554</v>
      </c>
      <c r="F541">
        <v>1933</v>
      </c>
      <c r="G541">
        <v>2010</v>
      </c>
    </row>
    <row r="542" spans="1:7" x14ac:dyDescent="0.25">
      <c r="A542">
        <v>118827</v>
      </c>
      <c r="B542" t="s">
        <v>5464</v>
      </c>
      <c r="C542" t="s">
        <v>6148</v>
      </c>
      <c r="D542" t="s">
        <v>5556</v>
      </c>
      <c r="F542">
        <v>1934</v>
      </c>
      <c r="G542">
        <v>2011</v>
      </c>
    </row>
    <row r="543" spans="1:7" x14ac:dyDescent="0.25">
      <c r="A543">
        <v>121776</v>
      </c>
      <c r="B543" t="s">
        <v>6149</v>
      </c>
      <c r="C543" t="s">
        <v>6150</v>
      </c>
      <c r="D543" t="s">
        <v>5556</v>
      </c>
      <c r="E543" t="s">
        <v>5554</v>
      </c>
      <c r="F543">
        <v>1930</v>
      </c>
      <c r="G543">
        <v>1999</v>
      </c>
    </row>
    <row r="544" spans="1:7" x14ac:dyDescent="0.25">
      <c r="A544">
        <v>121873</v>
      </c>
      <c r="B544" t="s">
        <v>6151</v>
      </c>
      <c r="C544" t="s">
        <v>6152</v>
      </c>
      <c r="D544" t="s">
        <v>5556</v>
      </c>
      <c r="E544" t="s">
        <v>5554</v>
      </c>
      <c r="F544">
        <v>1928</v>
      </c>
      <c r="G544">
        <v>2013</v>
      </c>
    </row>
    <row r="545" spans="1:7" x14ac:dyDescent="0.25">
      <c r="A545">
        <v>128854</v>
      </c>
      <c r="B545" t="s">
        <v>6153</v>
      </c>
      <c r="C545" t="s">
        <v>6154</v>
      </c>
      <c r="D545" t="s">
        <v>5556</v>
      </c>
      <c r="E545" t="s">
        <v>5561</v>
      </c>
      <c r="F545">
        <v>1922</v>
      </c>
      <c r="G545">
        <v>2017</v>
      </c>
    </row>
    <row r="546" spans="1:7" x14ac:dyDescent="0.25">
      <c r="A546">
        <v>129707</v>
      </c>
      <c r="B546" t="s">
        <v>6155</v>
      </c>
      <c r="C546" t="s">
        <v>6156</v>
      </c>
      <c r="D546" t="s">
        <v>6157</v>
      </c>
      <c r="E546" t="s">
        <v>5561</v>
      </c>
      <c r="F546">
        <v>1940</v>
      </c>
      <c r="G546">
        <v>0</v>
      </c>
    </row>
    <row r="547" spans="1:7" x14ac:dyDescent="0.25">
      <c r="A547">
        <v>131529</v>
      </c>
      <c r="B547" t="s">
        <v>4965</v>
      </c>
      <c r="C547" t="s">
        <v>6158</v>
      </c>
      <c r="D547" t="s">
        <v>5556</v>
      </c>
      <c r="E547" t="s">
        <v>5554</v>
      </c>
      <c r="F547">
        <v>1979</v>
      </c>
      <c r="G547">
        <v>0</v>
      </c>
    </row>
    <row r="548" spans="1:7" x14ac:dyDescent="0.25">
      <c r="A548">
        <v>131886</v>
      </c>
      <c r="B548" t="s">
        <v>6159</v>
      </c>
      <c r="C548" t="s">
        <v>6160</v>
      </c>
      <c r="D548" t="s">
        <v>5556</v>
      </c>
      <c r="E548" t="s">
        <v>5554</v>
      </c>
      <c r="F548">
        <v>1938</v>
      </c>
      <c r="G548">
        <v>1977</v>
      </c>
    </row>
    <row r="549" spans="1:7" x14ac:dyDescent="0.25">
      <c r="A549">
        <v>131887</v>
      </c>
      <c r="B549" t="s">
        <v>6161</v>
      </c>
      <c r="C549" t="s">
        <v>6162</v>
      </c>
      <c r="D549" t="s">
        <v>5556</v>
      </c>
      <c r="F549">
        <v>1925</v>
      </c>
      <c r="G549">
        <v>1997</v>
      </c>
    </row>
    <row r="550" spans="1:7" x14ac:dyDescent="0.25">
      <c r="A550">
        <v>131888</v>
      </c>
      <c r="B550" t="s">
        <v>6163</v>
      </c>
      <c r="C550" t="s">
        <v>6164</v>
      </c>
      <c r="D550" t="s">
        <v>5556</v>
      </c>
      <c r="E550" t="s">
        <v>5554</v>
      </c>
      <c r="F550">
        <v>1927</v>
      </c>
      <c r="G550">
        <v>2019</v>
      </c>
    </row>
    <row r="551" spans="1:7" x14ac:dyDescent="0.25">
      <c r="A551">
        <v>131916</v>
      </c>
      <c r="B551" t="s">
        <v>5016</v>
      </c>
      <c r="C551" t="s">
        <v>6165</v>
      </c>
      <c r="D551" t="s">
        <v>5778</v>
      </c>
      <c r="E551" t="s">
        <v>5561</v>
      </c>
      <c r="F551">
        <v>1905</v>
      </c>
      <c r="G551">
        <v>1990</v>
      </c>
    </row>
    <row r="552" spans="1:7" x14ac:dyDescent="0.25">
      <c r="A552">
        <v>131930</v>
      </c>
      <c r="B552" t="s">
        <v>6166</v>
      </c>
      <c r="C552" t="s">
        <v>6167</v>
      </c>
      <c r="F552">
        <v>2016</v>
      </c>
      <c r="G552">
        <v>0</v>
      </c>
    </row>
    <row r="553" spans="1:7" x14ac:dyDescent="0.25">
      <c r="A553">
        <v>131948</v>
      </c>
      <c r="B553" t="s">
        <v>5025</v>
      </c>
      <c r="C553" t="s">
        <v>6168</v>
      </c>
      <c r="D553" t="s">
        <v>6141</v>
      </c>
      <c r="E553" t="s">
        <v>5554</v>
      </c>
      <c r="F553">
        <v>1976</v>
      </c>
      <c r="G553">
        <v>0</v>
      </c>
    </row>
    <row r="554" spans="1:7" x14ac:dyDescent="0.25">
      <c r="A554">
        <v>131958</v>
      </c>
      <c r="B554" t="s">
        <v>5026</v>
      </c>
      <c r="C554" t="s">
        <v>6169</v>
      </c>
      <c r="D554" t="s">
        <v>5690</v>
      </c>
      <c r="E554" t="s">
        <v>5561</v>
      </c>
      <c r="F554">
        <v>1925</v>
      </c>
      <c r="G554">
        <v>2019</v>
      </c>
    </row>
    <row r="555" spans="1:7" x14ac:dyDescent="0.25">
      <c r="A555">
        <v>132113</v>
      </c>
      <c r="B555" t="s">
        <v>6170</v>
      </c>
      <c r="C555" t="s">
        <v>6171</v>
      </c>
      <c r="D555" t="s">
        <v>5567</v>
      </c>
      <c r="F555">
        <v>2014</v>
      </c>
      <c r="G555">
        <v>0</v>
      </c>
    </row>
    <row r="556" spans="1:7" x14ac:dyDescent="0.25">
      <c r="A556">
        <v>132165</v>
      </c>
      <c r="B556" t="s">
        <v>6172</v>
      </c>
      <c r="C556" t="s">
        <v>6173</v>
      </c>
      <c r="D556" t="s">
        <v>5567</v>
      </c>
      <c r="E556" t="s">
        <v>5554</v>
      </c>
      <c r="F556">
        <v>1978</v>
      </c>
      <c r="G556">
        <v>0</v>
      </c>
    </row>
    <row r="557" spans="1:7" x14ac:dyDescent="0.25">
      <c r="A557">
        <v>132166</v>
      </c>
      <c r="B557" t="s">
        <v>6174</v>
      </c>
      <c r="C557" t="s">
        <v>5567</v>
      </c>
      <c r="D557" t="s">
        <v>5567</v>
      </c>
      <c r="E557" t="s">
        <v>5561</v>
      </c>
      <c r="F557">
        <v>0</v>
      </c>
      <c r="G557">
        <v>0</v>
      </c>
    </row>
    <row r="558" spans="1:7" x14ac:dyDescent="0.25">
      <c r="A558">
        <v>132947</v>
      </c>
      <c r="B558" t="s">
        <v>5105</v>
      </c>
      <c r="C558" t="s">
        <v>6175</v>
      </c>
      <c r="D558" t="s">
        <v>5832</v>
      </c>
      <c r="E558" t="s">
        <v>5561</v>
      </c>
      <c r="F558">
        <v>1939</v>
      </c>
      <c r="G558">
        <v>0</v>
      </c>
    </row>
    <row r="559" spans="1:7" x14ac:dyDescent="0.25">
      <c r="A559">
        <v>133044</v>
      </c>
      <c r="B559" t="s">
        <v>5202</v>
      </c>
      <c r="C559" t="s">
        <v>6176</v>
      </c>
      <c r="D559" t="s">
        <v>5556</v>
      </c>
      <c r="E559" t="s">
        <v>5554</v>
      </c>
      <c r="F559">
        <v>1891</v>
      </c>
      <c r="G559">
        <v>1981</v>
      </c>
    </row>
    <row r="560" spans="1:7" x14ac:dyDescent="0.25">
      <c r="A560">
        <v>133146</v>
      </c>
      <c r="B560" t="s">
        <v>5135</v>
      </c>
      <c r="C560" t="s">
        <v>6177</v>
      </c>
      <c r="E560" t="s">
        <v>5554</v>
      </c>
      <c r="F560">
        <v>1946</v>
      </c>
      <c r="G560">
        <v>1978</v>
      </c>
    </row>
    <row r="561" spans="1:7" x14ac:dyDescent="0.25">
      <c r="A561">
        <v>133225</v>
      </c>
      <c r="B561" t="s">
        <v>5165</v>
      </c>
      <c r="C561" t="s">
        <v>6178</v>
      </c>
      <c r="D561" t="s">
        <v>5580</v>
      </c>
      <c r="F561">
        <v>1972</v>
      </c>
      <c r="G561">
        <v>0</v>
      </c>
    </row>
    <row r="562" spans="1:7" x14ac:dyDescent="0.25">
      <c r="A562">
        <v>133368</v>
      </c>
      <c r="B562" t="s">
        <v>6179</v>
      </c>
      <c r="C562" t="s">
        <v>6180</v>
      </c>
      <c r="D562" t="s">
        <v>5937</v>
      </c>
      <c r="E562" t="s">
        <v>5554</v>
      </c>
      <c r="F562">
        <v>1973</v>
      </c>
      <c r="G562">
        <v>0</v>
      </c>
    </row>
    <row r="563" spans="1:7" x14ac:dyDescent="0.25">
      <c r="A563">
        <v>133369</v>
      </c>
      <c r="B563" t="s">
        <v>6181</v>
      </c>
      <c r="C563" t="s">
        <v>6180</v>
      </c>
      <c r="D563" t="s">
        <v>5937</v>
      </c>
      <c r="E563" t="s">
        <v>5561</v>
      </c>
      <c r="F563">
        <v>1973</v>
      </c>
      <c r="G563">
        <v>0</v>
      </c>
    </row>
    <row r="564" spans="1:7" x14ac:dyDescent="0.25">
      <c r="A564">
        <v>133401</v>
      </c>
      <c r="B564" t="s">
        <v>6182</v>
      </c>
      <c r="F564">
        <v>0</v>
      </c>
      <c r="G564">
        <v>0</v>
      </c>
    </row>
    <row r="565" spans="1:7" x14ac:dyDescent="0.25">
      <c r="A565">
        <v>133645</v>
      </c>
      <c r="B565" t="s">
        <v>5252</v>
      </c>
      <c r="C565" t="s">
        <v>6183</v>
      </c>
      <c r="D565" t="s">
        <v>5778</v>
      </c>
      <c r="E565" t="s">
        <v>5554</v>
      </c>
      <c r="F565">
        <v>1944</v>
      </c>
      <c r="G565">
        <v>1990</v>
      </c>
    </row>
    <row r="566" spans="1:7" x14ac:dyDescent="0.25">
      <c r="A566">
        <v>133731</v>
      </c>
      <c r="B566" t="s">
        <v>6184</v>
      </c>
      <c r="C566" t="s">
        <v>6185</v>
      </c>
      <c r="D566" t="s">
        <v>5556</v>
      </c>
      <c r="E566" t="s">
        <v>5554</v>
      </c>
      <c r="F566">
        <v>1941</v>
      </c>
      <c r="G566">
        <v>2021</v>
      </c>
    </row>
    <row r="567" spans="1:7" x14ac:dyDescent="0.25">
      <c r="A567">
        <v>133803</v>
      </c>
      <c r="B567" t="s">
        <v>5192</v>
      </c>
      <c r="C567" t="s">
        <v>6186</v>
      </c>
      <c r="D567" t="s">
        <v>5753</v>
      </c>
      <c r="E567" t="s">
        <v>5561</v>
      </c>
      <c r="F567">
        <v>1935</v>
      </c>
      <c r="G567">
        <v>1972</v>
      </c>
    </row>
    <row r="568" spans="1:7" x14ac:dyDescent="0.25">
      <c r="A568">
        <v>133962</v>
      </c>
      <c r="B568" t="s">
        <v>5403</v>
      </c>
      <c r="C568" t="s">
        <v>6187</v>
      </c>
      <c r="D568" t="s">
        <v>6188</v>
      </c>
      <c r="E568" t="s">
        <v>5554</v>
      </c>
      <c r="F568">
        <v>1960</v>
      </c>
      <c r="G568">
        <v>0</v>
      </c>
    </row>
    <row r="569" spans="1:7" x14ac:dyDescent="0.25">
      <c r="A569">
        <v>134591</v>
      </c>
      <c r="B569" t="s">
        <v>5240</v>
      </c>
      <c r="C569" t="s">
        <v>6189</v>
      </c>
      <c r="D569" t="s">
        <v>5916</v>
      </c>
      <c r="E569" t="s">
        <v>5561</v>
      </c>
      <c r="F569">
        <v>1935</v>
      </c>
      <c r="G569">
        <v>0</v>
      </c>
    </row>
    <row r="570" spans="1:7" x14ac:dyDescent="0.25">
      <c r="A570">
        <v>134716</v>
      </c>
      <c r="B570" t="s">
        <v>5258</v>
      </c>
      <c r="F570">
        <v>0</v>
      </c>
      <c r="G570">
        <v>0</v>
      </c>
    </row>
    <row r="571" spans="1:7" x14ac:dyDescent="0.25">
      <c r="A571">
        <v>134817</v>
      </c>
      <c r="B571" t="s">
        <v>5264</v>
      </c>
      <c r="C571" t="s">
        <v>6190</v>
      </c>
      <c r="D571" t="s">
        <v>6191</v>
      </c>
      <c r="E571" t="s">
        <v>5554</v>
      </c>
      <c r="F571">
        <v>1984</v>
      </c>
      <c r="G571">
        <v>0</v>
      </c>
    </row>
    <row r="572" spans="1:7" x14ac:dyDescent="0.25">
      <c r="A572">
        <v>135287</v>
      </c>
      <c r="B572" t="s">
        <v>5289</v>
      </c>
      <c r="C572" t="s">
        <v>6192</v>
      </c>
      <c r="D572" t="s">
        <v>6051</v>
      </c>
      <c r="E572" t="s">
        <v>5554</v>
      </c>
      <c r="F572">
        <v>1950</v>
      </c>
      <c r="G572">
        <v>2021</v>
      </c>
    </row>
    <row r="573" spans="1:7" x14ac:dyDescent="0.25">
      <c r="A573">
        <v>135371</v>
      </c>
      <c r="B573" t="s">
        <v>5296</v>
      </c>
      <c r="C573" t="s">
        <v>6193</v>
      </c>
      <c r="D573" t="s">
        <v>6194</v>
      </c>
      <c r="F573">
        <v>1959</v>
      </c>
      <c r="G573">
        <v>0</v>
      </c>
    </row>
    <row r="574" spans="1:7" x14ac:dyDescent="0.25">
      <c r="A574">
        <v>135889</v>
      </c>
      <c r="B574" t="s">
        <v>5318</v>
      </c>
      <c r="C574" t="s">
        <v>6195</v>
      </c>
      <c r="D574" t="s">
        <v>5630</v>
      </c>
      <c r="E574" t="s">
        <v>5554</v>
      </c>
      <c r="F574">
        <v>1956</v>
      </c>
      <c r="G574">
        <v>1988</v>
      </c>
    </row>
    <row r="575" spans="1:7" x14ac:dyDescent="0.25">
      <c r="A575">
        <v>135972</v>
      </c>
      <c r="B575" t="s">
        <v>5324</v>
      </c>
      <c r="C575" t="s">
        <v>6196</v>
      </c>
      <c r="D575" t="s">
        <v>5567</v>
      </c>
      <c r="E575" t="s">
        <v>6197</v>
      </c>
      <c r="F575">
        <v>1981</v>
      </c>
      <c r="G575">
        <v>0</v>
      </c>
    </row>
    <row r="576" spans="1:7" x14ac:dyDescent="0.25">
      <c r="A576">
        <v>136064</v>
      </c>
      <c r="B576" t="s">
        <v>6198</v>
      </c>
      <c r="C576" t="s">
        <v>6199</v>
      </c>
      <c r="D576" t="s">
        <v>6200</v>
      </c>
      <c r="E576" t="s">
        <v>5554</v>
      </c>
      <c r="F576">
        <v>1934</v>
      </c>
      <c r="G576">
        <v>0</v>
      </c>
    </row>
    <row r="577" spans="1:7" x14ac:dyDescent="0.25">
      <c r="A577">
        <v>136176</v>
      </c>
      <c r="B577" t="s">
        <v>5389</v>
      </c>
      <c r="C577" t="s">
        <v>6201</v>
      </c>
      <c r="D577" t="s">
        <v>5556</v>
      </c>
      <c r="E577" t="s">
        <v>5561</v>
      </c>
      <c r="F577">
        <v>1881</v>
      </c>
      <c r="G577">
        <v>1961</v>
      </c>
    </row>
    <row r="578" spans="1:7" x14ac:dyDescent="0.25">
      <c r="A578">
        <v>136494</v>
      </c>
      <c r="B578" t="s">
        <v>5421</v>
      </c>
      <c r="C578" t="s">
        <v>6202</v>
      </c>
      <c r="D578" t="s">
        <v>5576</v>
      </c>
      <c r="E578" t="s">
        <v>5554</v>
      </c>
      <c r="F578">
        <v>1928</v>
      </c>
      <c r="G578">
        <v>1985</v>
      </c>
    </row>
    <row r="579" spans="1:7" x14ac:dyDescent="0.25">
      <c r="A579">
        <v>136558</v>
      </c>
      <c r="B579" t="s">
        <v>6203</v>
      </c>
      <c r="C579" t="s">
        <v>6204</v>
      </c>
      <c r="E579" t="s">
        <v>5561</v>
      </c>
      <c r="F579">
        <v>1973</v>
      </c>
      <c r="G579">
        <v>0</v>
      </c>
    </row>
    <row r="580" spans="1:7" x14ac:dyDescent="0.25">
      <c r="A580">
        <v>136602</v>
      </c>
      <c r="B580" t="s">
        <v>5465</v>
      </c>
      <c r="C580" t="s">
        <v>6205</v>
      </c>
      <c r="D580" t="s">
        <v>5765</v>
      </c>
      <c r="E580" t="s">
        <v>5561</v>
      </c>
      <c r="F580">
        <v>1927</v>
      </c>
      <c r="G580">
        <v>1995</v>
      </c>
    </row>
    <row r="581" spans="1:7" x14ac:dyDescent="0.25">
      <c r="A581">
        <v>136644</v>
      </c>
      <c r="B581" t="s">
        <v>6206</v>
      </c>
      <c r="C581" t="s">
        <v>6207</v>
      </c>
      <c r="D581" t="s">
        <v>5556</v>
      </c>
      <c r="E581" t="s">
        <v>5554</v>
      </c>
      <c r="F581">
        <v>1931</v>
      </c>
      <c r="G581">
        <v>2024</v>
      </c>
    </row>
    <row r="582" spans="1:7" x14ac:dyDescent="0.25">
      <c r="A582">
        <v>136791</v>
      </c>
      <c r="B582" t="s">
        <v>5442</v>
      </c>
      <c r="C582" t="s">
        <v>6208</v>
      </c>
      <c r="D582" t="s">
        <v>5721</v>
      </c>
      <c r="E582" t="s">
        <v>5561</v>
      </c>
      <c r="F582">
        <v>1958</v>
      </c>
      <c r="G582">
        <v>0</v>
      </c>
    </row>
    <row r="583" spans="1:7" x14ac:dyDescent="0.25">
      <c r="A583">
        <v>136997</v>
      </c>
      <c r="B583" t="s">
        <v>6209</v>
      </c>
      <c r="C583" t="s">
        <v>6210</v>
      </c>
      <c r="D583" t="s">
        <v>6211</v>
      </c>
      <c r="E583" t="s">
        <v>5554</v>
      </c>
      <c r="F583">
        <v>1923</v>
      </c>
      <c r="G583">
        <v>2005</v>
      </c>
    </row>
    <row r="584" spans="1:7" x14ac:dyDescent="0.25">
      <c r="A584">
        <v>136998</v>
      </c>
      <c r="B584" t="s">
        <v>6212</v>
      </c>
      <c r="C584" t="s">
        <v>6213</v>
      </c>
      <c r="D584" t="s">
        <v>5753</v>
      </c>
      <c r="E584" t="s">
        <v>5554</v>
      </c>
      <c r="F584">
        <v>1934</v>
      </c>
      <c r="G584">
        <v>0</v>
      </c>
    </row>
    <row r="585" spans="1:7" x14ac:dyDescent="0.25">
      <c r="A585">
        <v>136999</v>
      </c>
      <c r="B585" t="s">
        <v>6214</v>
      </c>
      <c r="C585" t="s">
        <v>6215</v>
      </c>
      <c r="D585" t="s">
        <v>6157</v>
      </c>
      <c r="E585" t="s">
        <v>5554</v>
      </c>
      <c r="F585">
        <v>1935</v>
      </c>
      <c r="G585">
        <v>2015</v>
      </c>
    </row>
    <row r="586" spans="1:7" x14ac:dyDescent="0.25">
      <c r="A586">
        <v>137000</v>
      </c>
      <c r="B586" t="s">
        <v>6216</v>
      </c>
      <c r="C586" t="s">
        <v>6217</v>
      </c>
      <c r="E586" t="s">
        <v>5554</v>
      </c>
      <c r="F586">
        <v>0</v>
      </c>
      <c r="G586">
        <v>0</v>
      </c>
    </row>
    <row r="587" spans="1:7" x14ac:dyDescent="0.25">
      <c r="A587">
        <v>137001</v>
      </c>
      <c r="B587" t="s">
        <v>6218</v>
      </c>
      <c r="C587" t="s">
        <v>6219</v>
      </c>
      <c r="D587" t="s">
        <v>5890</v>
      </c>
      <c r="E587" t="s">
        <v>5554</v>
      </c>
      <c r="F587">
        <v>1948</v>
      </c>
      <c r="G587">
        <v>0</v>
      </c>
    </row>
    <row r="588" spans="1:7" x14ac:dyDescent="0.25">
      <c r="A588">
        <v>137002</v>
      </c>
      <c r="B588" t="s">
        <v>6220</v>
      </c>
      <c r="C588" t="s">
        <v>6221</v>
      </c>
      <c r="D588" t="s">
        <v>5890</v>
      </c>
      <c r="E588" t="s">
        <v>5554</v>
      </c>
      <c r="F588">
        <v>1936</v>
      </c>
      <c r="G588">
        <v>0</v>
      </c>
    </row>
    <row r="589" spans="1:7" x14ac:dyDescent="0.25">
      <c r="A589">
        <v>137003</v>
      </c>
      <c r="B589" t="s">
        <v>6222</v>
      </c>
      <c r="C589" t="s">
        <v>6223</v>
      </c>
      <c r="E589" t="s">
        <v>5554</v>
      </c>
      <c r="F589">
        <v>1944</v>
      </c>
      <c r="G589">
        <v>0</v>
      </c>
    </row>
    <row r="590" spans="1:7" x14ac:dyDescent="0.25">
      <c r="A590">
        <v>137004</v>
      </c>
      <c r="B590" t="s">
        <v>6224</v>
      </c>
      <c r="C590" t="s">
        <v>6225</v>
      </c>
      <c r="D590" t="s">
        <v>6226</v>
      </c>
      <c r="E590" t="s">
        <v>5554</v>
      </c>
      <c r="F590">
        <v>1921</v>
      </c>
      <c r="G590">
        <v>2019</v>
      </c>
    </row>
    <row r="591" spans="1:7" x14ac:dyDescent="0.25">
      <c r="A591">
        <v>137005</v>
      </c>
      <c r="B591" t="s">
        <v>6227</v>
      </c>
      <c r="C591" t="s">
        <v>6228</v>
      </c>
      <c r="D591" t="s">
        <v>5567</v>
      </c>
      <c r="E591" t="s">
        <v>5554</v>
      </c>
      <c r="F591">
        <v>1941</v>
      </c>
      <c r="G591">
        <v>0</v>
      </c>
    </row>
    <row r="592" spans="1:7" x14ac:dyDescent="0.25">
      <c r="A592">
        <v>137006</v>
      </c>
      <c r="B592" t="s">
        <v>6229</v>
      </c>
      <c r="C592" t="s">
        <v>6230</v>
      </c>
      <c r="D592" t="s">
        <v>5556</v>
      </c>
      <c r="E592" t="s">
        <v>5554</v>
      </c>
      <c r="F592">
        <v>1946</v>
      </c>
      <c r="G592">
        <v>0</v>
      </c>
    </row>
    <row r="593" spans="1:7" x14ac:dyDescent="0.25">
      <c r="A593">
        <v>137007</v>
      </c>
      <c r="B593" t="s">
        <v>6231</v>
      </c>
      <c r="C593" t="s">
        <v>6232</v>
      </c>
      <c r="D593" t="s">
        <v>5576</v>
      </c>
      <c r="E593" t="s">
        <v>5554</v>
      </c>
      <c r="F593">
        <v>1932</v>
      </c>
      <c r="G593">
        <v>2000</v>
      </c>
    </row>
    <row r="594" spans="1:7" x14ac:dyDescent="0.25">
      <c r="A594">
        <v>137008</v>
      </c>
      <c r="B594" t="s">
        <v>6233</v>
      </c>
      <c r="C594" t="s">
        <v>6234</v>
      </c>
      <c r="D594" t="s">
        <v>5576</v>
      </c>
      <c r="E594" t="s">
        <v>5554</v>
      </c>
      <c r="F594">
        <v>1936</v>
      </c>
      <c r="G594">
        <v>0</v>
      </c>
    </row>
    <row r="595" spans="1:7" x14ac:dyDescent="0.25">
      <c r="A595">
        <v>137009</v>
      </c>
      <c r="B595" t="s">
        <v>6235</v>
      </c>
      <c r="C595" t="s">
        <v>6236</v>
      </c>
      <c r="D595" t="s">
        <v>5576</v>
      </c>
      <c r="E595" t="s">
        <v>5554</v>
      </c>
      <c r="F595">
        <v>1938</v>
      </c>
      <c r="G595">
        <v>0</v>
      </c>
    </row>
    <row r="596" spans="1:7" x14ac:dyDescent="0.25">
      <c r="A596">
        <v>137010</v>
      </c>
      <c r="B596" t="s">
        <v>6237</v>
      </c>
      <c r="C596" t="s">
        <v>6238</v>
      </c>
      <c r="E596" t="s">
        <v>5554</v>
      </c>
      <c r="F596">
        <v>1943</v>
      </c>
      <c r="G596">
        <v>0</v>
      </c>
    </row>
    <row r="597" spans="1:7" x14ac:dyDescent="0.25">
      <c r="A597">
        <v>137011</v>
      </c>
      <c r="B597" t="s">
        <v>6239</v>
      </c>
      <c r="C597" t="s">
        <v>6240</v>
      </c>
      <c r="D597" t="s">
        <v>6194</v>
      </c>
      <c r="E597" t="s">
        <v>5554</v>
      </c>
      <c r="F597">
        <v>1938</v>
      </c>
      <c r="G597">
        <v>0</v>
      </c>
    </row>
    <row r="598" spans="1:7" x14ac:dyDescent="0.25">
      <c r="A598">
        <v>137012</v>
      </c>
      <c r="B598" t="s">
        <v>6241</v>
      </c>
      <c r="C598" t="s">
        <v>6242</v>
      </c>
      <c r="D598" t="s">
        <v>5556</v>
      </c>
      <c r="E598" t="s">
        <v>5554</v>
      </c>
      <c r="F598">
        <v>1929</v>
      </c>
      <c r="G598">
        <v>1998</v>
      </c>
    </row>
    <row r="599" spans="1:7" x14ac:dyDescent="0.25">
      <c r="A599">
        <v>137013</v>
      </c>
      <c r="B599" t="s">
        <v>6243</v>
      </c>
      <c r="C599" t="s">
        <v>6244</v>
      </c>
      <c r="D599" t="s">
        <v>5576</v>
      </c>
      <c r="E599" t="s">
        <v>5554</v>
      </c>
      <c r="F599">
        <v>1935</v>
      </c>
      <c r="G599">
        <v>2021</v>
      </c>
    </row>
    <row r="600" spans="1:7" x14ac:dyDescent="0.25">
      <c r="A600">
        <v>137014</v>
      </c>
      <c r="B600" t="s">
        <v>6245</v>
      </c>
      <c r="C600" t="s">
        <v>6246</v>
      </c>
      <c r="E600" t="s">
        <v>5554</v>
      </c>
      <c r="F600">
        <v>1910</v>
      </c>
      <c r="G600">
        <v>1992</v>
      </c>
    </row>
    <row r="601" spans="1:7" x14ac:dyDescent="0.25">
      <c r="A601">
        <v>137016</v>
      </c>
      <c r="B601" t="s">
        <v>6247</v>
      </c>
      <c r="C601" t="s">
        <v>6248</v>
      </c>
      <c r="D601" t="s">
        <v>5553</v>
      </c>
      <c r="E601" t="s">
        <v>5561</v>
      </c>
      <c r="F601">
        <v>1945</v>
      </c>
      <c r="G601">
        <v>0</v>
      </c>
    </row>
    <row r="602" spans="1:7" x14ac:dyDescent="0.25">
      <c r="A602">
        <v>137017</v>
      </c>
      <c r="B602" t="s">
        <v>6249</v>
      </c>
      <c r="C602" t="s">
        <v>6250</v>
      </c>
      <c r="D602" t="s">
        <v>5576</v>
      </c>
      <c r="E602" t="s">
        <v>5554</v>
      </c>
      <c r="F602">
        <v>1916</v>
      </c>
      <c r="G602">
        <v>2001</v>
      </c>
    </row>
    <row r="603" spans="1:7" x14ac:dyDescent="0.25">
      <c r="A603">
        <v>137018</v>
      </c>
      <c r="B603" t="s">
        <v>6251</v>
      </c>
      <c r="C603" t="s">
        <v>6252</v>
      </c>
      <c r="D603" t="s">
        <v>5567</v>
      </c>
      <c r="E603" t="s">
        <v>5554</v>
      </c>
      <c r="F603">
        <v>1918</v>
      </c>
      <c r="G603">
        <v>1985</v>
      </c>
    </row>
    <row r="604" spans="1:7" x14ac:dyDescent="0.25">
      <c r="A604">
        <v>137019</v>
      </c>
      <c r="B604" t="s">
        <v>6253</v>
      </c>
      <c r="C604" t="s">
        <v>6254</v>
      </c>
      <c r="D604" t="s">
        <v>5690</v>
      </c>
      <c r="E604" t="s">
        <v>5561</v>
      </c>
      <c r="F604">
        <v>1931</v>
      </c>
      <c r="G604">
        <v>2024</v>
      </c>
    </row>
    <row r="605" spans="1:7" x14ac:dyDescent="0.25">
      <c r="A605">
        <v>137020</v>
      </c>
      <c r="B605" t="s">
        <v>6255</v>
      </c>
      <c r="C605" t="s">
        <v>5581</v>
      </c>
      <c r="D605" t="s">
        <v>5582</v>
      </c>
      <c r="E605" t="s">
        <v>5561</v>
      </c>
      <c r="F605">
        <v>1937</v>
      </c>
      <c r="G605">
        <v>0</v>
      </c>
    </row>
    <row r="606" spans="1:7" x14ac:dyDescent="0.25">
      <c r="A606">
        <v>137021</v>
      </c>
      <c r="B606" t="s">
        <v>6256</v>
      </c>
      <c r="C606" t="s">
        <v>6257</v>
      </c>
      <c r="D606" t="s">
        <v>5765</v>
      </c>
      <c r="E606" t="s">
        <v>5554</v>
      </c>
      <c r="F606">
        <v>1947</v>
      </c>
      <c r="G606">
        <v>0</v>
      </c>
    </row>
    <row r="607" spans="1:7" x14ac:dyDescent="0.25">
      <c r="A607">
        <v>137022</v>
      </c>
      <c r="B607" t="s">
        <v>6258</v>
      </c>
      <c r="C607" t="s">
        <v>5674</v>
      </c>
      <c r="D607" t="s">
        <v>5556</v>
      </c>
      <c r="E607" t="s">
        <v>5554</v>
      </c>
      <c r="F607">
        <v>1942</v>
      </c>
      <c r="G607">
        <v>0</v>
      </c>
    </row>
    <row r="608" spans="1:7" x14ac:dyDescent="0.25">
      <c r="A608">
        <v>137023</v>
      </c>
      <c r="B608" t="s">
        <v>6259</v>
      </c>
      <c r="C608" t="s">
        <v>6260</v>
      </c>
      <c r="D608" t="s">
        <v>5556</v>
      </c>
      <c r="E608" t="s">
        <v>5561</v>
      </c>
      <c r="F608">
        <v>1936</v>
      </c>
      <c r="G608">
        <v>0</v>
      </c>
    </row>
    <row r="609" spans="1:7" x14ac:dyDescent="0.25">
      <c r="A609">
        <v>137024</v>
      </c>
      <c r="B609" t="s">
        <v>6261</v>
      </c>
      <c r="C609" t="s">
        <v>6262</v>
      </c>
      <c r="D609" t="s">
        <v>5556</v>
      </c>
      <c r="E609" t="s">
        <v>5554</v>
      </c>
      <c r="F609">
        <v>1927</v>
      </c>
      <c r="G609">
        <v>2005</v>
      </c>
    </row>
    <row r="610" spans="1:7" x14ac:dyDescent="0.25">
      <c r="A610">
        <v>137025</v>
      </c>
      <c r="B610" t="s">
        <v>6263</v>
      </c>
      <c r="C610" t="s">
        <v>6264</v>
      </c>
      <c r="E610" t="s">
        <v>5554</v>
      </c>
      <c r="F610">
        <v>1959</v>
      </c>
      <c r="G610">
        <v>0</v>
      </c>
    </row>
    <row r="611" spans="1:7" x14ac:dyDescent="0.25">
      <c r="A611">
        <v>137026</v>
      </c>
      <c r="B611" t="s">
        <v>6265</v>
      </c>
      <c r="C611" t="s">
        <v>5859</v>
      </c>
      <c r="D611" t="s">
        <v>5556</v>
      </c>
      <c r="E611" t="s">
        <v>5554</v>
      </c>
      <c r="F611">
        <v>1938</v>
      </c>
      <c r="G611">
        <v>0</v>
      </c>
    </row>
    <row r="612" spans="1:7" x14ac:dyDescent="0.25">
      <c r="A612">
        <v>137027</v>
      </c>
      <c r="B612" t="s">
        <v>6266</v>
      </c>
      <c r="C612" t="s">
        <v>6267</v>
      </c>
      <c r="D612" t="s">
        <v>5553</v>
      </c>
      <c r="E612" t="s">
        <v>5554</v>
      </c>
      <c r="F612">
        <v>1936</v>
      </c>
      <c r="G612">
        <v>1995</v>
      </c>
    </row>
    <row r="613" spans="1:7" x14ac:dyDescent="0.25">
      <c r="A613">
        <v>137028</v>
      </c>
      <c r="B613" t="s">
        <v>6268</v>
      </c>
      <c r="C613" t="s">
        <v>6269</v>
      </c>
      <c r="D613" t="s">
        <v>5556</v>
      </c>
      <c r="E613" t="s">
        <v>5554</v>
      </c>
      <c r="F613">
        <v>1932</v>
      </c>
      <c r="G613">
        <v>2004</v>
      </c>
    </row>
    <row r="614" spans="1:7" x14ac:dyDescent="0.25">
      <c r="A614">
        <v>137029</v>
      </c>
      <c r="B614" t="s">
        <v>6270</v>
      </c>
      <c r="C614" t="s">
        <v>6271</v>
      </c>
      <c r="E614" t="s">
        <v>5561</v>
      </c>
      <c r="F614">
        <v>1924</v>
      </c>
      <c r="G614">
        <v>2006</v>
      </c>
    </row>
    <row r="615" spans="1:7" x14ac:dyDescent="0.25">
      <c r="A615">
        <v>137030</v>
      </c>
      <c r="B615" t="s">
        <v>6272</v>
      </c>
      <c r="C615" t="s">
        <v>6273</v>
      </c>
      <c r="D615" t="s">
        <v>5556</v>
      </c>
      <c r="E615" t="s">
        <v>5554</v>
      </c>
      <c r="F615">
        <v>1922</v>
      </c>
      <c r="G615">
        <v>2006</v>
      </c>
    </row>
    <row r="616" spans="1:7" x14ac:dyDescent="0.25">
      <c r="A616">
        <v>137031</v>
      </c>
      <c r="B616" t="s">
        <v>6274</v>
      </c>
      <c r="C616" t="s">
        <v>6275</v>
      </c>
      <c r="D616" t="s">
        <v>5657</v>
      </c>
      <c r="E616" t="s">
        <v>5561</v>
      </c>
      <c r="F616">
        <v>1934</v>
      </c>
      <c r="G616">
        <v>2012</v>
      </c>
    </row>
    <row r="617" spans="1:7" x14ac:dyDescent="0.25">
      <c r="A617">
        <v>137032</v>
      </c>
      <c r="B617" t="s">
        <v>6276</v>
      </c>
      <c r="C617" t="s">
        <v>5674</v>
      </c>
      <c r="D617" t="s">
        <v>5556</v>
      </c>
      <c r="E617" t="s">
        <v>5561</v>
      </c>
      <c r="F617">
        <v>1942</v>
      </c>
      <c r="G617">
        <v>0</v>
      </c>
    </row>
    <row r="618" spans="1:7" x14ac:dyDescent="0.25">
      <c r="A618">
        <v>137033</v>
      </c>
      <c r="B618" t="s">
        <v>6277</v>
      </c>
      <c r="C618" t="s">
        <v>6278</v>
      </c>
      <c r="D618" t="s">
        <v>5556</v>
      </c>
      <c r="E618" t="s">
        <v>5554</v>
      </c>
      <c r="F618">
        <v>1922</v>
      </c>
      <c r="G618">
        <v>1989</v>
      </c>
    </row>
    <row r="619" spans="1:7" x14ac:dyDescent="0.25">
      <c r="A619">
        <v>137034</v>
      </c>
      <c r="B619" t="s">
        <v>6279</v>
      </c>
      <c r="C619" t="s">
        <v>6280</v>
      </c>
      <c r="E619" t="s">
        <v>5554</v>
      </c>
      <c r="F619">
        <v>1940</v>
      </c>
      <c r="G619">
        <v>0</v>
      </c>
    </row>
    <row r="620" spans="1:7" x14ac:dyDescent="0.25">
      <c r="A620">
        <v>137035</v>
      </c>
      <c r="B620" t="s">
        <v>6281</v>
      </c>
      <c r="C620" t="s">
        <v>5577</v>
      </c>
      <c r="D620" t="s">
        <v>5556</v>
      </c>
      <c r="E620" t="s">
        <v>5561</v>
      </c>
      <c r="F620">
        <v>1929</v>
      </c>
      <c r="G620">
        <v>0</v>
      </c>
    </row>
    <row r="621" spans="1:7" x14ac:dyDescent="0.25">
      <c r="A621">
        <v>137036</v>
      </c>
      <c r="B621" t="s">
        <v>6282</v>
      </c>
      <c r="C621" t="s">
        <v>6283</v>
      </c>
      <c r="D621" t="s">
        <v>6284</v>
      </c>
      <c r="E621" t="s">
        <v>5554</v>
      </c>
      <c r="F621">
        <v>1949</v>
      </c>
      <c r="G621">
        <v>0</v>
      </c>
    </row>
    <row r="622" spans="1:7" x14ac:dyDescent="0.25">
      <c r="A622">
        <v>137037</v>
      </c>
      <c r="B622" t="s">
        <v>6285</v>
      </c>
      <c r="C622" t="s">
        <v>6286</v>
      </c>
      <c r="D622" t="s">
        <v>5567</v>
      </c>
      <c r="E622" t="s">
        <v>5554</v>
      </c>
      <c r="F622">
        <v>1920</v>
      </c>
      <c r="G622">
        <v>2012</v>
      </c>
    </row>
    <row r="623" spans="1:7" x14ac:dyDescent="0.25">
      <c r="A623">
        <v>137038</v>
      </c>
      <c r="B623" t="s">
        <v>6287</v>
      </c>
      <c r="C623" t="s">
        <v>6288</v>
      </c>
      <c r="D623" t="s">
        <v>5553</v>
      </c>
      <c r="E623" t="s">
        <v>5554</v>
      </c>
      <c r="F623">
        <v>1926</v>
      </c>
      <c r="G623">
        <v>1996</v>
      </c>
    </row>
    <row r="624" spans="1:7" x14ac:dyDescent="0.25">
      <c r="A624">
        <v>137039</v>
      </c>
      <c r="B624" t="s">
        <v>6289</v>
      </c>
      <c r="C624" t="s">
        <v>6290</v>
      </c>
      <c r="D624" t="s">
        <v>5553</v>
      </c>
      <c r="E624" t="s">
        <v>5554</v>
      </c>
      <c r="F624">
        <v>1928</v>
      </c>
      <c r="G624">
        <v>1996</v>
      </c>
    </row>
    <row r="625" spans="1:7" x14ac:dyDescent="0.25">
      <c r="A625">
        <v>137040</v>
      </c>
      <c r="B625" t="s">
        <v>6291</v>
      </c>
      <c r="C625" t="s">
        <v>6292</v>
      </c>
      <c r="D625" t="s">
        <v>5923</v>
      </c>
      <c r="E625" t="s">
        <v>5554</v>
      </c>
      <c r="F625">
        <v>1939</v>
      </c>
      <c r="G625">
        <v>0</v>
      </c>
    </row>
    <row r="626" spans="1:7" x14ac:dyDescent="0.25">
      <c r="A626">
        <v>137041</v>
      </c>
      <c r="B626" t="s">
        <v>6293</v>
      </c>
      <c r="C626" t="s">
        <v>6294</v>
      </c>
      <c r="D626" t="s">
        <v>5731</v>
      </c>
      <c r="E626" t="s">
        <v>5554</v>
      </c>
      <c r="F626">
        <v>1942</v>
      </c>
      <c r="G626">
        <v>2018</v>
      </c>
    </row>
    <row r="627" spans="1:7" x14ac:dyDescent="0.25">
      <c r="A627">
        <v>137042</v>
      </c>
      <c r="B627" t="s">
        <v>6295</v>
      </c>
      <c r="C627" t="s">
        <v>6296</v>
      </c>
      <c r="D627" t="s">
        <v>5576</v>
      </c>
      <c r="E627" t="s">
        <v>5554</v>
      </c>
      <c r="F627">
        <v>1951</v>
      </c>
      <c r="G627">
        <v>1999</v>
      </c>
    </row>
    <row r="628" spans="1:7" x14ac:dyDescent="0.25">
      <c r="A628">
        <v>137043</v>
      </c>
      <c r="B628" t="s">
        <v>6297</v>
      </c>
      <c r="C628" t="s">
        <v>6298</v>
      </c>
      <c r="D628" t="s">
        <v>6299</v>
      </c>
      <c r="E628" t="s">
        <v>5554</v>
      </c>
      <c r="F628">
        <v>1923</v>
      </c>
      <c r="G628">
        <v>2006</v>
      </c>
    </row>
    <row r="629" spans="1:7" x14ac:dyDescent="0.25">
      <c r="A629">
        <v>137044</v>
      </c>
      <c r="B629" t="s">
        <v>6300</v>
      </c>
      <c r="C629" t="s">
        <v>6301</v>
      </c>
      <c r="D629" t="s">
        <v>6128</v>
      </c>
      <c r="E629" t="s">
        <v>5554</v>
      </c>
      <c r="F629">
        <v>1945</v>
      </c>
      <c r="G629">
        <v>0</v>
      </c>
    </row>
    <row r="630" spans="1:7" x14ac:dyDescent="0.25">
      <c r="A630">
        <v>137045</v>
      </c>
      <c r="B630" t="s">
        <v>6302</v>
      </c>
      <c r="C630" t="s">
        <v>6303</v>
      </c>
      <c r="D630" t="s">
        <v>5580</v>
      </c>
      <c r="E630" t="s">
        <v>5561</v>
      </c>
      <c r="F630">
        <v>1934</v>
      </c>
      <c r="G630">
        <v>0</v>
      </c>
    </row>
    <row r="631" spans="1:7" x14ac:dyDescent="0.25">
      <c r="A631">
        <v>137046</v>
      </c>
      <c r="B631" t="s">
        <v>6304</v>
      </c>
      <c r="C631" t="s">
        <v>6305</v>
      </c>
      <c r="D631" t="s">
        <v>6088</v>
      </c>
      <c r="E631" t="s">
        <v>5554</v>
      </c>
      <c r="F631">
        <v>1922</v>
      </c>
      <c r="G631">
        <v>2010</v>
      </c>
    </row>
    <row r="632" spans="1:7" x14ac:dyDescent="0.25">
      <c r="A632">
        <v>137047</v>
      </c>
      <c r="B632" t="s">
        <v>6306</v>
      </c>
      <c r="C632" t="s">
        <v>6307</v>
      </c>
      <c r="D632" t="s">
        <v>5919</v>
      </c>
      <c r="E632" t="s">
        <v>5561</v>
      </c>
      <c r="F632">
        <v>1956</v>
      </c>
      <c r="G632">
        <v>2005</v>
      </c>
    </row>
    <row r="633" spans="1:7" x14ac:dyDescent="0.25">
      <c r="A633">
        <v>137048</v>
      </c>
      <c r="B633" t="s">
        <v>6308</v>
      </c>
      <c r="C633" t="s">
        <v>6309</v>
      </c>
      <c r="D633" t="s">
        <v>6048</v>
      </c>
      <c r="E633" t="s">
        <v>5561</v>
      </c>
      <c r="F633">
        <v>1937</v>
      </c>
      <c r="G633">
        <v>0</v>
      </c>
    </row>
    <row r="634" spans="1:7" x14ac:dyDescent="0.25">
      <c r="A634">
        <v>137049</v>
      </c>
      <c r="B634" t="s">
        <v>6310</v>
      </c>
      <c r="C634" t="s">
        <v>6311</v>
      </c>
      <c r="D634" t="s">
        <v>5770</v>
      </c>
      <c r="E634" t="s">
        <v>5554</v>
      </c>
      <c r="F634">
        <v>1927</v>
      </c>
      <c r="G634">
        <v>2019</v>
      </c>
    </row>
    <row r="635" spans="1:7" x14ac:dyDescent="0.25">
      <c r="A635">
        <v>137050</v>
      </c>
      <c r="B635" t="s">
        <v>6312</v>
      </c>
      <c r="C635" t="s">
        <v>6313</v>
      </c>
      <c r="D635" t="s">
        <v>5671</v>
      </c>
      <c r="E635" t="s">
        <v>5554</v>
      </c>
      <c r="F635">
        <v>1952</v>
      </c>
      <c r="G635">
        <v>0</v>
      </c>
    </row>
    <row r="636" spans="1:7" x14ac:dyDescent="0.25">
      <c r="A636">
        <v>137053</v>
      </c>
      <c r="B636" t="s">
        <v>6314</v>
      </c>
      <c r="C636" t="s">
        <v>6315</v>
      </c>
      <c r="D636" t="s">
        <v>5556</v>
      </c>
      <c r="E636" t="s">
        <v>5561</v>
      </c>
      <c r="F636">
        <v>1905</v>
      </c>
      <c r="G636">
        <v>1998</v>
      </c>
    </row>
    <row r="637" spans="1:7" x14ac:dyDescent="0.25">
      <c r="A637">
        <v>137054</v>
      </c>
      <c r="B637" t="s">
        <v>6316</v>
      </c>
      <c r="C637" t="s">
        <v>5674</v>
      </c>
      <c r="D637" t="s">
        <v>5556</v>
      </c>
      <c r="E637" t="s">
        <v>5561</v>
      </c>
      <c r="F637">
        <v>1942</v>
      </c>
      <c r="G637">
        <v>0</v>
      </c>
    </row>
    <row r="638" spans="1:7" x14ac:dyDescent="0.25">
      <c r="A638">
        <v>137055</v>
      </c>
      <c r="B638" t="s">
        <v>6317</v>
      </c>
      <c r="C638" t="s">
        <v>6318</v>
      </c>
      <c r="D638" t="s">
        <v>5556</v>
      </c>
      <c r="E638" t="s">
        <v>5554</v>
      </c>
      <c r="F638">
        <v>1943</v>
      </c>
      <c r="G638">
        <v>2009</v>
      </c>
    </row>
    <row r="639" spans="1:7" x14ac:dyDescent="0.25">
      <c r="A639">
        <v>137056</v>
      </c>
      <c r="B639" t="s">
        <v>6319</v>
      </c>
      <c r="C639" t="s">
        <v>6320</v>
      </c>
      <c r="D639" t="s">
        <v>5576</v>
      </c>
      <c r="E639" t="s">
        <v>5554</v>
      </c>
      <c r="F639">
        <v>1953</v>
      </c>
      <c r="G639">
        <v>0</v>
      </c>
    </row>
    <row r="640" spans="1:7" x14ac:dyDescent="0.25">
      <c r="A640">
        <v>137057</v>
      </c>
      <c r="B640" t="s">
        <v>6321</v>
      </c>
      <c r="C640" t="s">
        <v>6322</v>
      </c>
      <c r="D640" t="s">
        <v>5731</v>
      </c>
      <c r="E640" t="s">
        <v>5561</v>
      </c>
      <c r="F640">
        <v>1940</v>
      </c>
      <c r="G640">
        <v>2005</v>
      </c>
    </row>
    <row r="641" spans="1:7" x14ac:dyDescent="0.25">
      <c r="A641">
        <v>137058</v>
      </c>
      <c r="B641" t="s">
        <v>6323</v>
      </c>
      <c r="C641" t="s">
        <v>6324</v>
      </c>
      <c r="D641" t="s">
        <v>5731</v>
      </c>
      <c r="E641" t="s">
        <v>5554</v>
      </c>
      <c r="F641">
        <v>1944</v>
      </c>
      <c r="G641">
        <v>0</v>
      </c>
    </row>
    <row r="642" spans="1:7" x14ac:dyDescent="0.25">
      <c r="A642">
        <v>137059</v>
      </c>
      <c r="B642" t="s">
        <v>6325</v>
      </c>
      <c r="C642" t="s">
        <v>6326</v>
      </c>
      <c r="D642" t="s">
        <v>5731</v>
      </c>
      <c r="E642" t="s">
        <v>5554</v>
      </c>
      <c r="F642">
        <v>1924</v>
      </c>
      <c r="G642">
        <v>1997</v>
      </c>
    </row>
    <row r="643" spans="1:7" x14ac:dyDescent="0.25">
      <c r="A643">
        <v>137060</v>
      </c>
      <c r="B643" t="s">
        <v>6327</v>
      </c>
      <c r="C643" t="s">
        <v>6328</v>
      </c>
      <c r="D643" t="s">
        <v>5576</v>
      </c>
      <c r="E643" t="s">
        <v>5554</v>
      </c>
      <c r="F643">
        <v>1949</v>
      </c>
      <c r="G643">
        <v>1997</v>
      </c>
    </row>
    <row r="644" spans="1:7" x14ac:dyDescent="0.25">
      <c r="A644">
        <v>137061</v>
      </c>
      <c r="B644" t="s">
        <v>6329</v>
      </c>
      <c r="C644" t="s">
        <v>6330</v>
      </c>
      <c r="D644" t="s">
        <v>5671</v>
      </c>
      <c r="E644" t="s">
        <v>5554</v>
      </c>
      <c r="F644">
        <v>1940</v>
      </c>
      <c r="G644">
        <v>0</v>
      </c>
    </row>
    <row r="645" spans="1:7" x14ac:dyDescent="0.25">
      <c r="A645">
        <v>137062</v>
      </c>
      <c r="B645" t="s">
        <v>6331</v>
      </c>
      <c r="C645" t="s">
        <v>6332</v>
      </c>
      <c r="D645" t="s">
        <v>5556</v>
      </c>
      <c r="E645" t="s">
        <v>5554</v>
      </c>
      <c r="F645">
        <v>1932</v>
      </c>
      <c r="G645">
        <v>2021</v>
      </c>
    </row>
    <row r="646" spans="1:7" x14ac:dyDescent="0.25">
      <c r="A646">
        <v>137063</v>
      </c>
      <c r="B646" t="s">
        <v>6333</v>
      </c>
      <c r="C646" t="s">
        <v>5819</v>
      </c>
      <c r="D646" t="s">
        <v>5556</v>
      </c>
      <c r="E646" t="s">
        <v>5554</v>
      </c>
      <c r="F646">
        <v>1939</v>
      </c>
      <c r="G646">
        <v>0</v>
      </c>
    </row>
    <row r="647" spans="1:7" x14ac:dyDescent="0.25">
      <c r="A647">
        <v>137064</v>
      </c>
      <c r="B647" t="s">
        <v>6334</v>
      </c>
      <c r="C647" t="s">
        <v>5988</v>
      </c>
      <c r="D647" t="s">
        <v>5556</v>
      </c>
      <c r="E647" t="s">
        <v>5554</v>
      </c>
      <c r="F647">
        <v>1945</v>
      </c>
      <c r="G647">
        <v>0</v>
      </c>
    </row>
    <row r="648" spans="1:7" x14ac:dyDescent="0.25">
      <c r="A648">
        <v>137118</v>
      </c>
      <c r="B648" t="s">
        <v>5466</v>
      </c>
      <c r="C648" t="s">
        <v>6335</v>
      </c>
      <c r="D648" t="s">
        <v>5762</v>
      </c>
      <c r="E648" t="s">
        <v>5561</v>
      </c>
      <c r="F648">
        <v>1943</v>
      </c>
      <c r="G648">
        <v>2019</v>
      </c>
    </row>
    <row r="649" spans="1:7" x14ac:dyDescent="0.25">
      <c r="A649">
        <v>137138</v>
      </c>
      <c r="B649" t="s">
        <v>6336</v>
      </c>
      <c r="C649" t="s">
        <v>6337</v>
      </c>
      <c r="D649" t="s">
        <v>5721</v>
      </c>
      <c r="E649" t="s">
        <v>5554</v>
      </c>
      <c r="F649">
        <v>1996</v>
      </c>
      <c r="G649">
        <v>0</v>
      </c>
    </row>
    <row r="650" spans="1:7" x14ac:dyDescent="0.25">
      <c r="A650">
        <v>137268</v>
      </c>
      <c r="B650" t="s">
        <v>5468</v>
      </c>
      <c r="C650" t="s">
        <v>6338</v>
      </c>
      <c r="D650" t="s">
        <v>6339</v>
      </c>
      <c r="E650" t="s">
        <v>5554</v>
      </c>
      <c r="F650">
        <v>1971</v>
      </c>
      <c r="G650">
        <v>0</v>
      </c>
    </row>
    <row r="651" spans="1:7" x14ac:dyDescent="0.25">
      <c r="A651">
        <v>137269</v>
      </c>
      <c r="B651" t="s">
        <v>6340</v>
      </c>
      <c r="C651" t="s">
        <v>6341</v>
      </c>
      <c r="D651" t="s">
        <v>6015</v>
      </c>
      <c r="E651" t="s">
        <v>5554</v>
      </c>
      <c r="F651">
        <v>1979</v>
      </c>
      <c r="G651">
        <v>0</v>
      </c>
    </row>
    <row r="652" spans="1:7" x14ac:dyDescent="0.25">
      <c r="A652">
        <v>137274</v>
      </c>
      <c r="B652" t="s">
        <v>6342</v>
      </c>
      <c r="C652" t="s">
        <v>6343</v>
      </c>
      <c r="D652" t="s">
        <v>6015</v>
      </c>
      <c r="F652">
        <v>2014</v>
      </c>
      <c r="G652">
        <v>0</v>
      </c>
    </row>
    <row r="653" spans="1:7" x14ac:dyDescent="0.25">
      <c r="A653">
        <v>137275</v>
      </c>
      <c r="B653" t="s">
        <v>6344</v>
      </c>
      <c r="C653" t="s">
        <v>6345</v>
      </c>
      <c r="D653" t="s">
        <v>6015</v>
      </c>
      <c r="E653" t="s">
        <v>5561</v>
      </c>
      <c r="F653">
        <v>1979</v>
      </c>
      <c r="G653">
        <v>0</v>
      </c>
    </row>
    <row r="654" spans="1:7" x14ac:dyDescent="0.25">
      <c r="A654">
        <v>137310</v>
      </c>
      <c r="B654" t="s">
        <v>6346</v>
      </c>
      <c r="C654" t="s">
        <v>6347</v>
      </c>
      <c r="D654" t="s">
        <v>6348</v>
      </c>
      <c r="E654" t="s">
        <v>5561</v>
      </c>
      <c r="F654">
        <v>1968</v>
      </c>
      <c r="G654">
        <v>0</v>
      </c>
    </row>
    <row r="655" spans="1:7" x14ac:dyDescent="0.25">
      <c r="A655">
        <v>137338</v>
      </c>
      <c r="B655" t="s">
        <v>5527</v>
      </c>
      <c r="C655" t="s">
        <v>6349</v>
      </c>
      <c r="D655" t="s">
        <v>5556</v>
      </c>
      <c r="E655" t="s">
        <v>5554</v>
      </c>
      <c r="F655">
        <v>1923</v>
      </c>
      <c r="G655">
        <v>2013</v>
      </c>
    </row>
    <row r="656" spans="1:7" x14ac:dyDescent="0.25">
      <c r="A656">
        <v>137387</v>
      </c>
      <c r="B656" t="s">
        <v>5518</v>
      </c>
      <c r="C656" t="s">
        <v>6350</v>
      </c>
      <c r="D656" t="s">
        <v>4195</v>
      </c>
      <c r="E656" t="s">
        <v>5554</v>
      </c>
      <c r="F656">
        <v>1966</v>
      </c>
      <c r="G656">
        <v>0</v>
      </c>
    </row>
    <row r="657" spans="1:7" x14ac:dyDescent="0.25">
      <c r="A657">
        <v>137574</v>
      </c>
      <c r="B657" t="s">
        <v>5535</v>
      </c>
      <c r="C657" t="s">
        <v>6351</v>
      </c>
      <c r="D657" t="s">
        <v>5556</v>
      </c>
      <c r="E657" t="s">
        <v>5561</v>
      </c>
      <c r="F657">
        <v>1940</v>
      </c>
      <c r="G657">
        <v>2015</v>
      </c>
    </row>
    <row r="658" spans="1:7" x14ac:dyDescent="0.25">
      <c r="A658">
        <v>137599</v>
      </c>
      <c r="B658" t="s">
        <v>5541</v>
      </c>
      <c r="C658" t="s">
        <v>5573</v>
      </c>
      <c r="D658" t="s">
        <v>5556</v>
      </c>
      <c r="E658" t="s">
        <v>5561</v>
      </c>
      <c r="F658">
        <v>1946</v>
      </c>
      <c r="G658">
        <v>0</v>
      </c>
    </row>
    <row r="659" spans="1:7" x14ac:dyDescent="0.25">
      <c r="A659">
        <v>137798</v>
      </c>
      <c r="B659" t="s">
        <v>6352</v>
      </c>
      <c r="F659">
        <v>0</v>
      </c>
      <c r="G659">
        <v>0</v>
      </c>
    </row>
    <row r="660" spans="1:7" x14ac:dyDescent="0.25">
      <c r="A660">
        <v>137799</v>
      </c>
      <c r="B660" t="s">
        <v>6353</v>
      </c>
      <c r="C660" t="s">
        <v>6354</v>
      </c>
      <c r="D660" t="s">
        <v>5721</v>
      </c>
      <c r="F660">
        <v>1985</v>
      </c>
      <c r="G660">
        <v>0</v>
      </c>
    </row>
    <row r="661" spans="1:7" x14ac:dyDescent="0.25">
      <c r="A661">
        <v>137800</v>
      </c>
      <c r="B661" t="s">
        <v>6355</v>
      </c>
      <c r="C661" t="s">
        <v>6348</v>
      </c>
      <c r="D661" t="s">
        <v>6348</v>
      </c>
      <c r="E661" t="s">
        <v>5554</v>
      </c>
      <c r="F661">
        <v>0</v>
      </c>
      <c r="G661">
        <v>0</v>
      </c>
    </row>
    <row r="662" spans="1:7" x14ac:dyDescent="0.25">
      <c r="A662">
        <v>138323</v>
      </c>
      <c r="B662" t="s">
        <v>6356</v>
      </c>
      <c r="C662" t="s">
        <v>6357</v>
      </c>
      <c r="D662" t="s">
        <v>6348</v>
      </c>
      <c r="F662">
        <v>2005</v>
      </c>
      <c r="G6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1A9C-7841-46EF-BCE4-6CA95E370138}">
  <dimension ref="A1:N1143"/>
  <sheetViews>
    <sheetView tabSelected="1" workbookViewId="0">
      <selection activeCell="N941" sqref="N941"/>
    </sheetView>
  </sheetViews>
  <sheetFormatPr defaultRowHeight="15" x14ac:dyDescent="0.25"/>
  <cols>
    <col min="1" max="1" width="9.140625" customWidth="1"/>
    <col min="2" max="2" width="39.42578125" customWidth="1"/>
    <col min="3" max="3" width="27.140625" customWidth="1"/>
    <col min="4" max="4" width="92.5703125" customWidth="1"/>
    <col min="5" max="5" width="64.28515625" customWidth="1"/>
    <col min="6" max="6" width="17.28515625" customWidth="1"/>
    <col min="7" max="8" width="17.140625" customWidth="1"/>
    <col min="9" max="9" width="24.42578125" bestFit="1" customWidth="1"/>
    <col min="10" max="10" width="22.42578125" bestFit="1" customWidth="1"/>
    <col min="11" max="11" width="12.85546875" bestFit="1" customWidth="1"/>
    <col min="12" max="13" width="11.42578125" customWidth="1"/>
    <col min="14" max="14" width="14.28515625" customWidth="1"/>
  </cols>
  <sheetData>
    <row r="1" spans="1:14" x14ac:dyDescent="0.25">
      <c r="A1" s="4" t="s">
        <v>13</v>
      </c>
      <c r="B1" s="4" t="s">
        <v>0</v>
      </c>
      <c r="C1" s="4" t="s">
        <v>1</v>
      </c>
      <c r="D1" s="4" t="s">
        <v>6358</v>
      </c>
      <c r="E1" s="4" t="s">
        <v>7</v>
      </c>
      <c r="F1" s="4" t="s">
        <v>6359</v>
      </c>
      <c r="G1" s="4" t="s">
        <v>8</v>
      </c>
      <c r="H1" s="4" t="s">
        <v>9</v>
      </c>
      <c r="I1" s="4" t="s">
        <v>10</v>
      </c>
      <c r="J1" s="4" t="s">
        <v>11</v>
      </c>
      <c r="K1" s="4" t="s">
        <v>12</v>
      </c>
      <c r="L1" s="4" t="s">
        <v>14</v>
      </c>
      <c r="M1" s="4" t="s">
        <v>15</v>
      </c>
      <c r="N1" s="4" t="s">
        <v>16</v>
      </c>
    </row>
    <row r="2" spans="1:14" x14ac:dyDescent="0.25">
      <c r="A2">
        <v>257</v>
      </c>
      <c r="B2" t="s">
        <v>33</v>
      </c>
      <c r="C2">
        <v>2864</v>
      </c>
      <c r="D2" t="str" cm="1">
        <f t="array" ref="D2">_xlfn.TEXTJOIN(",",TRUE,_xlfn.XLOOKUP(_xlfn.TEXTSPLIT(C2,",")*1,_xlfn._TRO_TRAILING(Artists!A:A),_xlfn._TRO_TRAILING(Artists!B:B)))</f>
        <v>David Jacob</v>
      </c>
      <c r="E2">
        <v>1970</v>
      </c>
      <c r="F2" cm="1">
        <f t="array" ref="F2">_xlfn.REGEXEXTRACT(E2,"\d{4}")*1</f>
        <v>1970</v>
      </c>
      <c r="G2" t="s">
        <v>35</v>
      </c>
      <c r="H2" t="s">
        <v>36</v>
      </c>
      <c r="I2" t="s">
        <v>18</v>
      </c>
      <c r="J2" t="s">
        <v>19</v>
      </c>
      <c r="K2" s="1">
        <v>26792</v>
      </c>
      <c r="L2" t="s">
        <v>37</v>
      </c>
      <c r="M2" t="s">
        <v>38</v>
      </c>
      <c r="N2" t="s">
        <v>6360</v>
      </c>
    </row>
    <row r="3" spans="1:14" x14ac:dyDescent="0.25">
      <c r="A3">
        <v>775</v>
      </c>
      <c r="B3" t="s">
        <v>62</v>
      </c>
      <c r="C3">
        <v>7166</v>
      </c>
      <c r="D3" t="str" cm="1">
        <f t="array" ref="D3">_xlfn.TEXTJOIN(",",TRUE,_xlfn.XLOOKUP(_xlfn.TEXTSPLIT(C3,",")*1,_xlfn._TRO_TRAILING(Artists!A:A),_xlfn._TRO_TRAILING(Artists!B:B)))</f>
        <v>Ludwig Mies van der Rohe</v>
      </c>
      <c r="E3">
        <v>1923</v>
      </c>
      <c r="F3" cm="1">
        <f t="array" ref="F3">_xlfn.REGEXEXTRACT(E3,"\d{4}")*1</f>
        <v>1923</v>
      </c>
      <c r="G3" t="s">
        <v>63</v>
      </c>
      <c r="H3" t="s">
        <v>64</v>
      </c>
      <c r="I3" t="s">
        <v>22</v>
      </c>
      <c r="J3" t="s">
        <v>19</v>
      </c>
      <c r="K3" s="1">
        <v>24904</v>
      </c>
      <c r="L3" t="s">
        <v>65</v>
      </c>
      <c r="M3" t="s">
        <v>66</v>
      </c>
      <c r="N3" t="s">
        <v>6361</v>
      </c>
    </row>
    <row r="4" spans="1:14" x14ac:dyDescent="0.25">
      <c r="A4">
        <v>941</v>
      </c>
      <c r="B4" t="s">
        <v>73</v>
      </c>
      <c r="C4">
        <v>7987</v>
      </c>
      <c r="D4" t="str" cm="1">
        <f t="array" ref="D4">_xlfn.TEXTJOIN(",",TRUE,_xlfn.XLOOKUP(_xlfn.TEXTSPLIT(C4,",")*1,_xlfn._TRO_TRAILING(Artists!A:A),_xlfn._TRO_TRAILING(Artists!B:B)))</f>
        <v>Michael Webb</v>
      </c>
      <c r="E4" t="s">
        <v>74</v>
      </c>
      <c r="F4" cm="1">
        <f t="array" ref="F4">_xlfn.REGEXEXTRACT(E4,"\d{4}")*1</f>
        <v>1957</v>
      </c>
      <c r="G4" t="s">
        <v>72</v>
      </c>
      <c r="H4" t="s">
        <v>75</v>
      </c>
      <c r="I4" t="s">
        <v>18</v>
      </c>
      <c r="J4" t="s">
        <v>19</v>
      </c>
      <c r="K4" s="1">
        <v>36111</v>
      </c>
      <c r="L4" t="s">
        <v>76</v>
      </c>
      <c r="M4" t="s">
        <v>77</v>
      </c>
      <c r="N4" t="s">
        <v>6360</v>
      </c>
    </row>
    <row r="5" spans="1:14" x14ac:dyDescent="0.25">
      <c r="A5">
        <v>1007</v>
      </c>
      <c r="B5" t="s">
        <v>84</v>
      </c>
      <c r="C5">
        <v>7166</v>
      </c>
      <c r="D5" t="str" cm="1">
        <f t="array" ref="D5">_xlfn.TEXTJOIN(",",TRUE,_xlfn.XLOOKUP(_xlfn.TEXTSPLIT(C5,",")*1,_xlfn._TRO_TRAILING(Artists!A:A),_xlfn._TRO_TRAILING(Artists!B:B)))</f>
        <v>Ludwig Mies van der Rohe</v>
      </c>
      <c r="E5" t="s">
        <v>85</v>
      </c>
      <c r="F5" cm="1">
        <f t="array" ref="F5">_xlfn.REGEXEXTRACT(E5,"\d{4}")*1</f>
        <v>1928</v>
      </c>
      <c r="G5" t="s">
        <v>86</v>
      </c>
      <c r="H5" t="s">
        <v>87</v>
      </c>
      <c r="I5" t="s">
        <v>18</v>
      </c>
      <c r="J5" t="s">
        <v>19</v>
      </c>
      <c r="K5" s="1">
        <v>31692</v>
      </c>
      <c r="L5" t="s">
        <v>88</v>
      </c>
      <c r="M5" t="s">
        <v>89</v>
      </c>
      <c r="N5" t="s">
        <v>6361</v>
      </c>
    </row>
    <row r="6" spans="1:14" x14ac:dyDescent="0.25">
      <c r="A6">
        <v>1512</v>
      </c>
      <c r="B6" t="s">
        <v>120</v>
      </c>
      <c r="C6">
        <v>7440</v>
      </c>
      <c r="D6" t="str" cm="1">
        <f t="array" ref="D6">_xlfn.TEXTJOIN(",",TRUE,_xlfn.XLOOKUP(_xlfn.TEXTSPLIT(C6,",")*1,_xlfn._TRO_TRAILING(Artists!A:A),_xlfn._TRO_TRAILING(Artists!B:B)))</f>
        <v>Kazuo Kawasaki</v>
      </c>
      <c r="E6">
        <v>1989</v>
      </c>
      <c r="F6" cm="1">
        <f t="array" ref="F6">_xlfn.REGEXEXTRACT(E6,"\d{4}")*1</f>
        <v>1989</v>
      </c>
      <c r="G6" t="s">
        <v>122</v>
      </c>
      <c r="H6" t="s">
        <v>123</v>
      </c>
      <c r="I6" t="s">
        <v>95</v>
      </c>
      <c r="J6" t="s">
        <v>19</v>
      </c>
      <c r="K6" s="1">
        <v>34716</v>
      </c>
      <c r="L6" t="s">
        <v>124</v>
      </c>
      <c r="M6" t="s">
        <v>125</v>
      </c>
      <c r="N6" t="s">
        <v>6360</v>
      </c>
    </row>
    <row r="7" spans="1:14" x14ac:dyDescent="0.25">
      <c r="A7">
        <v>1621</v>
      </c>
      <c r="B7" t="s">
        <v>131</v>
      </c>
      <c r="C7" t="s">
        <v>132</v>
      </c>
      <c r="D7" t="str" cm="1">
        <f t="array" ref="D7">_xlfn.TEXTJOIN(",",TRUE,_xlfn.XLOOKUP(_xlfn.TEXTSPLIT(C7,",")*1,_xlfn._TRO_TRAILING(Artists!A:A),_xlfn._TRO_TRAILING(Artists!B:B)))</f>
        <v>Haus-Rucker-Co,Günter Zamp Kelp,Laurids Ortner,Klaus Pinter,Manfred Ortner</v>
      </c>
      <c r="E7">
        <v>1968</v>
      </c>
      <c r="F7" cm="1">
        <f t="array" ref="F7">_xlfn.REGEXEXTRACT(E7,"\d{4}")*1</f>
        <v>1968</v>
      </c>
      <c r="M7" t="s">
        <v>133</v>
      </c>
      <c r="N7" t="s">
        <v>6360</v>
      </c>
    </row>
    <row r="8" spans="1:14" x14ac:dyDescent="0.25">
      <c r="A8">
        <v>1825</v>
      </c>
      <c r="B8" t="s">
        <v>139</v>
      </c>
      <c r="C8">
        <v>8418</v>
      </c>
      <c r="D8" t="str" cm="1">
        <f t="array" ref="D8">_xlfn.TEXTJOIN(",",TRUE,_xlfn.XLOOKUP(_xlfn.TEXTSPLIT(C8,",")*1,_xlfn._TRO_TRAILING(Artists!A:A),_xlfn._TRO_TRAILING(Artists!B:B)))</f>
        <v>Philippe Starck</v>
      </c>
      <c r="E8">
        <v>1988</v>
      </c>
      <c r="F8" cm="1">
        <f t="array" ref="F8">_xlfn.REGEXEXTRACT(E8,"\d{4}")*1</f>
        <v>1988</v>
      </c>
      <c r="G8" t="s">
        <v>140</v>
      </c>
      <c r="H8" t="s">
        <v>141</v>
      </c>
      <c r="I8" t="s">
        <v>95</v>
      </c>
      <c r="J8" t="s">
        <v>19</v>
      </c>
      <c r="K8" s="1">
        <v>36544</v>
      </c>
      <c r="L8" t="s">
        <v>142</v>
      </c>
      <c r="M8" t="s">
        <v>143</v>
      </c>
      <c r="N8" t="s">
        <v>6362</v>
      </c>
    </row>
    <row r="9" spans="1:14" x14ac:dyDescent="0.25">
      <c r="A9">
        <v>1911</v>
      </c>
      <c r="B9" t="s">
        <v>148</v>
      </c>
      <c r="C9">
        <v>6155</v>
      </c>
      <c r="D9" t="str" cm="1">
        <f t="array" ref="D9">_xlfn.TEXTJOIN(",",TRUE,_xlfn.XLOOKUP(_xlfn.TEXTSPLIT(C9,",")*1,_xlfn._TRO_TRAILING(Artists!A:A),_xlfn._TRO_TRAILING(Artists!B:B)))</f>
        <v>Massimo Vignelli</v>
      </c>
      <c r="E9">
        <v>1970</v>
      </c>
      <c r="F9" cm="1">
        <f t="array" ref="F9">_xlfn.REGEXEXTRACT(E9,"\d{4}")*1</f>
        <v>1970</v>
      </c>
      <c r="G9" t="s">
        <v>79</v>
      </c>
      <c r="H9" t="s">
        <v>149</v>
      </c>
      <c r="I9" t="s">
        <v>95</v>
      </c>
      <c r="J9" t="s">
        <v>19</v>
      </c>
      <c r="K9" s="1">
        <v>26400</v>
      </c>
      <c r="L9" t="s">
        <v>150</v>
      </c>
      <c r="M9" t="s">
        <v>151</v>
      </c>
      <c r="N9" t="s">
        <v>6362</v>
      </c>
    </row>
    <row r="10" spans="1:14" x14ac:dyDescent="0.25">
      <c r="A10">
        <v>1964</v>
      </c>
      <c r="B10" t="s">
        <v>154</v>
      </c>
      <c r="C10" t="s">
        <v>81</v>
      </c>
      <c r="D10" t="str" cm="1">
        <f t="array" ref="D10">_xlfn.TEXTJOIN(",",TRUE,_xlfn.XLOOKUP(_xlfn.TEXTSPLIT(C10,",")*1,_xlfn._TRO_TRAILING(Artists!A:A),_xlfn._TRO_TRAILING(Artists!B:B)))</f>
        <v>Charles Eames,Ray Eames</v>
      </c>
      <c r="E10" t="s">
        <v>153</v>
      </c>
      <c r="F10" cm="1">
        <f t="array" ref="F10">_xlfn.REGEXEXTRACT(E10,"\d{4}")*1</f>
        <v>1944</v>
      </c>
      <c r="G10" t="s">
        <v>155</v>
      </c>
      <c r="H10" t="s">
        <v>156</v>
      </c>
      <c r="I10" t="s">
        <v>95</v>
      </c>
      <c r="J10" t="s">
        <v>19</v>
      </c>
      <c r="K10" s="1">
        <v>16929</v>
      </c>
      <c r="L10" t="s">
        <v>157</v>
      </c>
      <c r="M10" t="s">
        <v>158</v>
      </c>
      <c r="N10" t="s">
        <v>6362</v>
      </c>
    </row>
    <row r="11" spans="1:14" x14ac:dyDescent="0.25">
      <c r="A11">
        <v>2067</v>
      </c>
      <c r="B11" t="s">
        <v>168</v>
      </c>
      <c r="C11">
        <v>5814</v>
      </c>
      <c r="D11" t="str" cm="1">
        <f t="array" ref="D11">_xlfn.TEXTJOIN(",",TRUE,_xlfn.XLOOKUP(_xlfn.TEXTSPLIT(C11,",")*1,_xlfn._TRO_TRAILING(Artists!A:A),_xlfn._TRO_TRAILING(Artists!B:B)))</f>
        <v>Lenore Tawney</v>
      </c>
      <c r="E11">
        <v>1968</v>
      </c>
      <c r="F11" cm="1">
        <f t="array" ref="F11">_xlfn.REGEXEXTRACT(E11,"\d{4}")*1</f>
        <v>1968</v>
      </c>
      <c r="G11" t="s">
        <v>116</v>
      </c>
      <c r="H11" t="s">
        <v>170</v>
      </c>
      <c r="I11" t="s">
        <v>95</v>
      </c>
      <c r="J11" t="s">
        <v>19</v>
      </c>
      <c r="L11" t="s">
        <v>171</v>
      </c>
      <c r="M11" t="s">
        <v>172</v>
      </c>
      <c r="N11" t="s">
        <v>6363</v>
      </c>
    </row>
    <row r="12" spans="1:14" x14ac:dyDescent="0.25">
      <c r="A12">
        <v>2133</v>
      </c>
      <c r="B12" t="s">
        <v>179</v>
      </c>
      <c r="C12" t="s">
        <v>81</v>
      </c>
      <c r="D12" t="str" cm="1">
        <f t="array" ref="D12">_xlfn.TEXTJOIN(",",TRUE,_xlfn.XLOOKUP(_xlfn.TEXTSPLIT(C12,",")*1,_xlfn._TRO_TRAILING(Artists!A:A),_xlfn._TRO_TRAILING(Artists!B:B)))</f>
        <v>Charles Eames,Ray Eames</v>
      </c>
      <c r="E12">
        <v>1948</v>
      </c>
      <c r="F12" cm="1">
        <f t="array" ref="F12">_xlfn.REGEXEXTRACT(E12,"\d{4}")*1</f>
        <v>1948</v>
      </c>
      <c r="G12" t="s">
        <v>180</v>
      </c>
      <c r="H12" t="s">
        <v>181</v>
      </c>
      <c r="I12" t="s">
        <v>95</v>
      </c>
      <c r="J12" t="s">
        <v>19</v>
      </c>
      <c r="K12" s="1">
        <v>26792</v>
      </c>
      <c r="L12" t="s">
        <v>182</v>
      </c>
      <c r="M12" t="s">
        <v>183</v>
      </c>
      <c r="N12" t="s">
        <v>6362</v>
      </c>
    </row>
    <row r="13" spans="1:14" x14ac:dyDescent="0.25">
      <c r="A13">
        <v>2200</v>
      </c>
      <c r="B13" t="s">
        <v>113</v>
      </c>
      <c r="C13">
        <v>1968</v>
      </c>
      <c r="D13" t="str" cm="1">
        <f t="array" ref="D13">_xlfn.TEXTJOIN(",",TRUE,_xlfn.XLOOKUP(_xlfn.TEXTSPLIT(C13,",")*1,_xlfn._TRO_TRAILING(Artists!A:A),_xlfn._TRO_TRAILING(Artists!B:B)))</f>
        <v>Kaj Franck</v>
      </c>
      <c r="E13">
        <v>1954</v>
      </c>
      <c r="F13" cm="1">
        <f t="array" ref="F13">_xlfn.REGEXEXTRACT(E13,"\d{4}")*1</f>
        <v>1954</v>
      </c>
      <c r="G13" t="s">
        <v>190</v>
      </c>
      <c r="H13" t="s">
        <v>191</v>
      </c>
      <c r="I13" t="s">
        <v>95</v>
      </c>
      <c r="J13" t="s">
        <v>19</v>
      </c>
      <c r="K13" s="1">
        <v>33618</v>
      </c>
      <c r="L13" t="s">
        <v>192</v>
      </c>
      <c r="M13" t="s">
        <v>193</v>
      </c>
      <c r="N13" t="s">
        <v>6362</v>
      </c>
    </row>
    <row r="14" spans="1:14" x14ac:dyDescent="0.25">
      <c r="A14">
        <v>2205</v>
      </c>
      <c r="B14" t="s">
        <v>110</v>
      </c>
      <c r="C14">
        <v>1968</v>
      </c>
      <c r="D14" t="str" cm="1">
        <f t="array" ref="D14">_xlfn.TEXTJOIN(",",TRUE,_xlfn.XLOOKUP(_xlfn.TEXTSPLIT(C14,",")*1,_xlfn._TRO_TRAILING(Artists!A:A),_xlfn._TRO_TRAILING(Artists!B:B)))</f>
        <v>Kaj Franck</v>
      </c>
      <c r="E14">
        <v>1954</v>
      </c>
      <c r="F14" cm="1">
        <f t="array" ref="F14">_xlfn.REGEXEXTRACT(E14,"\d{4}")*1</f>
        <v>1954</v>
      </c>
      <c r="G14" t="s">
        <v>190</v>
      </c>
      <c r="H14" t="s">
        <v>195</v>
      </c>
      <c r="I14" t="s">
        <v>95</v>
      </c>
      <c r="J14" t="s">
        <v>19</v>
      </c>
      <c r="K14" s="1">
        <v>33618</v>
      </c>
      <c r="L14" t="s">
        <v>196</v>
      </c>
      <c r="M14" t="s">
        <v>197</v>
      </c>
      <c r="N14" t="s">
        <v>6362</v>
      </c>
    </row>
    <row r="15" spans="1:14" x14ac:dyDescent="0.25">
      <c r="A15">
        <v>2234</v>
      </c>
      <c r="B15" t="s">
        <v>202</v>
      </c>
      <c r="C15">
        <v>6518</v>
      </c>
      <c r="D15" t="str" cm="1">
        <f t="array" ref="D15">_xlfn.TEXTJOIN(",",TRUE,_xlfn.XLOOKUP(_xlfn.TEXTSPLIT(C15,",")*1,_xlfn._TRO_TRAILING(Artists!A:A),_xlfn._TRO_TRAILING(Artists!B:B)))</f>
        <v>Arthur Young</v>
      </c>
      <c r="E15">
        <v>1945</v>
      </c>
      <c r="F15" cm="1">
        <f t="array" ref="F15">_xlfn.REGEXEXTRACT(E15,"\d{4}")*1</f>
        <v>1945</v>
      </c>
      <c r="G15" t="s">
        <v>204</v>
      </c>
      <c r="H15" t="s">
        <v>205</v>
      </c>
      <c r="I15" t="s">
        <v>95</v>
      </c>
      <c r="J15" t="s">
        <v>19</v>
      </c>
      <c r="K15" s="1">
        <v>30985</v>
      </c>
      <c r="L15" t="s">
        <v>206</v>
      </c>
      <c r="M15" t="s">
        <v>207</v>
      </c>
      <c r="N15" t="s">
        <v>6364</v>
      </c>
    </row>
    <row r="16" spans="1:14" x14ac:dyDescent="0.25">
      <c r="A16">
        <v>2267</v>
      </c>
      <c r="B16" t="s">
        <v>212</v>
      </c>
      <c r="C16">
        <v>5814</v>
      </c>
      <c r="D16" t="str" cm="1">
        <f t="array" ref="D16">_xlfn.TEXTJOIN(",",TRUE,_xlfn.XLOOKUP(_xlfn.TEXTSPLIT(C16,",")*1,_xlfn._TRO_TRAILING(Artists!A:A),_xlfn._TRO_TRAILING(Artists!B:B)))</f>
        <v>Lenore Tawney</v>
      </c>
      <c r="E16">
        <v>1962</v>
      </c>
      <c r="F16" cm="1">
        <f t="array" ref="F16">_xlfn.REGEXEXTRACT(E16,"\d{4}")*1</f>
        <v>1962</v>
      </c>
      <c r="G16" t="s">
        <v>213</v>
      </c>
      <c r="H16" t="s">
        <v>214</v>
      </c>
      <c r="I16" t="s">
        <v>95</v>
      </c>
      <c r="J16" t="s">
        <v>19</v>
      </c>
      <c r="K16" s="1">
        <v>23055</v>
      </c>
      <c r="L16" t="s">
        <v>215</v>
      </c>
      <c r="M16" t="s">
        <v>216</v>
      </c>
      <c r="N16" t="s">
        <v>6365</v>
      </c>
    </row>
    <row r="17" spans="1:14" x14ac:dyDescent="0.25">
      <c r="A17">
        <v>2294</v>
      </c>
      <c r="B17" t="s">
        <v>218</v>
      </c>
      <c r="C17" t="s">
        <v>81</v>
      </c>
      <c r="D17" t="str" cm="1">
        <f t="array" ref="D17">_xlfn.TEXTJOIN(",",TRUE,_xlfn.XLOOKUP(_xlfn.TEXTSPLIT(C17,",")*1,_xlfn._TRO_TRAILING(Artists!A:A),_xlfn._TRO_TRAILING(Artists!B:B)))</f>
        <v>Charles Eames,Ray Eames</v>
      </c>
      <c r="E17">
        <v>1969</v>
      </c>
      <c r="F17" cm="1">
        <f t="array" ref="F17">_xlfn.REGEXEXTRACT(E17,"\d{4}")*1</f>
        <v>1969</v>
      </c>
      <c r="G17" t="s">
        <v>219</v>
      </c>
      <c r="H17" t="s">
        <v>220</v>
      </c>
      <c r="I17" t="s">
        <v>95</v>
      </c>
      <c r="J17" t="s">
        <v>19</v>
      </c>
      <c r="K17" s="1">
        <v>26792</v>
      </c>
      <c r="L17" t="s">
        <v>221</v>
      </c>
      <c r="M17" t="s">
        <v>222</v>
      </c>
      <c r="N17" t="s">
        <v>6362</v>
      </c>
    </row>
    <row r="18" spans="1:14" x14ac:dyDescent="0.25">
      <c r="A18">
        <v>2334</v>
      </c>
      <c r="B18" t="s">
        <v>228</v>
      </c>
      <c r="C18" t="s">
        <v>229</v>
      </c>
      <c r="D18" t="str" cm="1">
        <f t="array" ref="D18">_xlfn.TEXTJOIN(",",TRUE,_xlfn.XLOOKUP(_xlfn.TEXTSPLIT(C18,",")*1,_xlfn._TRO_TRAILING(Artists!A:A),_xlfn._TRO_TRAILING(Artists!B:B)))</f>
        <v>Josef Kohn,Jacob Kohn,J. &amp; J. Kohn, Vienna</v>
      </c>
      <c r="E18" t="s">
        <v>230</v>
      </c>
      <c r="F18" cm="1">
        <f t="array" ref="F18">_xlfn.REGEXEXTRACT(E18,"\d{4}")*1</f>
        <v>1895</v>
      </c>
      <c r="G18" t="s">
        <v>231</v>
      </c>
      <c r="H18" t="s">
        <v>232</v>
      </c>
      <c r="I18" t="s">
        <v>95</v>
      </c>
      <c r="J18" t="s">
        <v>19</v>
      </c>
      <c r="K18" s="1">
        <v>34093</v>
      </c>
      <c r="L18" t="s">
        <v>233</v>
      </c>
      <c r="M18" t="s">
        <v>234</v>
      </c>
      <c r="N18" t="s">
        <v>6366</v>
      </c>
    </row>
    <row r="19" spans="1:14" x14ac:dyDescent="0.25">
      <c r="A19">
        <v>2363</v>
      </c>
      <c r="B19" t="s">
        <v>94</v>
      </c>
      <c r="C19">
        <v>9682</v>
      </c>
      <c r="D19" t="str" cm="1">
        <f t="array" ref="D19">_xlfn.TEXTJOIN(",",TRUE,_xlfn.XLOOKUP(_xlfn.TEXTSPLIT(C19,",")*1,_xlfn._TRO_TRAILING(Artists!A:A),_xlfn._TRO_TRAILING(Artists!B:B)))</f>
        <v>Daum Frères, Nancy, France</v>
      </c>
      <c r="E19" t="s">
        <v>173</v>
      </c>
      <c r="F19" cm="1">
        <f t="array" ref="F19">_xlfn.REGEXEXTRACT(E19,"\d{4}")*1</f>
        <v>1900</v>
      </c>
      <c r="G19" t="s">
        <v>237</v>
      </c>
      <c r="H19" t="s">
        <v>238</v>
      </c>
      <c r="I19" t="s">
        <v>95</v>
      </c>
      <c r="J19" t="s">
        <v>19</v>
      </c>
      <c r="K19" s="1">
        <v>21523</v>
      </c>
      <c r="L19" t="s">
        <v>239</v>
      </c>
      <c r="M19" t="s">
        <v>240</v>
      </c>
      <c r="N19" t="s">
        <v>6367</v>
      </c>
    </row>
    <row r="20" spans="1:14" x14ac:dyDescent="0.25">
      <c r="A20">
        <v>2368</v>
      </c>
      <c r="B20" t="s">
        <v>243</v>
      </c>
      <c r="C20">
        <v>9682</v>
      </c>
      <c r="D20" t="str" cm="1">
        <f t="array" ref="D20">_xlfn.TEXTJOIN(",",TRUE,_xlfn.XLOOKUP(_xlfn.TEXTSPLIT(C20,",")*1,_xlfn._TRO_TRAILING(Artists!A:A),_xlfn._TRO_TRAILING(Artists!B:B)))</f>
        <v>Daum Frères, Nancy, France</v>
      </c>
      <c r="E20" t="s">
        <v>173</v>
      </c>
      <c r="F20" cm="1">
        <f t="array" ref="F20">_xlfn.REGEXEXTRACT(E20,"\d{4}")*1</f>
        <v>1900</v>
      </c>
      <c r="G20" t="s">
        <v>244</v>
      </c>
      <c r="H20" t="s">
        <v>245</v>
      </c>
      <c r="I20" t="s">
        <v>95</v>
      </c>
      <c r="J20" t="s">
        <v>19</v>
      </c>
      <c r="K20" s="1">
        <v>21523</v>
      </c>
      <c r="L20" t="s">
        <v>246</v>
      </c>
      <c r="M20" t="s">
        <v>247</v>
      </c>
      <c r="N20" t="s">
        <v>6367</v>
      </c>
    </row>
    <row r="21" spans="1:14" x14ac:dyDescent="0.25">
      <c r="A21">
        <v>2373</v>
      </c>
      <c r="B21" t="s">
        <v>94</v>
      </c>
      <c r="C21">
        <v>9682</v>
      </c>
      <c r="D21" t="str" cm="1">
        <f t="array" ref="D21">_xlfn.TEXTJOIN(",",TRUE,_xlfn.XLOOKUP(_xlfn.TEXTSPLIT(C21,",")*1,_xlfn._TRO_TRAILING(Artists!A:A),_xlfn._TRO_TRAILING(Artists!B:B)))</f>
        <v>Daum Frères, Nancy, France</v>
      </c>
      <c r="E21" t="s">
        <v>173</v>
      </c>
      <c r="F21" cm="1">
        <f t="array" ref="F21">_xlfn.REGEXEXTRACT(E21,"\d{4}")*1</f>
        <v>1900</v>
      </c>
      <c r="G21" t="s">
        <v>244</v>
      </c>
      <c r="H21" t="s">
        <v>249</v>
      </c>
      <c r="I21" t="s">
        <v>95</v>
      </c>
      <c r="J21" t="s">
        <v>19</v>
      </c>
      <c r="K21" s="1">
        <v>21523</v>
      </c>
      <c r="L21" t="s">
        <v>250</v>
      </c>
      <c r="M21" t="s">
        <v>251</v>
      </c>
      <c r="N21" t="s">
        <v>6367</v>
      </c>
    </row>
    <row r="22" spans="1:14" x14ac:dyDescent="0.25">
      <c r="A22">
        <v>2377</v>
      </c>
      <c r="B22" t="s">
        <v>94</v>
      </c>
      <c r="C22">
        <v>9682</v>
      </c>
      <c r="D22" t="str" cm="1">
        <f t="array" ref="D22">_xlfn.TEXTJOIN(",",TRUE,_xlfn.XLOOKUP(_xlfn.TEXTSPLIT(C22,",")*1,_xlfn._TRO_TRAILING(Artists!A:A),_xlfn._TRO_TRAILING(Artists!B:B)))</f>
        <v>Daum Frères, Nancy, France</v>
      </c>
      <c r="E22" t="s">
        <v>173</v>
      </c>
      <c r="F22" cm="1">
        <f t="array" ref="F22">_xlfn.REGEXEXTRACT(E22,"\d{4}")*1</f>
        <v>1900</v>
      </c>
      <c r="G22" t="s">
        <v>244</v>
      </c>
      <c r="H22" t="s">
        <v>252</v>
      </c>
      <c r="I22" t="s">
        <v>95</v>
      </c>
      <c r="J22" t="s">
        <v>19</v>
      </c>
      <c r="K22" s="1">
        <v>21523</v>
      </c>
      <c r="L22" t="s">
        <v>253</v>
      </c>
      <c r="M22" t="s">
        <v>254</v>
      </c>
      <c r="N22" t="s">
        <v>6367</v>
      </c>
    </row>
    <row r="23" spans="1:14" x14ac:dyDescent="0.25">
      <c r="A23">
        <v>2381</v>
      </c>
      <c r="B23" t="s">
        <v>255</v>
      </c>
      <c r="C23">
        <v>9682</v>
      </c>
      <c r="D23" t="str" cm="1">
        <f t="array" ref="D23">_xlfn.TEXTJOIN(",",TRUE,_xlfn.XLOOKUP(_xlfn.TEXTSPLIT(C23,",")*1,_xlfn._TRO_TRAILING(Artists!A:A),_xlfn._TRO_TRAILING(Artists!B:B)))</f>
        <v>Daum Frères, Nancy, France</v>
      </c>
      <c r="E23" t="s">
        <v>173</v>
      </c>
      <c r="F23" cm="1">
        <f t="array" ref="F23">_xlfn.REGEXEXTRACT(E23,"\d{4}")*1</f>
        <v>1900</v>
      </c>
      <c r="G23" t="s">
        <v>244</v>
      </c>
      <c r="H23" t="s">
        <v>256</v>
      </c>
      <c r="I23" t="s">
        <v>95</v>
      </c>
      <c r="J23" t="s">
        <v>19</v>
      </c>
      <c r="K23" s="1">
        <v>21523</v>
      </c>
      <c r="L23" t="s">
        <v>257</v>
      </c>
      <c r="M23" t="s">
        <v>258</v>
      </c>
      <c r="N23" t="s">
        <v>6367</v>
      </c>
    </row>
    <row r="24" spans="1:14" x14ac:dyDescent="0.25">
      <c r="A24">
        <v>2384</v>
      </c>
      <c r="B24" t="s">
        <v>255</v>
      </c>
      <c r="C24">
        <v>9682</v>
      </c>
      <c r="D24" t="str" cm="1">
        <f t="array" ref="D24">_xlfn.TEXTJOIN(",",TRUE,_xlfn.XLOOKUP(_xlfn.TEXTSPLIT(C24,",")*1,_xlfn._TRO_TRAILING(Artists!A:A),_xlfn._TRO_TRAILING(Artists!B:B)))</f>
        <v>Daum Frères, Nancy, France</v>
      </c>
      <c r="E24" t="s">
        <v>173</v>
      </c>
      <c r="F24" cm="1">
        <f t="array" ref="F24">_xlfn.REGEXEXTRACT(E24,"\d{4}")*1</f>
        <v>1900</v>
      </c>
      <c r="G24" t="s">
        <v>237</v>
      </c>
      <c r="H24" t="s">
        <v>259</v>
      </c>
      <c r="I24" t="s">
        <v>95</v>
      </c>
      <c r="J24" t="s">
        <v>19</v>
      </c>
      <c r="K24" s="1">
        <v>21523</v>
      </c>
      <c r="L24" t="s">
        <v>260</v>
      </c>
      <c r="M24" t="s">
        <v>261</v>
      </c>
      <c r="N24" t="s">
        <v>6367</v>
      </c>
    </row>
    <row r="25" spans="1:14" x14ac:dyDescent="0.25">
      <c r="A25">
        <v>2393</v>
      </c>
      <c r="B25" t="s">
        <v>262</v>
      </c>
      <c r="C25">
        <v>2407</v>
      </c>
      <c r="D25" t="str" cm="1">
        <f t="array" ref="D25">_xlfn.TEXTJOIN(",",TRUE,_xlfn.XLOOKUP(_xlfn.TEXTSPLIT(C25,",")*1,_xlfn._TRO_TRAILING(Artists!A:A),_xlfn._TRO_TRAILING(Artists!B:B)))</f>
        <v>Hector Guimard</v>
      </c>
      <c r="E25" t="s">
        <v>173</v>
      </c>
      <c r="F25" cm="1">
        <f t="array" ref="F25">_xlfn.REGEXEXTRACT(E25,"\d{4}")*1</f>
        <v>1900</v>
      </c>
      <c r="G25" t="s">
        <v>263</v>
      </c>
      <c r="H25" t="s">
        <v>264</v>
      </c>
      <c r="I25" t="s">
        <v>18</v>
      </c>
      <c r="J25" t="s">
        <v>19</v>
      </c>
      <c r="K25" s="1">
        <v>21523</v>
      </c>
      <c r="L25" t="s">
        <v>265</v>
      </c>
      <c r="M25" t="s">
        <v>266</v>
      </c>
      <c r="N25" t="s">
        <v>6368</v>
      </c>
    </row>
    <row r="26" spans="1:14" x14ac:dyDescent="0.25">
      <c r="A26">
        <v>2565</v>
      </c>
      <c r="B26" t="s">
        <v>275</v>
      </c>
      <c r="C26">
        <v>5103</v>
      </c>
      <c r="D26" t="str" cm="1">
        <f t="array" ref="D26">_xlfn.TEXTJOIN(",",TRUE,_xlfn.XLOOKUP(_xlfn.TEXTSPLIT(C26,",")*1,_xlfn._TRO_TRAILING(Artists!A:A),_xlfn._TRO_TRAILING(Artists!B:B)))</f>
        <v>Eero Saarinen</v>
      </c>
      <c r="E26" t="s">
        <v>277</v>
      </c>
      <c r="F26" cm="1">
        <f t="array" ref="F26">_xlfn.REGEXEXTRACT(E26,"\d{4}")*1</f>
        <v>1955</v>
      </c>
      <c r="G26" t="s">
        <v>278</v>
      </c>
      <c r="H26" t="s">
        <v>279</v>
      </c>
      <c r="I26" t="s">
        <v>95</v>
      </c>
      <c r="J26" t="s">
        <v>19</v>
      </c>
      <c r="K26" s="1">
        <v>21523</v>
      </c>
      <c r="L26" t="s">
        <v>280</v>
      </c>
      <c r="M26" t="s">
        <v>281</v>
      </c>
      <c r="N26" t="s">
        <v>6362</v>
      </c>
    </row>
    <row r="27" spans="1:14" x14ac:dyDescent="0.25">
      <c r="A27">
        <v>2659</v>
      </c>
      <c r="B27" t="s">
        <v>285</v>
      </c>
      <c r="C27">
        <v>9953</v>
      </c>
      <c r="D27" t="str" cm="1">
        <f t="array" ref="D27">_xlfn.TEXTJOIN(",",TRUE,_xlfn.XLOOKUP(_xlfn.TEXTSPLIT(C27,",")*1,_xlfn._TRO_TRAILING(Artists!A:A),_xlfn._TRO_TRAILING(Artists!B:B)))</f>
        <v>American Steel &amp; Wire Co., Worcester, MA</v>
      </c>
      <c r="E27" t="s">
        <v>174</v>
      </c>
      <c r="F27" cm="1">
        <f t="array" ref="F27">_xlfn.REGEXEXTRACT(E27,"\d{4}")*1</f>
        <v>1934</v>
      </c>
      <c r="G27" t="s">
        <v>268</v>
      </c>
      <c r="H27" t="s">
        <v>286</v>
      </c>
      <c r="I27" t="s">
        <v>95</v>
      </c>
      <c r="J27" t="s">
        <v>19</v>
      </c>
      <c r="K27" s="1">
        <v>12510</v>
      </c>
      <c r="L27" t="s">
        <v>287</v>
      </c>
      <c r="M27" t="s">
        <v>288</v>
      </c>
      <c r="N27" t="s">
        <v>6361</v>
      </c>
    </row>
    <row r="28" spans="1:14" x14ac:dyDescent="0.25">
      <c r="A28">
        <v>2682</v>
      </c>
      <c r="B28" t="s">
        <v>289</v>
      </c>
      <c r="C28">
        <v>6394</v>
      </c>
      <c r="D28" t="str" cm="1">
        <f t="array" ref="D28">_xlfn.TEXTJOIN(",",TRUE,_xlfn.XLOOKUP(_xlfn.TEXTSPLIT(C28,",")*1,_xlfn._TRO_TRAILING(Artists!A:A),_xlfn._TRO_TRAILING(Artists!B:B)))</f>
        <v>Sven Wingquist</v>
      </c>
      <c r="E28">
        <v>1907</v>
      </c>
      <c r="F28" cm="1">
        <f t="array" ref="F28">_xlfn.REGEXEXTRACT(E28,"\d{4}")*1</f>
        <v>1907</v>
      </c>
      <c r="G28" t="s">
        <v>86</v>
      </c>
      <c r="H28" t="s">
        <v>291</v>
      </c>
      <c r="I28" t="s">
        <v>95</v>
      </c>
      <c r="J28" t="s">
        <v>19</v>
      </c>
      <c r="K28" s="1">
        <v>12510</v>
      </c>
      <c r="L28" t="s">
        <v>292</v>
      </c>
      <c r="M28" t="s">
        <v>293</v>
      </c>
      <c r="N28" t="s">
        <v>6361</v>
      </c>
    </row>
    <row r="29" spans="1:14" x14ac:dyDescent="0.25">
      <c r="A29">
        <v>2704</v>
      </c>
      <c r="B29" t="s">
        <v>295</v>
      </c>
      <c r="C29">
        <v>10121</v>
      </c>
      <c r="D29" t="str" cm="1">
        <f t="array" ref="D29">_xlfn.TEXTJOIN(",",TRUE,_xlfn.XLOOKUP(_xlfn.TEXTSPLIT(C29,",")*1,_xlfn._TRO_TRAILING(Artists!A:A),_xlfn._TRO_TRAILING(Artists!B:B)))</f>
        <v>Scovill Mfg. Co., Plumbers Brass Goods Div., Waterbury, CT</v>
      </c>
      <c r="E29" t="s">
        <v>174</v>
      </c>
      <c r="F29" cm="1">
        <f t="array" ref="F29">_xlfn.REGEXEXTRACT(E29,"\d{4}")*1</f>
        <v>1934</v>
      </c>
      <c r="G29" t="s">
        <v>297</v>
      </c>
      <c r="H29" t="s">
        <v>298</v>
      </c>
      <c r="I29" t="s">
        <v>95</v>
      </c>
      <c r="J29" t="s">
        <v>19</v>
      </c>
      <c r="K29" s="1">
        <v>12420</v>
      </c>
      <c r="L29" t="s">
        <v>299</v>
      </c>
      <c r="M29" t="s">
        <v>300</v>
      </c>
      <c r="N29" t="s">
        <v>6361</v>
      </c>
    </row>
    <row r="30" spans="1:14" x14ac:dyDescent="0.25">
      <c r="A30">
        <v>2728</v>
      </c>
      <c r="B30" t="s">
        <v>302</v>
      </c>
      <c r="C30">
        <v>4324</v>
      </c>
      <c r="D30" t="str" cm="1">
        <f t="array" ref="D30">_xlfn.TEXTJOIN(",",TRUE,_xlfn.XLOOKUP(_xlfn.TEXTSPLIT(C30,",")*1,_xlfn._TRO_TRAILING(Artists!A:A),_xlfn._TRO_TRAILING(Artists!B:B)))</f>
        <v>Isamu Noguchi</v>
      </c>
      <c r="E30" t="s">
        <v>303</v>
      </c>
      <c r="F30" cm="1">
        <f t="array" ref="F30">_xlfn.REGEXEXTRACT(E30,"\d{4}")*1</f>
        <v>1968</v>
      </c>
      <c r="G30" t="s">
        <v>304</v>
      </c>
      <c r="H30" t="s">
        <v>305</v>
      </c>
      <c r="I30" t="s">
        <v>95</v>
      </c>
      <c r="J30" t="s">
        <v>19</v>
      </c>
      <c r="K30" s="1">
        <v>28548</v>
      </c>
      <c r="L30" t="s">
        <v>306</v>
      </c>
      <c r="M30" t="s">
        <v>307</v>
      </c>
      <c r="N30" t="s">
        <v>6362</v>
      </c>
    </row>
    <row r="31" spans="1:14" x14ac:dyDescent="0.25">
      <c r="A31">
        <v>2731</v>
      </c>
      <c r="B31" t="s">
        <v>308</v>
      </c>
      <c r="C31">
        <v>10113</v>
      </c>
      <c r="D31" t="str" cm="1">
        <f t="array" ref="D31">_xlfn.TEXTJOIN(",",TRUE,_xlfn.XLOOKUP(_xlfn.TEXTSPLIT(C31,",")*1,_xlfn._TRO_TRAILING(Artists!A:A),_xlfn._TRO_TRAILING(Artists!B:B)))</f>
        <v>S.K.F. Industries, Inc., Hartford, CT</v>
      </c>
      <c r="E31" t="s">
        <v>174</v>
      </c>
      <c r="F31" cm="1">
        <f t="array" ref="F31">_xlfn.REGEXEXTRACT(E31,"\d{4}")*1</f>
        <v>1934</v>
      </c>
      <c r="G31" t="s">
        <v>310</v>
      </c>
      <c r="H31" t="s">
        <v>311</v>
      </c>
      <c r="I31" t="s">
        <v>95</v>
      </c>
      <c r="J31" t="s">
        <v>19</v>
      </c>
      <c r="K31" s="1">
        <v>12510</v>
      </c>
      <c r="L31" t="s">
        <v>312</v>
      </c>
      <c r="M31" t="s">
        <v>313</v>
      </c>
      <c r="N31" t="s">
        <v>6361</v>
      </c>
    </row>
    <row r="32" spans="1:14" x14ac:dyDescent="0.25">
      <c r="A32">
        <v>2805</v>
      </c>
      <c r="B32" t="s">
        <v>315</v>
      </c>
      <c r="C32">
        <v>1249</v>
      </c>
      <c r="D32" t="str" cm="1">
        <f t="array" ref="D32">_xlfn.TEXTJOIN(",",TRUE,_xlfn.XLOOKUP(_xlfn.TEXTSPLIT(C32,",")*1,_xlfn._TRO_TRAILING(Artists!A:A),_xlfn._TRO_TRAILING(Artists!B:B)))</f>
        <v>Corning Glass Works, Corning, NY</v>
      </c>
      <c r="E32" t="s">
        <v>103</v>
      </c>
      <c r="F32" cm="1">
        <f t="array" ref="F32">_xlfn.REGEXEXTRACT(E32,"\d{4}")*1</f>
        <v>1920</v>
      </c>
      <c r="G32" t="s">
        <v>101</v>
      </c>
      <c r="H32" t="s">
        <v>316</v>
      </c>
      <c r="I32" t="s">
        <v>95</v>
      </c>
      <c r="J32" t="s">
        <v>19</v>
      </c>
      <c r="K32" s="1">
        <v>12510</v>
      </c>
      <c r="L32" t="s">
        <v>317</v>
      </c>
      <c r="M32" t="s">
        <v>318</v>
      </c>
      <c r="N32" t="s">
        <v>6361</v>
      </c>
    </row>
    <row r="33" spans="1:14" x14ac:dyDescent="0.25">
      <c r="A33">
        <v>2807</v>
      </c>
      <c r="B33" t="s">
        <v>301</v>
      </c>
      <c r="C33">
        <v>3716</v>
      </c>
      <c r="D33" t="str" cm="1">
        <f t="array" ref="D33">_xlfn.TEXTJOIN(",",TRUE,_xlfn.XLOOKUP(_xlfn.TEXTSPLIT(C33,",")*1,_xlfn._TRO_TRAILING(Artists!A:A),_xlfn._TRO_TRAILING(Artists!B:B)))</f>
        <v>Man Ray (Emmanuel Radnitzky)</v>
      </c>
      <c r="E33" t="s">
        <v>319</v>
      </c>
      <c r="F33" cm="1">
        <f t="array" ref="F33">_xlfn.REGEXEXTRACT(E33,"\d{4}")*1</f>
        <v>1920</v>
      </c>
      <c r="G33" t="s">
        <v>320</v>
      </c>
      <c r="H33" t="s">
        <v>321</v>
      </c>
      <c r="I33" t="s">
        <v>95</v>
      </c>
      <c r="J33" t="s">
        <v>19</v>
      </c>
      <c r="K33" s="1">
        <v>18422</v>
      </c>
      <c r="L33" t="s">
        <v>322</v>
      </c>
      <c r="M33" t="s">
        <v>323</v>
      </c>
      <c r="N33" t="s">
        <v>6369</v>
      </c>
    </row>
    <row r="34" spans="1:14" x14ac:dyDescent="0.25">
      <c r="A34">
        <v>2816</v>
      </c>
      <c r="B34" t="s">
        <v>324</v>
      </c>
      <c r="C34">
        <v>9339</v>
      </c>
      <c r="D34" t="str" cm="1">
        <f t="array" ref="D34">_xlfn.TEXTJOIN(",",TRUE,_xlfn.XLOOKUP(_xlfn.TEXTSPLIT(C34,",")*1,_xlfn._TRO_TRAILING(Artists!A:A),_xlfn._TRO_TRAILING(Artists!B:B)))</f>
        <v>Coors Porcelain Co., Golden, CO</v>
      </c>
      <c r="E34" t="s">
        <v>103</v>
      </c>
      <c r="F34" cm="1">
        <f t="array" ref="F34">_xlfn.REGEXEXTRACT(E34,"\d{4}")*1</f>
        <v>1920</v>
      </c>
      <c r="G34" t="s">
        <v>111</v>
      </c>
      <c r="H34" t="s">
        <v>325</v>
      </c>
      <c r="I34" t="s">
        <v>95</v>
      </c>
      <c r="J34" t="s">
        <v>19</v>
      </c>
      <c r="K34" s="1">
        <v>12510</v>
      </c>
      <c r="L34" t="s">
        <v>326</v>
      </c>
      <c r="M34" t="s">
        <v>327</v>
      </c>
      <c r="N34" t="s">
        <v>6361</v>
      </c>
    </row>
    <row r="35" spans="1:14" x14ac:dyDescent="0.25">
      <c r="A35">
        <v>2841</v>
      </c>
      <c r="B35" t="s">
        <v>329</v>
      </c>
      <c r="C35">
        <v>9953</v>
      </c>
      <c r="D35" t="str" cm="1">
        <f t="array" ref="D35">_xlfn.TEXTJOIN(",",TRUE,_xlfn.XLOOKUP(_xlfn.TEXTSPLIT(C35,",")*1,_xlfn._TRO_TRAILING(Artists!A:A),_xlfn._TRO_TRAILING(Artists!B:B)))</f>
        <v>American Steel &amp; Wire Co., Worcester, MA</v>
      </c>
      <c r="E35" t="s">
        <v>174</v>
      </c>
      <c r="F35" cm="1">
        <f t="array" ref="F35">_xlfn.REGEXEXTRACT(E35,"\d{4}")*1</f>
        <v>1934</v>
      </c>
      <c r="G35" t="s">
        <v>268</v>
      </c>
      <c r="H35" t="s">
        <v>330</v>
      </c>
      <c r="I35" t="s">
        <v>95</v>
      </c>
      <c r="J35" t="s">
        <v>19</v>
      </c>
      <c r="K35" s="1">
        <v>12510</v>
      </c>
      <c r="L35" t="s">
        <v>331</v>
      </c>
      <c r="M35" t="s">
        <v>332</v>
      </c>
      <c r="N35" t="s">
        <v>6361</v>
      </c>
    </row>
    <row r="36" spans="1:14" x14ac:dyDescent="0.25">
      <c r="A36">
        <v>2859</v>
      </c>
      <c r="B36" t="s">
        <v>333</v>
      </c>
      <c r="C36">
        <v>6011</v>
      </c>
      <c r="D36" t="str" cm="1">
        <f t="array" ref="D36">_xlfn.TEXTJOIN(",",TRUE,_xlfn.XLOOKUP(_xlfn.TEXTSPLIT(C36,",")*1,_xlfn._TRO_TRAILING(Artists!A:A),_xlfn._TRO_TRAILING(Artists!B:B)))</f>
        <v>Unidentified Designer</v>
      </c>
      <c r="E36" t="s">
        <v>174</v>
      </c>
      <c r="F36" cm="1">
        <f t="array" ref="F36">_xlfn.REGEXEXTRACT(E36,"\d{4}")*1</f>
        <v>1934</v>
      </c>
      <c r="G36" t="s">
        <v>98</v>
      </c>
      <c r="H36" t="s">
        <v>334</v>
      </c>
      <c r="I36" t="s">
        <v>95</v>
      </c>
      <c r="J36" t="s">
        <v>19</v>
      </c>
      <c r="K36" s="1">
        <v>12510</v>
      </c>
      <c r="L36" t="s">
        <v>335</v>
      </c>
      <c r="M36" t="s">
        <v>336</v>
      </c>
      <c r="N36" t="s">
        <v>6361</v>
      </c>
    </row>
    <row r="37" spans="1:14" x14ac:dyDescent="0.25">
      <c r="A37">
        <v>2890</v>
      </c>
      <c r="B37" t="s">
        <v>333</v>
      </c>
      <c r="C37">
        <v>6011</v>
      </c>
      <c r="D37" t="str" cm="1">
        <f t="array" ref="D37">_xlfn.TEXTJOIN(",",TRUE,_xlfn.XLOOKUP(_xlfn.TEXTSPLIT(C37,",")*1,_xlfn._TRO_TRAILING(Artists!A:A),_xlfn._TRO_TRAILING(Artists!B:B)))</f>
        <v>Unidentified Designer</v>
      </c>
      <c r="E37" t="s">
        <v>174</v>
      </c>
      <c r="F37" cm="1">
        <f t="array" ref="F37">_xlfn.REGEXEXTRACT(E37,"\d{4}")*1</f>
        <v>1934</v>
      </c>
      <c r="G37" t="s">
        <v>98</v>
      </c>
      <c r="H37" t="s">
        <v>338</v>
      </c>
      <c r="I37" t="s">
        <v>95</v>
      </c>
      <c r="J37" t="s">
        <v>19</v>
      </c>
      <c r="K37" s="1">
        <v>12510</v>
      </c>
      <c r="L37" t="s">
        <v>339</v>
      </c>
      <c r="M37" t="s">
        <v>340</v>
      </c>
      <c r="N37" t="s">
        <v>6361</v>
      </c>
    </row>
    <row r="38" spans="1:14" x14ac:dyDescent="0.25">
      <c r="A38">
        <v>2891</v>
      </c>
      <c r="B38" t="s">
        <v>341</v>
      </c>
      <c r="C38">
        <v>2402</v>
      </c>
      <c r="D38" t="str" cm="1">
        <f t="array" ref="D38">_xlfn.TEXTJOIN(",",TRUE,_xlfn.XLOOKUP(_xlfn.TEXTSPLIT(C38,",")*1,_xlfn._TRO_TRAILING(Artists!A:A),_xlfn._TRO_TRAILING(Artists!B:B)))</f>
        <v>Lurelle Guild</v>
      </c>
      <c r="E38" t="s">
        <v>342</v>
      </c>
      <c r="F38" cm="1">
        <f t="array" ref="F38">_xlfn.REGEXEXTRACT(E38,"\d{4}")*1</f>
        <v>1932</v>
      </c>
      <c r="G38" t="s">
        <v>241</v>
      </c>
      <c r="H38" t="s">
        <v>343</v>
      </c>
      <c r="I38" t="s">
        <v>95</v>
      </c>
      <c r="J38" t="s">
        <v>19</v>
      </c>
      <c r="K38" s="1">
        <v>16384</v>
      </c>
      <c r="L38" t="s">
        <v>344</v>
      </c>
      <c r="M38" t="s">
        <v>345</v>
      </c>
      <c r="N38" t="s">
        <v>6361</v>
      </c>
    </row>
    <row r="39" spans="1:14" x14ac:dyDescent="0.25">
      <c r="A39">
        <v>2983</v>
      </c>
      <c r="B39" t="s">
        <v>348</v>
      </c>
      <c r="C39">
        <v>3766</v>
      </c>
      <c r="D39" t="str" cm="1">
        <f t="array" ref="D39">_xlfn.TEXTJOIN(",",TRUE,_xlfn.XLOOKUP(_xlfn.TEXTSPLIT(C39,",")*1,_xlfn._TRO_TRAILING(Artists!A:A),_xlfn._TRO_TRAILING(Artists!B:B)))</f>
        <v>Enzo Mari</v>
      </c>
      <c r="E39">
        <v>1991</v>
      </c>
      <c r="F39" cm="1">
        <f t="array" ref="F39">_xlfn.REGEXEXTRACT(E39,"\d{4}")*1</f>
        <v>1991</v>
      </c>
      <c r="G39" t="s">
        <v>349</v>
      </c>
      <c r="H39" t="s">
        <v>350</v>
      </c>
      <c r="I39" t="s">
        <v>95</v>
      </c>
      <c r="J39" t="s">
        <v>19</v>
      </c>
      <c r="K39" s="1">
        <v>35907</v>
      </c>
      <c r="L39" t="s">
        <v>351</v>
      </c>
      <c r="M39" t="s">
        <v>352</v>
      </c>
      <c r="N39" t="s">
        <v>6362</v>
      </c>
    </row>
    <row r="40" spans="1:14" x14ac:dyDescent="0.25">
      <c r="A40">
        <v>3025</v>
      </c>
      <c r="B40" t="s">
        <v>267</v>
      </c>
      <c r="C40">
        <v>10302</v>
      </c>
      <c r="D40" t="str" cm="1">
        <f t="array" ref="D40">_xlfn.TEXTJOIN(",",TRUE,_xlfn.XLOOKUP(_xlfn.TEXTSPLIT(C40,",")*1,_xlfn._TRO_TRAILING(Artists!A:A),_xlfn._TRO_TRAILING(Artists!B:B)))</f>
        <v>Owens-Illinois Glass Co., Toledo, OH</v>
      </c>
      <c r="E40" t="s">
        <v>174</v>
      </c>
      <c r="F40" cm="1">
        <f t="array" ref="F40">_xlfn.REGEXEXTRACT(E40,"\d{4}")*1</f>
        <v>1934</v>
      </c>
      <c r="G40" t="s">
        <v>356</v>
      </c>
      <c r="H40" t="s">
        <v>357</v>
      </c>
      <c r="I40" t="s">
        <v>95</v>
      </c>
      <c r="J40" t="s">
        <v>19</v>
      </c>
      <c r="L40" t="s">
        <v>358</v>
      </c>
      <c r="M40" t="s">
        <v>359</v>
      </c>
      <c r="N40" t="s">
        <v>6361</v>
      </c>
    </row>
    <row r="41" spans="1:14" x14ac:dyDescent="0.25">
      <c r="A41">
        <v>3048</v>
      </c>
      <c r="B41" t="s">
        <v>360</v>
      </c>
      <c r="C41">
        <v>4749</v>
      </c>
      <c r="D41" t="str" cm="1">
        <f t="array" ref="D41">_xlfn.TEXTJOIN(",",TRUE,_xlfn.XLOOKUP(_xlfn.TEXTSPLIT(C41,",")*1,_xlfn._TRO_TRAILING(Artists!A:A),_xlfn._TRO_TRAILING(Artists!B:B)))</f>
        <v>Otto Prutscher</v>
      </c>
      <c r="E41" t="s">
        <v>242</v>
      </c>
      <c r="F41" cm="1">
        <f t="array" ref="F41">_xlfn.REGEXEXTRACT(E41,"\d{4}")*1</f>
        <v>1907</v>
      </c>
      <c r="G41" t="s">
        <v>362</v>
      </c>
      <c r="H41" t="s">
        <v>363</v>
      </c>
      <c r="I41" t="s">
        <v>95</v>
      </c>
      <c r="J41" t="s">
        <v>19</v>
      </c>
      <c r="K41" s="1">
        <v>31692</v>
      </c>
      <c r="L41" t="s">
        <v>364</v>
      </c>
      <c r="M41" t="s">
        <v>365</v>
      </c>
      <c r="N41" t="s">
        <v>6366</v>
      </c>
    </row>
    <row r="42" spans="1:14" x14ac:dyDescent="0.25">
      <c r="A42">
        <v>3072</v>
      </c>
      <c r="B42" t="s">
        <v>366</v>
      </c>
      <c r="C42">
        <v>2694</v>
      </c>
      <c r="D42" t="str" cm="1">
        <f t="array" ref="D42">_xlfn.TEXTJOIN(",",TRUE,_xlfn.XLOOKUP(_xlfn.TEXTSPLIT(C42,",")*1,_xlfn._TRO_TRAILING(Artists!A:A),_xlfn._TRO_TRAILING(Artists!B:B)))</f>
        <v>Josef Hoffmann</v>
      </c>
      <c r="E42" t="s">
        <v>130</v>
      </c>
      <c r="F42" cm="1">
        <f t="array" ref="F42">_xlfn.REGEXEXTRACT(E42,"\d{4}")*1</f>
        <v>1908</v>
      </c>
      <c r="G42" t="s">
        <v>99</v>
      </c>
      <c r="H42" t="s">
        <v>367</v>
      </c>
      <c r="I42" t="s">
        <v>95</v>
      </c>
      <c r="J42" t="s">
        <v>19</v>
      </c>
      <c r="K42" s="1">
        <v>29005</v>
      </c>
      <c r="L42" t="s">
        <v>368</v>
      </c>
      <c r="M42" t="s">
        <v>369</v>
      </c>
      <c r="N42" t="s">
        <v>6366</v>
      </c>
    </row>
    <row r="43" spans="1:14" x14ac:dyDescent="0.25">
      <c r="A43">
        <v>3144</v>
      </c>
      <c r="B43" t="s">
        <v>371</v>
      </c>
      <c r="C43">
        <v>9724</v>
      </c>
      <c r="D43" t="str" cm="1">
        <f t="array" ref="D43">_xlfn.TEXTJOIN(",",TRUE,_xlfn.XLOOKUP(_xlfn.TEXTSPLIT(C43,",")*1,_xlfn._TRO_TRAILING(Artists!A:A),_xlfn._TRO_TRAILING(Artists!B:B)))</f>
        <v>Lalance &amp; Grosjean Mfg. Co., Woodhaven, NY</v>
      </c>
      <c r="E43" t="s">
        <v>103</v>
      </c>
      <c r="F43" cm="1">
        <f t="array" ref="F43">_xlfn.REGEXEXTRACT(E43,"\d{4}")*1</f>
        <v>1920</v>
      </c>
      <c r="G43" t="s">
        <v>91</v>
      </c>
      <c r="H43" t="s">
        <v>372</v>
      </c>
      <c r="I43" t="s">
        <v>95</v>
      </c>
      <c r="J43" t="s">
        <v>19</v>
      </c>
      <c r="K43" s="1">
        <v>12510</v>
      </c>
      <c r="L43" t="s">
        <v>373</v>
      </c>
      <c r="M43" t="s">
        <v>374</v>
      </c>
      <c r="N43" t="s">
        <v>6361</v>
      </c>
    </row>
    <row r="44" spans="1:14" x14ac:dyDescent="0.25">
      <c r="A44">
        <v>3153</v>
      </c>
      <c r="B44" t="s">
        <v>375</v>
      </c>
      <c r="C44">
        <v>10027</v>
      </c>
      <c r="D44" t="str" cm="1">
        <f t="array" ref="D44">_xlfn.TEXTJOIN(",",TRUE,_xlfn.XLOOKUP(_xlfn.TEXTSPLIT(C44,",")*1,_xlfn._TRO_TRAILING(Artists!A:A),_xlfn._TRO_TRAILING(Artists!B:B)))</f>
        <v>The Aluminum Cooking Utensil Co., New York, NY</v>
      </c>
      <c r="E44" t="s">
        <v>174</v>
      </c>
      <c r="F44" cm="1">
        <f t="array" ref="F44">_xlfn.REGEXEXTRACT(E44,"\d{4}")*1</f>
        <v>1934</v>
      </c>
      <c r="G44" t="s">
        <v>145</v>
      </c>
      <c r="H44" t="s">
        <v>376</v>
      </c>
      <c r="I44" t="s">
        <v>95</v>
      </c>
      <c r="J44" t="s">
        <v>19</v>
      </c>
      <c r="K44" s="1">
        <v>12510</v>
      </c>
      <c r="L44" t="s">
        <v>377</v>
      </c>
      <c r="M44" t="s">
        <v>378</v>
      </c>
      <c r="N44" t="s">
        <v>6361</v>
      </c>
    </row>
    <row r="45" spans="1:14" x14ac:dyDescent="0.25">
      <c r="A45">
        <v>3169</v>
      </c>
      <c r="B45" t="s">
        <v>347</v>
      </c>
      <c r="C45">
        <v>5168</v>
      </c>
      <c r="D45" t="str" cm="1">
        <f t="array" ref="D45">_xlfn.TEXTJOIN(",",TRUE,_xlfn.XLOOKUP(_xlfn.TEXTSPLIT(C45,",")*1,_xlfn._TRO_TRAILING(Artists!A:A),_xlfn._TRO_TRAILING(Artists!B:B)))</f>
        <v>Timo Sarpaneva</v>
      </c>
      <c r="E45">
        <v>1956</v>
      </c>
      <c r="F45" cm="1">
        <f t="array" ref="F45">_xlfn.REGEXEXTRACT(E45,"\d{4}")*1</f>
        <v>1956</v>
      </c>
      <c r="G45" t="s">
        <v>98</v>
      </c>
      <c r="H45" t="s">
        <v>379</v>
      </c>
      <c r="I45" t="s">
        <v>95</v>
      </c>
      <c r="J45" t="s">
        <v>19</v>
      </c>
      <c r="K45" s="1">
        <v>21523</v>
      </c>
      <c r="L45" t="s">
        <v>380</v>
      </c>
      <c r="M45" t="s">
        <v>381</v>
      </c>
      <c r="N45" t="s">
        <v>6362</v>
      </c>
    </row>
    <row r="46" spans="1:14" x14ac:dyDescent="0.25">
      <c r="A46">
        <v>3212</v>
      </c>
      <c r="B46" t="s">
        <v>382</v>
      </c>
      <c r="C46">
        <v>8149</v>
      </c>
      <c r="D46" t="str" cm="1">
        <f t="array" ref="D46">_xlfn.TEXTJOIN(",",TRUE,_xlfn.XLOOKUP(_xlfn.TEXTSPLIT(C46,",")*1,_xlfn._TRO_TRAILING(Artists!A:A),_xlfn._TRO_TRAILING(Artists!B:B)))</f>
        <v>Konstantin Grcic</v>
      </c>
      <c r="E46">
        <v>1998</v>
      </c>
      <c r="F46" cm="1">
        <f t="array" ref="F46">_xlfn.REGEXEXTRACT(E46,"\d{4}")*1</f>
        <v>1998</v>
      </c>
      <c r="G46" t="s">
        <v>384</v>
      </c>
      <c r="H46" t="s">
        <v>385</v>
      </c>
      <c r="I46" t="s">
        <v>95</v>
      </c>
      <c r="J46" t="s">
        <v>19</v>
      </c>
      <c r="K46" s="1">
        <v>36341</v>
      </c>
      <c r="L46" t="s">
        <v>386</v>
      </c>
      <c r="M46" t="s">
        <v>387</v>
      </c>
      <c r="N46" t="s">
        <v>6362</v>
      </c>
    </row>
    <row r="47" spans="1:14" x14ac:dyDescent="0.25">
      <c r="A47">
        <v>3250</v>
      </c>
      <c r="B47" t="s">
        <v>389</v>
      </c>
      <c r="C47">
        <v>271</v>
      </c>
      <c r="D47" t="str" cm="1">
        <f t="array" ref="D47">_xlfn.TEXTJOIN(",",TRUE,_xlfn.XLOOKUP(_xlfn.TEXTSPLIT(C47,",")*1,_xlfn._TRO_TRAILING(Artists!A:A),_xlfn._TRO_TRAILING(Artists!B:B)))</f>
        <v>Olof Backstrom</v>
      </c>
      <c r="E47" t="s">
        <v>391</v>
      </c>
      <c r="F47" cm="1">
        <f t="array" ref="F47">_xlfn.REGEXEXTRACT(E47,"\d{4}")*1</f>
        <v>1960</v>
      </c>
      <c r="G47" t="s">
        <v>282</v>
      </c>
      <c r="H47" t="s">
        <v>392</v>
      </c>
      <c r="I47" t="s">
        <v>95</v>
      </c>
      <c r="J47" t="s">
        <v>19</v>
      </c>
      <c r="K47" s="1">
        <v>28277</v>
      </c>
      <c r="L47" t="s">
        <v>393</v>
      </c>
      <c r="M47" t="s">
        <v>394</v>
      </c>
      <c r="N47" t="s">
        <v>6362</v>
      </c>
    </row>
    <row r="48" spans="1:14" x14ac:dyDescent="0.25">
      <c r="A48">
        <v>3262</v>
      </c>
      <c r="B48" t="s">
        <v>175</v>
      </c>
      <c r="C48">
        <v>9682</v>
      </c>
      <c r="D48" t="str" cm="1">
        <f t="array" ref="D48">_xlfn.TEXTJOIN(",",TRUE,_xlfn.XLOOKUP(_xlfn.TEXTSPLIT(C48,",")*1,_xlfn._TRO_TRAILING(Artists!A:A),_xlfn._TRO_TRAILING(Artists!B:B)))</f>
        <v>Daum Frères, Nancy, France</v>
      </c>
      <c r="E48" t="s">
        <v>194</v>
      </c>
      <c r="F48" cm="1">
        <f t="array" ref="F48">_xlfn.REGEXEXTRACT(E48,"\d{4}")*1</f>
        <v>1910</v>
      </c>
      <c r="G48" t="s">
        <v>395</v>
      </c>
      <c r="H48" t="s">
        <v>259</v>
      </c>
      <c r="I48" t="s">
        <v>95</v>
      </c>
      <c r="J48" t="s">
        <v>19</v>
      </c>
      <c r="K48" s="1">
        <v>28277</v>
      </c>
      <c r="L48" t="s">
        <v>396</v>
      </c>
      <c r="M48" t="s">
        <v>397</v>
      </c>
      <c r="N48" t="s">
        <v>6367</v>
      </c>
    </row>
    <row r="49" spans="1:14" x14ac:dyDescent="0.25">
      <c r="A49">
        <v>3266</v>
      </c>
      <c r="B49" t="s">
        <v>175</v>
      </c>
      <c r="C49">
        <v>9682</v>
      </c>
      <c r="D49" t="str" cm="1">
        <f t="array" ref="D49">_xlfn.TEXTJOIN(",",TRUE,_xlfn.XLOOKUP(_xlfn.TEXTSPLIT(C49,",")*1,_xlfn._TRO_TRAILING(Artists!A:A),_xlfn._TRO_TRAILING(Artists!B:B)))</f>
        <v>Daum Frères, Nancy, France</v>
      </c>
      <c r="E49" t="s">
        <v>194</v>
      </c>
      <c r="F49" cm="1">
        <f t="array" ref="F49">_xlfn.REGEXEXTRACT(E49,"\d{4}")*1</f>
        <v>1910</v>
      </c>
      <c r="G49" t="s">
        <v>244</v>
      </c>
      <c r="H49" t="s">
        <v>398</v>
      </c>
      <c r="I49" t="s">
        <v>95</v>
      </c>
      <c r="J49" t="s">
        <v>19</v>
      </c>
      <c r="K49" s="1">
        <v>28277</v>
      </c>
      <c r="L49" t="s">
        <v>399</v>
      </c>
      <c r="M49" t="s">
        <v>400</v>
      </c>
      <c r="N49" t="s">
        <v>6367</v>
      </c>
    </row>
    <row r="50" spans="1:14" x14ac:dyDescent="0.25">
      <c r="A50">
        <v>3269</v>
      </c>
      <c r="B50" t="s">
        <v>175</v>
      </c>
      <c r="C50">
        <v>9682</v>
      </c>
      <c r="D50" t="str" cm="1">
        <f t="array" ref="D50">_xlfn.TEXTJOIN(",",TRUE,_xlfn.XLOOKUP(_xlfn.TEXTSPLIT(C50,",")*1,_xlfn._TRO_TRAILING(Artists!A:A),_xlfn._TRO_TRAILING(Artists!B:B)))</f>
        <v>Daum Frères, Nancy, France</v>
      </c>
      <c r="E50" t="s">
        <v>194</v>
      </c>
      <c r="F50" cm="1">
        <f t="array" ref="F50">_xlfn.REGEXEXTRACT(E50,"\d{4}")*1</f>
        <v>1910</v>
      </c>
      <c r="G50" t="s">
        <v>244</v>
      </c>
      <c r="H50" t="s">
        <v>401</v>
      </c>
      <c r="I50" t="s">
        <v>95</v>
      </c>
      <c r="J50" t="s">
        <v>19</v>
      </c>
      <c r="K50" s="1">
        <v>28277</v>
      </c>
      <c r="L50" t="s">
        <v>402</v>
      </c>
      <c r="M50" t="s">
        <v>403</v>
      </c>
      <c r="N50" t="s">
        <v>6367</v>
      </c>
    </row>
    <row r="51" spans="1:14" x14ac:dyDescent="0.25">
      <c r="A51">
        <v>3271</v>
      </c>
      <c r="B51" t="s">
        <v>175</v>
      </c>
      <c r="C51">
        <v>9682</v>
      </c>
      <c r="D51" t="str" cm="1">
        <f t="array" ref="D51">_xlfn.TEXTJOIN(",",TRUE,_xlfn.XLOOKUP(_xlfn.TEXTSPLIT(C51,",")*1,_xlfn._TRO_TRAILING(Artists!A:A),_xlfn._TRO_TRAILING(Artists!B:B)))</f>
        <v>Daum Frères, Nancy, France</v>
      </c>
      <c r="E51" t="s">
        <v>194</v>
      </c>
      <c r="F51" cm="1">
        <f t="array" ref="F51">_xlfn.REGEXEXTRACT(E51,"\d{4}")*1</f>
        <v>1910</v>
      </c>
      <c r="G51" t="s">
        <v>244</v>
      </c>
      <c r="H51" t="s">
        <v>259</v>
      </c>
      <c r="I51" t="s">
        <v>95</v>
      </c>
      <c r="J51" t="s">
        <v>19</v>
      </c>
      <c r="K51" s="1">
        <v>28277</v>
      </c>
      <c r="L51" t="s">
        <v>404</v>
      </c>
      <c r="M51" t="s">
        <v>405</v>
      </c>
      <c r="N51" t="s">
        <v>6367</v>
      </c>
    </row>
    <row r="52" spans="1:14" x14ac:dyDescent="0.25">
      <c r="A52">
        <v>3274</v>
      </c>
      <c r="B52" t="s">
        <v>175</v>
      </c>
      <c r="C52">
        <v>9682</v>
      </c>
      <c r="D52" t="str" cm="1">
        <f t="array" ref="D52">_xlfn.TEXTJOIN(",",TRUE,_xlfn.XLOOKUP(_xlfn.TEXTSPLIT(C52,",")*1,_xlfn._TRO_TRAILING(Artists!A:A),_xlfn._TRO_TRAILING(Artists!B:B)))</f>
        <v>Daum Frères, Nancy, France</v>
      </c>
      <c r="E52" t="s">
        <v>194</v>
      </c>
      <c r="F52" cm="1">
        <f t="array" ref="F52">_xlfn.REGEXEXTRACT(E52,"\d{4}")*1</f>
        <v>1910</v>
      </c>
      <c r="G52" t="s">
        <v>395</v>
      </c>
      <c r="H52" t="s">
        <v>401</v>
      </c>
      <c r="I52" t="s">
        <v>95</v>
      </c>
      <c r="J52" t="s">
        <v>19</v>
      </c>
      <c r="K52" s="1">
        <v>28277</v>
      </c>
      <c r="L52" t="s">
        <v>406</v>
      </c>
      <c r="M52" t="s">
        <v>407</v>
      </c>
      <c r="N52" t="s">
        <v>6367</v>
      </c>
    </row>
    <row r="53" spans="1:14" x14ac:dyDescent="0.25">
      <c r="A53">
        <v>3277</v>
      </c>
      <c r="B53" t="s">
        <v>175</v>
      </c>
      <c r="C53">
        <v>9682</v>
      </c>
      <c r="D53" t="str" cm="1">
        <f t="array" ref="D53">_xlfn.TEXTJOIN(",",TRUE,_xlfn.XLOOKUP(_xlfn.TEXTSPLIT(C53,",")*1,_xlfn._TRO_TRAILING(Artists!A:A),_xlfn._TRO_TRAILING(Artists!B:B)))</f>
        <v>Daum Frères, Nancy, France</v>
      </c>
      <c r="E53" t="s">
        <v>194</v>
      </c>
      <c r="F53" cm="1">
        <f t="array" ref="F53">_xlfn.REGEXEXTRACT(E53,"\d{4}")*1</f>
        <v>1910</v>
      </c>
      <c r="G53" t="s">
        <v>395</v>
      </c>
      <c r="H53" t="s">
        <v>408</v>
      </c>
      <c r="I53" t="s">
        <v>95</v>
      </c>
      <c r="J53" t="s">
        <v>19</v>
      </c>
      <c r="K53" s="1">
        <v>28277</v>
      </c>
      <c r="L53" t="s">
        <v>409</v>
      </c>
      <c r="M53" t="s">
        <v>410</v>
      </c>
      <c r="N53" t="s">
        <v>6367</v>
      </c>
    </row>
    <row r="54" spans="1:14" x14ac:dyDescent="0.25">
      <c r="A54">
        <v>3279</v>
      </c>
      <c r="B54" t="s">
        <v>175</v>
      </c>
      <c r="C54">
        <v>9682</v>
      </c>
      <c r="D54" t="str" cm="1">
        <f t="array" ref="D54">_xlfn.TEXTJOIN(",",TRUE,_xlfn.XLOOKUP(_xlfn.TEXTSPLIT(C54,",")*1,_xlfn._TRO_TRAILING(Artists!A:A),_xlfn._TRO_TRAILING(Artists!B:B)))</f>
        <v>Daum Frères, Nancy, France</v>
      </c>
      <c r="E54" t="s">
        <v>194</v>
      </c>
      <c r="F54" cm="1">
        <f t="array" ref="F54">_xlfn.REGEXEXTRACT(E54,"\d{4}")*1</f>
        <v>1910</v>
      </c>
      <c r="G54" t="s">
        <v>244</v>
      </c>
      <c r="H54" t="s">
        <v>259</v>
      </c>
      <c r="I54" t="s">
        <v>95</v>
      </c>
      <c r="J54" t="s">
        <v>19</v>
      </c>
      <c r="K54" s="1">
        <v>28277</v>
      </c>
      <c r="L54" t="s">
        <v>411</v>
      </c>
      <c r="M54" t="s">
        <v>412</v>
      </c>
      <c r="N54" t="s">
        <v>6367</v>
      </c>
    </row>
    <row r="55" spans="1:14" x14ac:dyDescent="0.25">
      <c r="A55">
        <v>3281</v>
      </c>
      <c r="B55" t="s">
        <v>175</v>
      </c>
      <c r="C55">
        <v>9682</v>
      </c>
      <c r="D55" t="str" cm="1">
        <f t="array" ref="D55">_xlfn.TEXTJOIN(",",TRUE,_xlfn.XLOOKUP(_xlfn.TEXTSPLIT(C55,",")*1,_xlfn._TRO_TRAILING(Artists!A:A),_xlfn._TRO_TRAILING(Artists!B:B)))</f>
        <v>Daum Frères, Nancy, France</v>
      </c>
      <c r="E55" t="s">
        <v>194</v>
      </c>
      <c r="F55" cm="1">
        <f t="array" ref="F55">_xlfn.REGEXEXTRACT(E55,"\d{4}")*1</f>
        <v>1910</v>
      </c>
      <c r="G55" t="s">
        <v>244</v>
      </c>
      <c r="H55" t="s">
        <v>413</v>
      </c>
      <c r="I55" t="s">
        <v>95</v>
      </c>
      <c r="J55" t="s">
        <v>19</v>
      </c>
      <c r="K55" s="1">
        <v>28277</v>
      </c>
      <c r="L55" t="s">
        <v>414</v>
      </c>
      <c r="M55" t="s">
        <v>415</v>
      </c>
      <c r="N55" t="s">
        <v>6367</v>
      </c>
    </row>
    <row r="56" spans="1:14" x14ac:dyDescent="0.25">
      <c r="A56">
        <v>3283</v>
      </c>
      <c r="B56" t="s">
        <v>175</v>
      </c>
      <c r="C56">
        <v>9682</v>
      </c>
      <c r="D56" t="str" cm="1">
        <f t="array" ref="D56">_xlfn.TEXTJOIN(",",TRUE,_xlfn.XLOOKUP(_xlfn.TEXTSPLIT(C56,",")*1,_xlfn._TRO_TRAILING(Artists!A:A),_xlfn._TRO_TRAILING(Artists!B:B)))</f>
        <v>Daum Frères, Nancy, France</v>
      </c>
      <c r="E56" t="s">
        <v>194</v>
      </c>
      <c r="F56" cm="1">
        <f t="array" ref="F56">_xlfn.REGEXEXTRACT(E56,"\d{4}")*1</f>
        <v>1910</v>
      </c>
      <c r="G56" t="s">
        <v>395</v>
      </c>
      <c r="H56" t="s">
        <v>416</v>
      </c>
      <c r="I56" t="s">
        <v>95</v>
      </c>
      <c r="J56" t="s">
        <v>19</v>
      </c>
      <c r="K56" s="1">
        <v>28277</v>
      </c>
      <c r="L56" t="s">
        <v>417</v>
      </c>
      <c r="M56" t="s">
        <v>418</v>
      </c>
      <c r="N56" t="s">
        <v>6367</v>
      </c>
    </row>
    <row r="57" spans="1:14" x14ac:dyDescent="0.25">
      <c r="A57">
        <v>3285</v>
      </c>
      <c r="B57" t="s">
        <v>175</v>
      </c>
      <c r="C57">
        <v>9682</v>
      </c>
      <c r="D57" t="str" cm="1">
        <f t="array" ref="D57">_xlfn.TEXTJOIN(",",TRUE,_xlfn.XLOOKUP(_xlfn.TEXTSPLIT(C57,",")*1,_xlfn._TRO_TRAILING(Artists!A:A),_xlfn._TRO_TRAILING(Artists!B:B)))</f>
        <v>Daum Frères, Nancy, France</v>
      </c>
      <c r="E57" t="s">
        <v>194</v>
      </c>
      <c r="F57" cm="1">
        <f t="array" ref="F57">_xlfn.REGEXEXTRACT(E57,"\d{4}")*1</f>
        <v>1910</v>
      </c>
      <c r="G57" t="s">
        <v>395</v>
      </c>
      <c r="H57" t="s">
        <v>419</v>
      </c>
      <c r="I57" t="s">
        <v>95</v>
      </c>
      <c r="J57" t="s">
        <v>19</v>
      </c>
      <c r="K57" s="1">
        <v>28277</v>
      </c>
      <c r="L57" t="s">
        <v>420</v>
      </c>
      <c r="M57" t="s">
        <v>421</v>
      </c>
      <c r="N57" t="s">
        <v>6367</v>
      </c>
    </row>
    <row r="58" spans="1:14" x14ac:dyDescent="0.25">
      <c r="A58">
        <v>3287</v>
      </c>
      <c r="B58" t="s">
        <v>175</v>
      </c>
      <c r="C58">
        <v>9682</v>
      </c>
      <c r="D58" t="str" cm="1">
        <f t="array" ref="D58">_xlfn.TEXTJOIN(",",TRUE,_xlfn.XLOOKUP(_xlfn.TEXTSPLIT(C58,",")*1,_xlfn._TRO_TRAILING(Artists!A:A),_xlfn._TRO_TRAILING(Artists!B:B)))</f>
        <v>Daum Frères, Nancy, France</v>
      </c>
      <c r="E58" t="s">
        <v>194</v>
      </c>
      <c r="F58" cm="1">
        <f t="array" ref="F58">_xlfn.REGEXEXTRACT(E58,"\d{4}")*1</f>
        <v>1910</v>
      </c>
      <c r="G58" t="s">
        <v>395</v>
      </c>
      <c r="H58" t="s">
        <v>259</v>
      </c>
      <c r="I58" t="s">
        <v>95</v>
      </c>
      <c r="J58" t="s">
        <v>19</v>
      </c>
      <c r="K58" s="1">
        <v>28277</v>
      </c>
      <c r="L58" t="s">
        <v>422</v>
      </c>
      <c r="M58" t="s">
        <v>423</v>
      </c>
      <c r="N58" t="s">
        <v>6367</v>
      </c>
    </row>
    <row r="59" spans="1:14" x14ac:dyDescent="0.25">
      <c r="A59">
        <v>3289</v>
      </c>
      <c r="B59" t="s">
        <v>175</v>
      </c>
      <c r="C59">
        <v>9682</v>
      </c>
      <c r="D59" t="str" cm="1">
        <f t="array" ref="D59">_xlfn.TEXTJOIN(",",TRUE,_xlfn.XLOOKUP(_xlfn.TEXTSPLIT(C59,",")*1,_xlfn._TRO_TRAILING(Artists!A:A),_xlfn._TRO_TRAILING(Artists!B:B)))</f>
        <v>Daum Frères, Nancy, France</v>
      </c>
      <c r="E59" t="s">
        <v>194</v>
      </c>
      <c r="F59" cm="1">
        <f t="array" ref="F59">_xlfn.REGEXEXTRACT(E59,"\d{4}")*1</f>
        <v>1910</v>
      </c>
      <c r="G59" t="s">
        <v>244</v>
      </c>
      <c r="H59" t="s">
        <v>424</v>
      </c>
      <c r="I59" t="s">
        <v>95</v>
      </c>
      <c r="J59" t="s">
        <v>19</v>
      </c>
      <c r="K59" s="1">
        <v>28277</v>
      </c>
      <c r="L59" t="s">
        <v>425</v>
      </c>
      <c r="M59" t="s">
        <v>426</v>
      </c>
      <c r="N59" t="s">
        <v>6367</v>
      </c>
    </row>
    <row r="60" spans="1:14" x14ac:dyDescent="0.25">
      <c r="A60">
        <v>3291</v>
      </c>
      <c r="B60" t="s">
        <v>175</v>
      </c>
      <c r="C60">
        <v>9682</v>
      </c>
      <c r="D60" t="str" cm="1">
        <f t="array" ref="D60">_xlfn.TEXTJOIN(",",TRUE,_xlfn.XLOOKUP(_xlfn.TEXTSPLIT(C60,",")*1,_xlfn._TRO_TRAILING(Artists!A:A),_xlfn._TRO_TRAILING(Artists!B:B)))</f>
        <v>Daum Frères, Nancy, France</v>
      </c>
      <c r="E60" t="s">
        <v>194</v>
      </c>
      <c r="F60" cm="1">
        <f t="array" ref="F60">_xlfn.REGEXEXTRACT(E60,"\d{4}")*1</f>
        <v>1910</v>
      </c>
      <c r="G60" t="s">
        <v>244</v>
      </c>
      <c r="H60" t="s">
        <v>427</v>
      </c>
      <c r="I60" t="s">
        <v>95</v>
      </c>
      <c r="J60" t="s">
        <v>19</v>
      </c>
      <c r="K60" s="1">
        <v>28277</v>
      </c>
      <c r="L60" t="s">
        <v>428</v>
      </c>
      <c r="M60" t="s">
        <v>429</v>
      </c>
      <c r="N60" t="s">
        <v>6367</v>
      </c>
    </row>
    <row r="61" spans="1:14" x14ac:dyDescent="0.25">
      <c r="A61">
        <v>3293</v>
      </c>
      <c r="B61" t="s">
        <v>175</v>
      </c>
      <c r="C61">
        <v>9682</v>
      </c>
      <c r="D61" t="str" cm="1">
        <f t="array" ref="D61">_xlfn.TEXTJOIN(",",TRUE,_xlfn.XLOOKUP(_xlfn.TEXTSPLIT(C61,",")*1,_xlfn._TRO_TRAILING(Artists!A:A),_xlfn._TRO_TRAILING(Artists!B:B)))</f>
        <v>Daum Frères, Nancy, France</v>
      </c>
      <c r="E61" t="s">
        <v>194</v>
      </c>
      <c r="F61" cm="1">
        <f t="array" ref="F61">_xlfn.REGEXEXTRACT(E61,"\d{4}")*1</f>
        <v>1910</v>
      </c>
      <c r="G61" t="s">
        <v>395</v>
      </c>
      <c r="H61" t="s">
        <v>398</v>
      </c>
      <c r="I61" t="s">
        <v>95</v>
      </c>
      <c r="J61" t="s">
        <v>19</v>
      </c>
      <c r="K61" s="1">
        <v>28277</v>
      </c>
      <c r="L61" t="s">
        <v>430</v>
      </c>
      <c r="M61" t="s">
        <v>431</v>
      </c>
      <c r="N61" t="s">
        <v>6367</v>
      </c>
    </row>
    <row r="62" spans="1:14" x14ac:dyDescent="0.25">
      <c r="A62">
        <v>3429</v>
      </c>
      <c r="B62" t="s">
        <v>439</v>
      </c>
      <c r="C62">
        <v>3207</v>
      </c>
      <c r="D62" t="str" cm="1">
        <f t="array" ref="D62">_xlfn.TEXTJOIN(",",TRUE,_xlfn.XLOOKUP(_xlfn.TEXTSPLIT(C62,",")*1,_xlfn._TRO_TRAILING(Artists!A:A),_xlfn._TRO_TRAILING(Artists!B:B)))</f>
        <v>Makoto Komatsu</v>
      </c>
      <c r="E62">
        <v>1974</v>
      </c>
      <c r="F62" cm="1">
        <f t="array" ref="F62">_xlfn.REGEXEXTRACT(E62,"\d{4}")*1</f>
        <v>1974</v>
      </c>
      <c r="G62" t="s">
        <v>440</v>
      </c>
      <c r="H62" t="s">
        <v>441</v>
      </c>
      <c r="I62" t="s">
        <v>95</v>
      </c>
      <c r="J62" t="s">
        <v>19</v>
      </c>
      <c r="K62" s="1">
        <v>30251</v>
      </c>
      <c r="L62" t="s">
        <v>442</v>
      </c>
      <c r="M62" t="s">
        <v>443</v>
      </c>
      <c r="N62" t="s">
        <v>6362</v>
      </c>
    </row>
    <row r="63" spans="1:14" x14ac:dyDescent="0.25">
      <c r="A63">
        <v>3431</v>
      </c>
      <c r="B63" t="s">
        <v>444</v>
      </c>
      <c r="C63">
        <v>2694</v>
      </c>
      <c r="D63" t="str" cm="1">
        <f t="array" ref="D63">_xlfn.TEXTJOIN(",",TRUE,_xlfn.XLOOKUP(_xlfn.TEXTSPLIT(C63,",")*1,_xlfn._TRO_TRAILING(Artists!A:A),_xlfn._TRO_TRAILING(Artists!B:B)))</f>
        <v>Josef Hoffmann</v>
      </c>
      <c r="E63" t="s">
        <v>210</v>
      </c>
      <c r="F63" cm="1">
        <f t="array" ref="F63">_xlfn.REGEXEXTRACT(E63,"\d{4}")*1</f>
        <v>1905</v>
      </c>
      <c r="G63" t="s">
        <v>445</v>
      </c>
      <c r="H63" t="s">
        <v>446</v>
      </c>
      <c r="I63" t="s">
        <v>95</v>
      </c>
      <c r="J63" t="s">
        <v>19</v>
      </c>
      <c r="K63" s="1">
        <v>34550</v>
      </c>
      <c r="L63" t="s">
        <v>447</v>
      </c>
      <c r="M63" t="s">
        <v>448</v>
      </c>
      <c r="N63" t="s">
        <v>6366</v>
      </c>
    </row>
    <row r="64" spans="1:14" x14ac:dyDescent="0.25">
      <c r="A64">
        <v>3462</v>
      </c>
      <c r="B64" t="s">
        <v>450</v>
      </c>
      <c r="C64">
        <v>4749</v>
      </c>
      <c r="D64" t="str" cm="1">
        <f t="array" ref="D64">_xlfn.TEXTJOIN(",",TRUE,_xlfn.XLOOKUP(_xlfn.TEXTSPLIT(C64,",")*1,_xlfn._TRO_TRAILING(Artists!A:A),_xlfn._TRO_TRAILING(Artists!B:B)))</f>
        <v>Otto Prutscher</v>
      </c>
      <c r="E64" t="s">
        <v>194</v>
      </c>
      <c r="F64" cm="1">
        <f t="array" ref="F64">_xlfn.REGEXEXTRACT(E64,"\d{4}")*1</f>
        <v>1910</v>
      </c>
      <c r="G64" t="s">
        <v>362</v>
      </c>
      <c r="H64" t="s">
        <v>451</v>
      </c>
      <c r="I64" t="s">
        <v>95</v>
      </c>
      <c r="J64" t="s">
        <v>19</v>
      </c>
      <c r="K64" s="1">
        <v>31369</v>
      </c>
      <c r="L64" t="s">
        <v>452</v>
      </c>
      <c r="M64" t="s">
        <v>453</v>
      </c>
      <c r="N64" t="s">
        <v>6366</v>
      </c>
    </row>
    <row r="65" spans="1:14" x14ac:dyDescent="0.25">
      <c r="A65">
        <v>3477</v>
      </c>
      <c r="B65" t="s">
        <v>437</v>
      </c>
      <c r="C65">
        <v>4922</v>
      </c>
      <c r="D65" t="str" cm="1">
        <f t="array" ref="D65">_xlfn.TEXTJOIN(",",TRUE,_xlfn.XLOOKUP(_xlfn.TEXTSPLIT(C65,",")*1,_xlfn._TRO_TRAILING(Artists!A:A),_xlfn._TRO_TRAILING(Artists!B:B)))</f>
        <v>Gerrit Rietveld</v>
      </c>
      <c r="E65">
        <v>1934</v>
      </c>
      <c r="F65" cm="1">
        <f t="array" ref="F65">_xlfn.REGEXEXTRACT(E65,"\d{4}")*1</f>
        <v>1934</v>
      </c>
      <c r="G65" t="s">
        <v>454</v>
      </c>
      <c r="H65" t="s">
        <v>455</v>
      </c>
      <c r="I65" t="s">
        <v>95</v>
      </c>
      <c r="J65" t="s">
        <v>19</v>
      </c>
      <c r="K65" s="1">
        <v>32469</v>
      </c>
      <c r="L65" t="s">
        <v>456</v>
      </c>
      <c r="M65" t="s">
        <v>457</v>
      </c>
      <c r="N65" t="s">
        <v>6362</v>
      </c>
    </row>
    <row r="66" spans="1:14" x14ac:dyDescent="0.25">
      <c r="A66">
        <v>3598</v>
      </c>
      <c r="B66" t="s">
        <v>462</v>
      </c>
      <c r="C66">
        <v>6971</v>
      </c>
      <c r="D66" t="str" cm="1">
        <f t="array" ref="D66">_xlfn.TEXTJOIN(",",TRUE,_xlfn.XLOOKUP(_xlfn.TEXTSPLIT(C66,",")*1,_xlfn._TRO_TRAILING(Artists!A:A),_xlfn._TRO_TRAILING(Artists!B:B)))</f>
        <v>Jacob Jongert</v>
      </c>
      <c r="E66" t="s">
        <v>464</v>
      </c>
      <c r="F66" cm="1">
        <f t="array" ref="F66">_xlfn.REGEXEXTRACT(E66,"\d{4}")*1</f>
        <v>1928</v>
      </c>
      <c r="G66" t="s">
        <v>465</v>
      </c>
      <c r="H66" t="s">
        <v>466</v>
      </c>
      <c r="I66" t="s">
        <v>95</v>
      </c>
      <c r="J66" t="s">
        <v>19</v>
      </c>
      <c r="K66" s="1">
        <v>33898</v>
      </c>
      <c r="L66" t="s">
        <v>467</v>
      </c>
      <c r="M66" t="s">
        <v>468</v>
      </c>
      <c r="N66" t="s">
        <v>6361</v>
      </c>
    </row>
    <row r="67" spans="1:14" x14ac:dyDescent="0.25">
      <c r="A67">
        <v>3753</v>
      </c>
      <c r="B67" t="s">
        <v>94</v>
      </c>
      <c r="C67">
        <v>2694</v>
      </c>
      <c r="D67" t="str" cm="1">
        <f t="array" ref="D67">_xlfn.TEXTJOIN(",",TRUE,_xlfn.XLOOKUP(_xlfn.TEXTSPLIT(C67,",")*1,_xlfn._TRO_TRAILING(Artists!A:A),_xlfn._TRO_TRAILING(Artists!B:B)))</f>
        <v>Josef Hoffmann</v>
      </c>
      <c r="E67" t="s">
        <v>210</v>
      </c>
      <c r="F67" cm="1">
        <f t="array" ref="F67">_xlfn.REGEXEXTRACT(E67,"\d{4}")*1</f>
        <v>1905</v>
      </c>
      <c r="G67" t="s">
        <v>211</v>
      </c>
      <c r="H67" t="s">
        <v>473</v>
      </c>
      <c r="I67" t="s">
        <v>95</v>
      </c>
      <c r="J67" t="s">
        <v>19</v>
      </c>
      <c r="K67" s="1">
        <v>32469</v>
      </c>
      <c r="L67" t="s">
        <v>474</v>
      </c>
      <c r="M67" t="s">
        <v>475</v>
      </c>
      <c r="N67" t="s">
        <v>6366</v>
      </c>
    </row>
    <row r="68" spans="1:14" x14ac:dyDescent="0.25">
      <c r="A68">
        <v>3758</v>
      </c>
      <c r="B68" t="s">
        <v>477</v>
      </c>
      <c r="C68">
        <v>10725</v>
      </c>
      <c r="D68" t="str" cm="1">
        <f t="array" ref="D68">_xlfn.TEXTJOIN(",",TRUE,_xlfn.XLOOKUP(_xlfn.TEXTSPLIT(C68,",")*1,_xlfn._TRO_TRAILING(Artists!A:A),_xlfn._TRO_TRAILING(Artists!B:B)))</f>
        <v>Smart Design, New York</v>
      </c>
      <c r="E68">
        <v>1989</v>
      </c>
      <c r="F68" cm="1">
        <f t="array" ref="F68">_xlfn.REGEXEXTRACT(E68,"\d{4}")*1</f>
        <v>1989</v>
      </c>
      <c r="G68" t="s">
        <v>370</v>
      </c>
      <c r="H68" t="s">
        <v>478</v>
      </c>
      <c r="I68" t="s">
        <v>95</v>
      </c>
      <c r="J68" t="s">
        <v>19</v>
      </c>
      <c r="K68" s="1">
        <v>34598</v>
      </c>
      <c r="L68" t="s">
        <v>479</v>
      </c>
      <c r="M68" t="s">
        <v>480</v>
      </c>
      <c r="N68" t="s">
        <v>6362</v>
      </c>
    </row>
    <row r="69" spans="1:14" x14ac:dyDescent="0.25">
      <c r="A69">
        <v>3872</v>
      </c>
      <c r="B69" t="s">
        <v>94</v>
      </c>
      <c r="C69">
        <v>4119</v>
      </c>
      <c r="D69" t="str" cm="1">
        <f t="array" ref="D69">_xlfn.TEXTJOIN(",",TRUE,_xlfn.XLOOKUP(_xlfn.TEXTSPLIT(C69,",")*1,_xlfn._TRO_TRAILING(Artists!A:A),_xlfn._TRO_TRAILING(Artists!B:B)))</f>
        <v>Koloman Moser</v>
      </c>
      <c r="E69">
        <v>1902</v>
      </c>
      <c r="F69" cm="1">
        <f t="array" ref="F69">_xlfn.REGEXEXTRACT(E69,"\d{4}")*1</f>
        <v>1902</v>
      </c>
      <c r="G69" t="s">
        <v>98</v>
      </c>
      <c r="H69" t="s">
        <v>482</v>
      </c>
      <c r="I69" t="s">
        <v>95</v>
      </c>
      <c r="J69" t="s">
        <v>19</v>
      </c>
      <c r="K69" s="1">
        <v>30453</v>
      </c>
      <c r="L69" t="s">
        <v>483</v>
      </c>
      <c r="M69" t="s">
        <v>484</v>
      </c>
      <c r="N69" t="s">
        <v>6366</v>
      </c>
    </row>
    <row r="70" spans="1:14" x14ac:dyDescent="0.25">
      <c r="A70">
        <v>3915</v>
      </c>
      <c r="B70" t="s">
        <v>389</v>
      </c>
      <c r="C70">
        <v>5565</v>
      </c>
      <c r="D70" t="str" cm="1">
        <f t="array" ref="D70">_xlfn.TEXTJOIN(",",TRUE,_xlfn.XLOOKUP(_xlfn.TEXTSPLIT(C70,",")*1,_xlfn._TRO_TRAILING(Artists!A:A),_xlfn._TRO_TRAILING(Artists!B:B)))</f>
        <v>Alan Spigelman</v>
      </c>
      <c r="E70">
        <v>1980</v>
      </c>
      <c r="F70" cm="1">
        <f t="array" ref="F70">_xlfn.REGEXEXTRACT(E70,"\d{4}")*1</f>
        <v>1980</v>
      </c>
      <c r="G70" t="s">
        <v>487</v>
      </c>
      <c r="H70" t="s">
        <v>488</v>
      </c>
      <c r="I70" t="s">
        <v>95</v>
      </c>
      <c r="J70" t="s">
        <v>19</v>
      </c>
      <c r="K70" s="1">
        <v>30453</v>
      </c>
      <c r="L70" t="s">
        <v>489</v>
      </c>
      <c r="M70" t="s">
        <v>490</v>
      </c>
      <c r="N70" t="s">
        <v>6362</v>
      </c>
    </row>
    <row r="71" spans="1:14" x14ac:dyDescent="0.25">
      <c r="A71">
        <v>3985</v>
      </c>
      <c r="B71" t="s">
        <v>494</v>
      </c>
      <c r="C71">
        <v>2313</v>
      </c>
      <c r="D71" t="str" cm="1">
        <f t="array" ref="D71">_xlfn.TEXTJOIN(",",TRUE,_xlfn.XLOOKUP(_xlfn.TEXTSPLIT(C71,",")*1,_xlfn._TRO_TRAILING(Artists!A:A),_xlfn._TRO_TRAILING(Artists!B:B)))</f>
        <v>Eileen Gray</v>
      </c>
      <c r="E71">
        <v>1922</v>
      </c>
      <c r="F71" cm="1">
        <f t="array" ref="F71">_xlfn.REGEXEXTRACT(E71,"\d{4}")*1</f>
        <v>1922</v>
      </c>
      <c r="G71" t="s">
        <v>496</v>
      </c>
      <c r="H71" t="s">
        <v>497</v>
      </c>
      <c r="I71" t="s">
        <v>95</v>
      </c>
      <c r="J71" t="s">
        <v>19</v>
      </c>
      <c r="K71" s="1">
        <v>28760</v>
      </c>
      <c r="L71" t="s">
        <v>498</v>
      </c>
      <c r="M71" t="s">
        <v>499</v>
      </c>
      <c r="N71" t="s">
        <v>6369</v>
      </c>
    </row>
    <row r="72" spans="1:14" x14ac:dyDescent="0.25">
      <c r="A72">
        <v>4017</v>
      </c>
      <c r="B72" t="s">
        <v>500</v>
      </c>
      <c r="C72">
        <v>5707</v>
      </c>
      <c r="D72" t="str" cm="1">
        <f t="array" ref="D72">_xlfn.TEXTJOIN(",",TRUE,_xlfn.XLOOKUP(_xlfn.TEXTSPLIT(C72,",")*1,_xlfn._TRO_TRAILING(Artists!A:A),_xlfn._TRO_TRAILING(Artists!B:B)))</f>
        <v>Studio Opi</v>
      </c>
      <c r="E72">
        <v>1969</v>
      </c>
      <c r="F72" cm="1">
        <f t="array" ref="F72">_xlfn.REGEXEXTRACT(E72,"\d{4}")*1</f>
        <v>1969</v>
      </c>
      <c r="G72" t="s">
        <v>91</v>
      </c>
      <c r="H72" t="s">
        <v>501</v>
      </c>
      <c r="I72" t="s">
        <v>95</v>
      </c>
      <c r="J72" t="s">
        <v>19</v>
      </c>
      <c r="K72" s="1">
        <v>25877</v>
      </c>
      <c r="L72" t="s">
        <v>502</v>
      </c>
      <c r="M72" t="s">
        <v>503</v>
      </c>
      <c r="N72" t="s">
        <v>6362</v>
      </c>
    </row>
    <row r="73" spans="1:14" x14ac:dyDescent="0.25">
      <c r="A73">
        <v>4023</v>
      </c>
      <c r="B73" t="s">
        <v>200</v>
      </c>
      <c r="C73">
        <v>6210</v>
      </c>
      <c r="D73" t="str" cm="1">
        <f t="array" ref="D73">_xlfn.TEXTJOIN(",",TRUE,_xlfn.XLOOKUP(_xlfn.TEXTSPLIT(C73,",")*1,_xlfn._TRO_TRAILING(Artists!A:A),_xlfn._TRO_TRAILING(Artists!B:B)))</f>
        <v>Otto Wagner</v>
      </c>
      <c r="E73">
        <v>1902</v>
      </c>
      <c r="F73" cm="1">
        <f t="array" ref="F73">_xlfn.REGEXEXTRACT(E73,"\d{4}")*1</f>
        <v>1902</v>
      </c>
      <c r="G73" t="s">
        <v>504</v>
      </c>
      <c r="H73" t="s">
        <v>505</v>
      </c>
      <c r="I73" t="s">
        <v>95</v>
      </c>
      <c r="J73" t="s">
        <v>19</v>
      </c>
      <c r="K73" s="1">
        <v>28760</v>
      </c>
      <c r="L73" t="s">
        <v>506</v>
      </c>
      <c r="M73" t="s">
        <v>507</v>
      </c>
      <c r="N73" t="s">
        <v>6366</v>
      </c>
    </row>
    <row r="74" spans="1:14" x14ac:dyDescent="0.25">
      <c r="A74">
        <v>4026</v>
      </c>
      <c r="B74" t="s">
        <v>226</v>
      </c>
      <c r="C74">
        <v>6210</v>
      </c>
      <c r="D74" t="str" cm="1">
        <f t="array" ref="D74">_xlfn.TEXTJOIN(",",TRUE,_xlfn.XLOOKUP(_xlfn.TEXTSPLIT(C74,",")*1,_xlfn._TRO_TRAILING(Artists!A:A),_xlfn._TRO_TRAILING(Artists!B:B)))</f>
        <v>Otto Wagner</v>
      </c>
      <c r="E74">
        <v>1904</v>
      </c>
      <c r="F74" cm="1">
        <f t="array" ref="F74">_xlfn.REGEXEXTRACT(E74,"\d{4}")*1</f>
        <v>1904</v>
      </c>
      <c r="G74" t="s">
        <v>508</v>
      </c>
      <c r="H74" t="s">
        <v>509</v>
      </c>
      <c r="I74" t="s">
        <v>95</v>
      </c>
      <c r="J74" t="s">
        <v>19</v>
      </c>
      <c r="K74" s="1">
        <v>28760</v>
      </c>
      <c r="L74" t="s">
        <v>510</v>
      </c>
      <c r="M74" t="s">
        <v>511</v>
      </c>
      <c r="N74" t="s">
        <v>6366</v>
      </c>
    </row>
    <row r="75" spans="1:14" x14ac:dyDescent="0.25">
      <c r="A75">
        <v>4044</v>
      </c>
      <c r="B75" t="s">
        <v>512</v>
      </c>
      <c r="C75">
        <v>4922</v>
      </c>
      <c r="D75" t="str" cm="1">
        <f t="array" ref="D75">_xlfn.TEXTJOIN(",",TRUE,_xlfn.XLOOKUP(_xlfn.TEXTSPLIT(C75,",")*1,_xlfn._TRO_TRAILING(Artists!A:A),_xlfn._TRO_TRAILING(Artists!B:B)))</f>
        <v>Gerrit Rietveld</v>
      </c>
      <c r="E75" t="s">
        <v>513</v>
      </c>
      <c r="F75" cm="1">
        <f t="array" ref="F75">_xlfn.REGEXEXTRACT(E75,"\d{4}")*1</f>
        <v>1918</v>
      </c>
      <c r="G75" t="s">
        <v>227</v>
      </c>
      <c r="H75" t="s">
        <v>514</v>
      </c>
      <c r="I75" t="s">
        <v>95</v>
      </c>
      <c r="J75" t="s">
        <v>19</v>
      </c>
      <c r="K75" s="1">
        <v>19667</v>
      </c>
      <c r="L75" t="s">
        <v>515</v>
      </c>
      <c r="M75" t="s">
        <v>516</v>
      </c>
      <c r="N75" t="s">
        <v>6362</v>
      </c>
    </row>
    <row r="76" spans="1:14" x14ac:dyDescent="0.25">
      <c r="A76">
        <v>4110</v>
      </c>
      <c r="B76" t="s">
        <v>438</v>
      </c>
      <c r="C76">
        <v>4749</v>
      </c>
      <c r="D76" t="str" cm="1">
        <f t="array" ref="D76">_xlfn.TEXTJOIN(",",TRUE,_xlfn.XLOOKUP(_xlfn.TEXTSPLIT(C76,",")*1,_xlfn._TRO_TRAILING(Artists!A:A),_xlfn._TRO_TRAILING(Artists!B:B)))</f>
        <v>Otto Prutscher</v>
      </c>
      <c r="E76" t="s">
        <v>210</v>
      </c>
      <c r="F76" cm="1">
        <f t="array" ref="F76">_xlfn.REGEXEXTRACT(E76,"\d{4}")*1</f>
        <v>1905</v>
      </c>
      <c r="G76" t="s">
        <v>517</v>
      </c>
      <c r="H76" t="s">
        <v>518</v>
      </c>
      <c r="I76" t="s">
        <v>95</v>
      </c>
      <c r="J76" t="s">
        <v>19</v>
      </c>
      <c r="K76" s="1">
        <v>29930</v>
      </c>
      <c r="L76" t="s">
        <v>519</v>
      </c>
      <c r="M76" t="s">
        <v>520</v>
      </c>
      <c r="N76" t="s">
        <v>6366</v>
      </c>
    </row>
    <row r="77" spans="1:14" x14ac:dyDescent="0.25">
      <c r="A77">
        <v>4334</v>
      </c>
      <c r="B77" t="s">
        <v>198</v>
      </c>
      <c r="C77">
        <v>2694</v>
      </c>
      <c r="D77" t="str" cm="1">
        <f t="array" ref="D77">_xlfn.TEXTJOIN(",",TRUE,_xlfn.XLOOKUP(_xlfn.TEXTSPLIT(C77,",")*1,_xlfn._TRO_TRAILING(Artists!A:A),_xlfn._TRO_TRAILING(Artists!B:B)))</f>
        <v>Josef Hoffmann</v>
      </c>
      <c r="E77">
        <v>1905</v>
      </c>
      <c r="F77" cm="1">
        <f t="array" ref="F77">_xlfn.REGEXEXTRACT(E77,"\d{4}")*1</f>
        <v>1905</v>
      </c>
      <c r="G77" t="s">
        <v>523</v>
      </c>
      <c r="H77" t="s">
        <v>524</v>
      </c>
      <c r="I77" t="s">
        <v>95</v>
      </c>
      <c r="J77" t="s">
        <v>19</v>
      </c>
      <c r="K77" s="1">
        <v>28457</v>
      </c>
      <c r="L77" t="s">
        <v>525</v>
      </c>
      <c r="M77" t="s">
        <v>526</v>
      </c>
      <c r="N77" t="s">
        <v>6366</v>
      </c>
    </row>
    <row r="78" spans="1:14" x14ac:dyDescent="0.25">
      <c r="A78">
        <v>4339</v>
      </c>
      <c r="B78" t="s">
        <v>527</v>
      </c>
      <c r="C78">
        <v>2313</v>
      </c>
      <c r="D78" t="str" cm="1">
        <f t="array" ref="D78">_xlfn.TEXTJOIN(",",TRUE,_xlfn.XLOOKUP(_xlfn.TEXTSPLIT(C78,",")*1,_xlfn._TRO_TRAILING(Artists!A:A),_xlfn._TRO_TRAILING(Artists!B:B)))</f>
        <v>Eileen Gray</v>
      </c>
      <c r="E78" t="s">
        <v>459</v>
      </c>
      <c r="F78" cm="1">
        <f t="array" ref="F78">_xlfn.REGEXEXTRACT(E78,"\d{4}")*1</f>
        <v>1927</v>
      </c>
      <c r="G78" t="s">
        <v>528</v>
      </c>
      <c r="H78" t="s">
        <v>529</v>
      </c>
      <c r="I78" t="s">
        <v>95</v>
      </c>
      <c r="J78" t="s">
        <v>19</v>
      </c>
      <c r="K78" s="1">
        <v>28457</v>
      </c>
      <c r="L78" t="s">
        <v>530</v>
      </c>
      <c r="M78" t="s">
        <v>531</v>
      </c>
      <c r="N78" t="s">
        <v>6369</v>
      </c>
    </row>
    <row r="79" spans="1:14" x14ac:dyDescent="0.25">
      <c r="A79">
        <v>4369</v>
      </c>
      <c r="B79" t="s">
        <v>532</v>
      </c>
      <c r="C79">
        <v>7166</v>
      </c>
      <c r="D79" t="str" cm="1">
        <f t="array" ref="D79">_xlfn.TEXTJOIN(",",TRUE,_xlfn.XLOOKUP(_xlfn.TEXTSPLIT(C79,",")*1,_xlfn._TRO_TRAILING(Artists!A:A),_xlfn._TRO_TRAILING(Artists!B:B)))</f>
        <v>Ludwig Mies van der Rohe</v>
      </c>
      <c r="E79" t="s">
        <v>533</v>
      </c>
      <c r="F79" cm="1">
        <f t="array" ref="F79">_xlfn.REGEXEXTRACT(E79,"\d{4}")*1</f>
        <v>1929</v>
      </c>
      <c r="G79" t="s">
        <v>534</v>
      </c>
      <c r="H79" t="s">
        <v>535</v>
      </c>
      <c r="I79" t="s">
        <v>95</v>
      </c>
      <c r="J79" t="s">
        <v>19</v>
      </c>
      <c r="K79" s="1">
        <v>19736</v>
      </c>
      <c r="L79" t="s">
        <v>536</v>
      </c>
      <c r="M79" t="s">
        <v>537</v>
      </c>
      <c r="N79" t="s">
        <v>6362</v>
      </c>
    </row>
    <row r="80" spans="1:14" x14ac:dyDescent="0.25">
      <c r="A80">
        <v>4379</v>
      </c>
      <c r="B80" t="s">
        <v>94</v>
      </c>
      <c r="C80">
        <v>9682</v>
      </c>
      <c r="D80" t="str" cm="1">
        <f t="array" ref="D80">_xlfn.TEXTJOIN(",",TRUE,_xlfn.XLOOKUP(_xlfn.TEXTSPLIT(C80,",")*1,_xlfn._TRO_TRAILING(Artists!A:A),_xlfn._TRO_TRAILING(Artists!B:B)))</f>
        <v>Daum Frères, Nancy, France</v>
      </c>
      <c r="E80" t="s">
        <v>173</v>
      </c>
      <c r="F80" cm="1">
        <f t="array" ref="F80">_xlfn.REGEXEXTRACT(E80,"\d{4}")*1</f>
        <v>1900</v>
      </c>
      <c r="G80" t="s">
        <v>244</v>
      </c>
      <c r="H80" t="s">
        <v>538</v>
      </c>
      <c r="I80" t="s">
        <v>95</v>
      </c>
      <c r="J80" t="s">
        <v>19</v>
      </c>
      <c r="K80" s="1">
        <v>21914</v>
      </c>
      <c r="L80" t="s">
        <v>539</v>
      </c>
      <c r="M80" t="s">
        <v>540</v>
      </c>
      <c r="N80" t="s">
        <v>6367</v>
      </c>
    </row>
    <row r="81" spans="1:14" x14ac:dyDescent="0.25">
      <c r="A81">
        <v>4401</v>
      </c>
      <c r="B81" t="s">
        <v>200</v>
      </c>
      <c r="C81">
        <v>159</v>
      </c>
      <c r="D81" t="str" cm="1">
        <f t="array" ref="D81">_xlfn.TEXTJOIN(",",TRUE,_xlfn.XLOOKUP(_xlfn.TEXTSPLIT(C81,",")*1,_xlfn._TRO_TRAILING(Artists!A:A),_xlfn._TRO_TRAILING(Artists!B:B)))</f>
        <v>Gunnar Aagaard Andersen</v>
      </c>
      <c r="E81">
        <v>1964</v>
      </c>
      <c r="F81" cm="1">
        <f t="array" ref="F81">_xlfn.REGEXEXTRACT(E81,"\d{4}")*1</f>
        <v>1964</v>
      </c>
      <c r="G81" t="s">
        <v>542</v>
      </c>
      <c r="H81" t="s">
        <v>543</v>
      </c>
      <c r="I81" t="s">
        <v>95</v>
      </c>
      <c r="J81" t="s">
        <v>19</v>
      </c>
      <c r="K81" s="1">
        <v>24447</v>
      </c>
      <c r="L81" t="s">
        <v>544</v>
      </c>
      <c r="M81" t="s">
        <v>545</v>
      </c>
      <c r="N81" t="s">
        <v>6360</v>
      </c>
    </row>
    <row r="82" spans="1:14" x14ac:dyDescent="0.25">
      <c r="A82">
        <v>4418</v>
      </c>
      <c r="B82" t="s">
        <v>546</v>
      </c>
      <c r="C82">
        <v>7221</v>
      </c>
      <c r="D82" t="str" cm="1">
        <f t="array" ref="D82">_xlfn.TEXTJOIN(",",TRUE,_xlfn.XLOOKUP(_xlfn.TEXTSPLIT(C82,",")*1,_xlfn._TRO_TRAILING(Artists!A:A),_xlfn._TRO_TRAILING(Artists!B:B)))</f>
        <v>Roald Steen Hansen</v>
      </c>
      <c r="E82">
        <v>1974</v>
      </c>
      <c r="F82" cm="1">
        <f t="array" ref="F82">_xlfn.REGEXEXTRACT(E82,"\d{4}")*1</f>
        <v>1974</v>
      </c>
      <c r="G82" t="s">
        <v>548</v>
      </c>
      <c r="H82" t="s">
        <v>549</v>
      </c>
      <c r="I82" t="s">
        <v>95</v>
      </c>
      <c r="J82" t="s">
        <v>19</v>
      </c>
      <c r="K82" s="1">
        <v>30650</v>
      </c>
      <c r="L82" t="s">
        <v>550</v>
      </c>
      <c r="M82" t="s">
        <v>551</v>
      </c>
      <c r="N82" t="s">
        <v>6362</v>
      </c>
    </row>
    <row r="83" spans="1:14" x14ac:dyDescent="0.25">
      <c r="A83">
        <v>4443</v>
      </c>
      <c r="B83" t="s">
        <v>272</v>
      </c>
      <c r="C83">
        <v>6208</v>
      </c>
      <c r="D83" t="str" cm="1">
        <f t="array" ref="D83">_xlfn.TEXTJOIN(",",TRUE,_xlfn.XLOOKUP(_xlfn.TEXTSPLIT(C83,",")*1,_xlfn._TRO_TRAILING(Artists!A:A),_xlfn._TRO_TRAILING(Artists!B:B)))</f>
        <v>Wilhelm Wagenfeld</v>
      </c>
      <c r="E83" t="s">
        <v>46</v>
      </c>
      <c r="F83" cm="1">
        <f t="array" ref="F83">_xlfn.REGEXEXTRACT(E83,"\d{4}")*1</f>
        <v>1952</v>
      </c>
      <c r="G83" t="s">
        <v>552</v>
      </c>
      <c r="H83" t="s">
        <v>553</v>
      </c>
      <c r="I83" t="s">
        <v>95</v>
      </c>
      <c r="J83" t="s">
        <v>19</v>
      </c>
      <c r="K83" s="1">
        <v>30650</v>
      </c>
      <c r="L83" t="s">
        <v>554</v>
      </c>
      <c r="M83" t="s">
        <v>555</v>
      </c>
      <c r="N83" t="s">
        <v>6362</v>
      </c>
    </row>
    <row r="84" spans="1:14" x14ac:dyDescent="0.25">
      <c r="A84">
        <v>4444</v>
      </c>
      <c r="B84" t="s">
        <v>556</v>
      </c>
      <c r="C84" t="s">
        <v>557</v>
      </c>
      <c r="D84" t="str" cm="1">
        <f t="array" ref="D84">_xlfn.TEXTJOIN(",",TRUE,_xlfn.XLOOKUP(_xlfn.TEXTSPLIT(C84,",")*1,_xlfn._TRO_TRAILING(Artists!A:A),_xlfn._TRO_TRAILING(Artists!B:B)))</f>
        <v>Michael S. Zane,Peter L. Zane</v>
      </c>
      <c r="E84">
        <v>1976</v>
      </c>
      <c r="F84" cm="1">
        <f t="array" ref="F84">_xlfn.REGEXEXTRACT(E84,"\d{4}")*1</f>
        <v>1976</v>
      </c>
      <c r="G84" t="s">
        <v>558</v>
      </c>
      <c r="H84" t="s">
        <v>559</v>
      </c>
      <c r="I84" t="s">
        <v>95</v>
      </c>
      <c r="J84" t="s">
        <v>19</v>
      </c>
      <c r="K84" s="1">
        <v>30650</v>
      </c>
      <c r="L84" t="s">
        <v>560</v>
      </c>
      <c r="M84" t="s">
        <v>561</v>
      </c>
      <c r="N84" t="s">
        <v>6362</v>
      </c>
    </row>
    <row r="85" spans="1:14" x14ac:dyDescent="0.25">
      <c r="A85">
        <v>4457</v>
      </c>
      <c r="B85" t="s">
        <v>284</v>
      </c>
      <c r="C85">
        <v>6356</v>
      </c>
      <c r="D85" t="str" cm="1">
        <f t="array" ref="D85">_xlfn.TEXTJOIN(",",TRUE,_xlfn.XLOOKUP(_xlfn.TEXTSPLIT(C85,",")*1,_xlfn._TRO_TRAILING(Artists!A:A),_xlfn._TRO_TRAILING(Artists!B:B)))</f>
        <v>Metall-Arbeit Wiener Werkstätte</v>
      </c>
      <c r="E85" t="s">
        <v>178</v>
      </c>
      <c r="F85" cm="1">
        <f t="array" ref="F85">_xlfn.REGEXEXTRACT(E85,"\d{4}")*1</f>
        <v>1903</v>
      </c>
      <c r="G85" t="s">
        <v>562</v>
      </c>
      <c r="H85" t="s">
        <v>563</v>
      </c>
      <c r="I85" t="s">
        <v>95</v>
      </c>
      <c r="J85" t="s">
        <v>19</v>
      </c>
      <c r="K85" s="1">
        <v>15311</v>
      </c>
      <c r="L85" t="s">
        <v>564</v>
      </c>
      <c r="M85" t="s">
        <v>565</v>
      </c>
      <c r="N85" t="s">
        <v>6366</v>
      </c>
    </row>
    <row r="86" spans="1:14" x14ac:dyDescent="0.25">
      <c r="A86">
        <v>4597</v>
      </c>
      <c r="B86" t="s">
        <v>566</v>
      </c>
      <c r="C86">
        <v>3743</v>
      </c>
      <c r="D86" t="str" cm="1">
        <f t="array" ref="D86">_xlfn.TEXTJOIN(",",TRUE,_xlfn.XLOOKUP(_xlfn.TEXTSPLIT(C86,",")*1,_xlfn._TRO_TRAILING(Artists!A:A),_xlfn._TRO_TRAILING(Artists!B:B)))</f>
        <v>Pio Manzù</v>
      </c>
      <c r="E86">
        <v>1968</v>
      </c>
      <c r="F86" cm="1">
        <f t="array" ref="F86">_xlfn.REGEXEXTRACT(E86,"\d{4}")*1</f>
        <v>1968</v>
      </c>
      <c r="G86" t="s">
        <v>568</v>
      </c>
      <c r="H86" t="s">
        <v>569</v>
      </c>
      <c r="I86" t="s">
        <v>95</v>
      </c>
      <c r="J86" t="s">
        <v>19</v>
      </c>
      <c r="K86" s="1">
        <v>25538</v>
      </c>
      <c r="L86" t="s">
        <v>570</v>
      </c>
      <c r="M86" t="s">
        <v>571</v>
      </c>
      <c r="N86" t="s">
        <v>6362</v>
      </c>
    </row>
    <row r="87" spans="1:14" x14ac:dyDescent="0.25">
      <c r="A87">
        <v>4635</v>
      </c>
      <c r="B87" t="s">
        <v>328</v>
      </c>
      <c r="C87">
        <v>3822</v>
      </c>
      <c r="D87" t="str" cm="1">
        <f t="array" ref="D87">_xlfn.TEXTJOIN(",",TRUE,_xlfn.XLOOKUP(_xlfn.TEXTSPLIT(C87,",")*1,_xlfn._TRO_TRAILING(Artists!A:A),_xlfn._TRO_TRAILING(Artists!B:B)))</f>
        <v>Luigi Massoni</v>
      </c>
      <c r="E87">
        <v>1967</v>
      </c>
      <c r="F87" cm="1">
        <f t="array" ref="F87">_xlfn.REGEXEXTRACT(E87,"\d{4}")*1</f>
        <v>1967</v>
      </c>
      <c r="G87" t="s">
        <v>83</v>
      </c>
      <c r="H87" t="s">
        <v>572</v>
      </c>
      <c r="I87" t="s">
        <v>95</v>
      </c>
      <c r="J87" t="s">
        <v>19</v>
      </c>
      <c r="K87" s="1">
        <v>25118</v>
      </c>
      <c r="L87" t="s">
        <v>573</v>
      </c>
      <c r="M87" t="s">
        <v>574</v>
      </c>
      <c r="N87" t="s">
        <v>6362</v>
      </c>
    </row>
    <row r="88" spans="1:14" x14ac:dyDescent="0.25">
      <c r="A88">
        <v>4729</v>
      </c>
      <c r="B88" t="s">
        <v>177</v>
      </c>
      <c r="C88">
        <v>8435</v>
      </c>
      <c r="D88" t="str" cm="1">
        <f t="array" ref="D88">_xlfn.TEXTJOIN(",",TRUE,_xlfn.XLOOKUP(_xlfn.TEXTSPLIT(C88,",")*1,_xlfn._TRO_TRAILING(Artists!A:A),_xlfn._TRO_TRAILING(Artists!B:B)))</f>
        <v>Gerald Summers</v>
      </c>
      <c r="E88">
        <v>1934</v>
      </c>
      <c r="F88" cm="1">
        <f t="array" ref="F88">_xlfn.REGEXEXTRACT(E88,"\d{4}")*1</f>
        <v>1934</v>
      </c>
      <c r="G88" t="s">
        <v>576</v>
      </c>
      <c r="H88" t="s">
        <v>577</v>
      </c>
      <c r="I88" t="s">
        <v>95</v>
      </c>
      <c r="J88" t="s">
        <v>19</v>
      </c>
      <c r="K88" s="1">
        <v>36871</v>
      </c>
      <c r="L88" t="s">
        <v>578</v>
      </c>
      <c r="M88" t="s">
        <v>579</v>
      </c>
      <c r="N88" t="s">
        <v>6362</v>
      </c>
    </row>
    <row r="89" spans="1:14" x14ac:dyDescent="0.25">
      <c r="A89">
        <v>5376</v>
      </c>
      <c r="B89" t="s">
        <v>603</v>
      </c>
      <c r="C89">
        <v>3585</v>
      </c>
      <c r="D89" t="str" cm="1">
        <f t="array" ref="D89">_xlfn.TEXTJOIN(",",TRUE,_xlfn.XLOOKUP(_xlfn.TEXTSPLIT(C89,",")*1,_xlfn._TRO_TRAILING(Artists!A:A),_xlfn._TRO_TRAILING(Artists!B:B)))</f>
        <v>Berthold Löffler</v>
      </c>
      <c r="E89">
        <v>1908</v>
      </c>
      <c r="F89" cm="1">
        <f t="array" ref="F89">_xlfn.REGEXEXTRACT(E89,"\d{4}")*1</f>
        <v>1908</v>
      </c>
      <c r="G89" t="s">
        <v>32</v>
      </c>
      <c r="H89" t="s">
        <v>605</v>
      </c>
      <c r="I89" t="s">
        <v>95</v>
      </c>
      <c r="J89" t="s">
        <v>19</v>
      </c>
      <c r="K89" s="1">
        <v>32260</v>
      </c>
      <c r="L89" t="s">
        <v>606</v>
      </c>
      <c r="M89" t="s">
        <v>607</v>
      </c>
      <c r="N89" t="s">
        <v>6366</v>
      </c>
    </row>
    <row r="90" spans="1:14" x14ac:dyDescent="0.25">
      <c r="A90">
        <v>5684</v>
      </c>
      <c r="B90" t="s">
        <v>616</v>
      </c>
      <c r="C90">
        <v>3147</v>
      </c>
      <c r="D90" t="str" cm="1">
        <f t="array" ref="D90">_xlfn.TEXTJOIN(",",TRUE,_xlfn.XLOOKUP(_xlfn.TEXTSPLIT(C90,",")*1,_xlfn._TRO_TRAILING(Artists!A:A),_xlfn._TRO_TRAILING(Artists!B:B)))</f>
        <v>Gustav Klimt</v>
      </c>
      <c r="E90">
        <v>1898</v>
      </c>
      <c r="F90" cm="1">
        <f t="array" ref="F90">_xlfn.REGEXEXTRACT(E90,"\d{4}")*1</f>
        <v>1898</v>
      </c>
      <c r="G90" t="s">
        <v>32</v>
      </c>
      <c r="H90" t="s">
        <v>618</v>
      </c>
      <c r="I90" t="s">
        <v>95</v>
      </c>
      <c r="J90" t="s">
        <v>19</v>
      </c>
      <c r="K90" s="1">
        <v>24904</v>
      </c>
      <c r="L90" t="s">
        <v>619</v>
      </c>
      <c r="M90" t="s">
        <v>620</v>
      </c>
      <c r="N90" t="s">
        <v>6366</v>
      </c>
    </row>
    <row r="91" spans="1:14" x14ac:dyDescent="0.25">
      <c r="A91">
        <v>5724</v>
      </c>
      <c r="B91" t="s">
        <v>621</v>
      </c>
      <c r="C91">
        <v>409</v>
      </c>
      <c r="D91" t="str" cm="1">
        <f t="array" ref="D91">_xlfn.TEXTJOIN(",",TRUE,_xlfn.XLOOKUP(_xlfn.TEXTSPLIT(C91,",")*1,_xlfn._TRO_TRAILING(Artists!A:A),_xlfn._TRO_TRAILING(Artists!B:B)))</f>
        <v>Lester Beall</v>
      </c>
      <c r="E91">
        <v>1937</v>
      </c>
      <c r="F91" cm="1">
        <f t="array" ref="F91">_xlfn.REGEXEXTRACT(E91,"\d{4}")*1</f>
        <v>1937</v>
      </c>
      <c r="G91" t="s">
        <v>26</v>
      </c>
      <c r="H91" t="s">
        <v>622</v>
      </c>
      <c r="I91" t="s">
        <v>95</v>
      </c>
      <c r="J91" t="s">
        <v>19</v>
      </c>
      <c r="K91" s="1">
        <v>13696</v>
      </c>
      <c r="L91" t="s">
        <v>623</v>
      </c>
      <c r="M91" t="s">
        <v>624</v>
      </c>
      <c r="N91" t="s">
        <v>6370</v>
      </c>
    </row>
    <row r="92" spans="1:14" x14ac:dyDescent="0.25">
      <c r="A92">
        <v>5745</v>
      </c>
      <c r="B92" t="s">
        <v>625</v>
      </c>
      <c r="C92">
        <v>409</v>
      </c>
      <c r="D92" t="str" cm="1">
        <f t="array" ref="D92">_xlfn.TEXTJOIN(",",TRUE,_xlfn.XLOOKUP(_xlfn.TEXTSPLIT(C92,",")*1,_xlfn._TRO_TRAILING(Artists!A:A),_xlfn._TRO_TRAILING(Artists!B:B)))</f>
        <v>Lester Beall</v>
      </c>
      <c r="E92">
        <v>1937</v>
      </c>
      <c r="F92" cm="1">
        <f t="array" ref="F92">_xlfn.REGEXEXTRACT(E92,"\d{4}")*1</f>
        <v>1937</v>
      </c>
      <c r="G92" t="s">
        <v>26</v>
      </c>
      <c r="H92" t="s">
        <v>39</v>
      </c>
      <c r="I92" t="s">
        <v>95</v>
      </c>
      <c r="J92" t="s">
        <v>19</v>
      </c>
      <c r="K92" s="1">
        <v>13696</v>
      </c>
      <c r="L92" t="s">
        <v>626</v>
      </c>
      <c r="M92" t="s">
        <v>627</v>
      </c>
      <c r="N92" t="s">
        <v>6370</v>
      </c>
    </row>
    <row r="93" spans="1:14" x14ac:dyDescent="0.25">
      <c r="A93">
        <v>6706</v>
      </c>
      <c r="B93" t="s">
        <v>643</v>
      </c>
      <c r="C93">
        <v>3020</v>
      </c>
      <c r="D93" t="str" cm="1">
        <f t="array" ref="D93">_xlfn.TEXTJOIN(",",TRUE,_xlfn.XLOOKUP(_xlfn.TEXTSPLIT(C93,",")*1,_xlfn._TRO_TRAILING(Artists!A:A),_xlfn._TRO_TRAILING(Artists!B:B)))</f>
        <v>E. McKnight Kauffer</v>
      </c>
      <c r="E93">
        <v>1934</v>
      </c>
      <c r="F93" cm="1">
        <f t="array" ref="F93">_xlfn.REGEXEXTRACT(E93,"\d{4}")*1</f>
        <v>1934</v>
      </c>
      <c r="G93" t="s">
        <v>32</v>
      </c>
      <c r="H93" t="s">
        <v>644</v>
      </c>
      <c r="I93" t="s">
        <v>95</v>
      </c>
      <c r="J93" t="s">
        <v>19</v>
      </c>
      <c r="K93" s="1">
        <v>14387</v>
      </c>
      <c r="L93" t="s">
        <v>645</v>
      </c>
      <c r="M93" t="s">
        <v>646</v>
      </c>
      <c r="N93" t="s">
        <v>6370</v>
      </c>
    </row>
    <row r="94" spans="1:14" x14ac:dyDescent="0.25">
      <c r="A94">
        <v>7306</v>
      </c>
      <c r="B94" t="s">
        <v>654</v>
      </c>
      <c r="C94">
        <v>2507</v>
      </c>
      <c r="D94" t="str" cm="1">
        <f t="array" ref="D94">_xlfn.TEXTJOIN(",",TRUE,_xlfn.XLOOKUP(_xlfn.TEXTSPLIT(C94,",")*1,_xlfn._TRO_TRAILING(Artists!A:A),_xlfn._TRO_TRAILING(Artists!B:B)))</f>
        <v>Richard Harlfinger</v>
      </c>
      <c r="E94">
        <v>1912</v>
      </c>
      <c r="F94" cm="1">
        <f t="array" ref="F94">_xlfn.REGEXEXTRACT(E94,"\d{4}")*1</f>
        <v>1912</v>
      </c>
      <c r="G94" t="s">
        <v>32</v>
      </c>
      <c r="H94" t="s">
        <v>656</v>
      </c>
      <c r="I94" t="s">
        <v>95</v>
      </c>
      <c r="J94" t="s">
        <v>19</v>
      </c>
      <c r="K94" s="1">
        <v>30453</v>
      </c>
      <c r="L94" t="s">
        <v>657</v>
      </c>
      <c r="M94" t="s">
        <v>658</v>
      </c>
      <c r="N94" t="s">
        <v>6366</v>
      </c>
    </row>
    <row r="95" spans="1:14" x14ac:dyDescent="0.25">
      <c r="A95">
        <v>10808</v>
      </c>
      <c r="B95" t="s">
        <v>707</v>
      </c>
      <c r="C95">
        <v>2229</v>
      </c>
      <c r="D95" t="str" cm="1">
        <f t="array" ref="D95">_xlfn.TEXTJOIN(",",TRUE,_xlfn.XLOOKUP(_xlfn.TEXTSPLIT(C95,",")*1,_xlfn._TRO_TRAILING(Artists!A:A),_xlfn._TRO_TRAILING(Artists!B:B)))</f>
        <v>Natalia Goncharova</v>
      </c>
      <c r="E95">
        <v>1913</v>
      </c>
      <c r="F95" cm="1">
        <f t="array" ref="F95">_xlfn.REGEXEXTRACT(E95,"\d{4}")*1</f>
        <v>1913</v>
      </c>
      <c r="G95" t="s">
        <v>706</v>
      </c>
      <c r="H95" t="s">
        <v>708</v>
      </c>
      <c r="I95" t="s">
        <v>673</v>
      </c>
      <c r="J95" t="s">
        <v>674</v>
      </c>
      <c r="K95" s="1">
        <v>28166</v>
      </c>
      <c r="L95" t="s">
        <v>709</v>
      </c>
      <c r="M95" t="s">
        <v>710</v>
      </c>
      <c r="N95" t="s">
        <v>6371</v>
      </c>
    </row>
    <row r="96" spans="1:14" x14ac:dyDescent="0.25">
      <c r="A96">
        <v>26720</v>
      </c>
      <c r="B96" t="s">
        <v>772</v>
      </c>
      <c r="C96">
        <v>3197</v>
      </c>
      <c r="D96" t="str" cm="1">
        <f t="array" ref="D96">_xlfn.TEXTJOIN(",",TRUE,_xlfn.XLOOKUP(_xlfn.TEXTSPLIT(C96,",")*1,_xlfn._TRO_TRAILING(Artists!A:A),_xlfn._TRO_TRAILING(Artists!B:B)))</f>
        <v>Oskar Kokoschka</v>
      </c>
      <c r="E96" t="s">
        <v>773</v>
      </c>
      <c r="F96" cm="1">
        <f t="array" ref="F96">_xlfn.REGEXEXTRACT(E96,"\d{4}")*1</f>
        <v>1917</v>
      </c>
      <c r="G96" t="s">
        <v>774</v>
      </c>
      <c r="H96" t="s">
        <v>775</v>
      </c>
      <c r="I96" t="s">
        <v>673</v>
      </c>
      <c r="J96" t="s">
        <v>674</v>
      </c>
      <c r="K96" s="1">
        <v>23656</v>
      </c>
      <c r="L96" t="s">
        <v>776</v>
      </c>
      <c r="M96" t="s">
        <v>777</v>
      </c>
      <c r="N96" t="s">
        <v>6366</v>
      </c>
    </row>
    <row r="97" spans="1:14" x14ac:dyDescent="0.25">
      <c r="A97">
        <v>26721</v>
      </c>
      <c r="B97" t="s">
        <v>778</v>
      </c>
      <c r="C97">
        <v>3197</v>
      </c>
      <c r="D97" t="str" cm="1">
        <f t="array" ref="D97">_xlfn.TEXTJOIN(",",TRUE,_xlfn.XLOOKUP(_xlfn.TEXTSPLIT(C97,",")*1,_xlfn._TRO_TRAILING(Artists!A:A),_xlfn._TRO_TRAILING(Artists!B:B)))</f>
        <v>Oskar Kokoschka</v>
      </c>
      <c r="E97" t="s">
        <v>779</v>
      </c>
      <c r="F97" cm="1">
        <f t="array" ref="F97">_xlfn.REGEXEXTRACT(E97,"\d{4}")*1</f>
        <v>1917</v>
      </c>
      <c r="G97" t="s">
        <v>780</v>
      </c>
      <c r="H97" t="s">
        <v>781</v>
      </c>
      <c r="I97" t="s">
        <v>673</v>
      </c>
      <c r="J97" t="s">
        <v>674</v>
      </c>
      <c r="K97" s="1">
        <v>23656</v>
      </c>
      <c r="L97" t="s">
        <v>782</v>
      </c>
      <c r="M97" t="s">
        <v>783</v>
      </c>
      <c r="N97" t="s">
        <v>6366</v>
      </c>
    </row>
    <row r="98" spans="1:14" x14ac:dyDescent="0.25">
      <c r="A98">
        <v>26722</v>
      </c>
      <c r="B98" t="s">
        <v>784</v>
      </c>
      <c r="C98">
        <v>3197</v>
      </c>
      <c r="D98" t="str" cm="1">
        <f t="array" ref="D98">_xlfn.TEXTJOIN(",",TRUE,_xlfn.XLOOKUP(_xlfn.TEXTSPLIT(C98,",")*1,_xlfn._TRO_TRAILING(Artists!A:A),_xlfn._TRO_TRAILING(Artists!B:B)))</f>
        <v>Oskar Kokoschka</v>
      </c>
      <c r="E98" t="s">
        <v>773</v>
      </c>
      <c r="F98" cm="1">
        <f t="array" ref="F98">_xlfn.REGEXEXTRACT(E98,"\d{4}")*1</f>
        <v>1917</v>
      </c>
      <c r="G98" t="s">
        <v>774</v>
      </c>
      <c r="H98" t="s">
        <v>785</v>
      </c>
      <c r="I98" t="s">
        <v>673</v>
      </c>
      <c r="J98" t="s">
        <v>674</v>
      </c>
      <c r="K98" s="1">
        <v>23656</v>
      </c>
      <c r="L98" t="s">
        <v>786</v>
      </c>
      <c r="M98" t="s">
        <v>787</v>
      </c>
      <c r="N98" t="s">
        <v>6366</v>
      </c>
    </row>
    <row r="99" spans="1:14" x14ac:dyDescent="0.25">
      <c r="A99">
        <v>27170</v>
      </c>
      <c r="B99" t="s">
        <v>790</v>
      </c>
      <c r="C99">
        <v>3426</v>
      </c>
      <c r="D99" t="str" cm="1">
        <f t="array" ref="D99">_xlfn.TEXTJOIN(",",TRUE,_xlfn.XLOOKUP(_xlfn.TEXTSPLIT(C99,",")*1,_xlfn._TRO_TRAILING(Artists!A:A),_xlfn._TRO_TRAILING(Artists!B:B)))</f>
        <v>Le Corbusier (Charles-Édouard Jeanneret)</v>
      </c>
      <c r="E99" t="s">
        <v>788</v>
      </c>
      <c r="F99" cm="1">
        <f t="array" ref="F99">_xlfn.REGEXEXTRACT(E99,"\d{4}")*1</f>
        <v>1947</v>
      </c>
      <c r="G99" t="s">
        <v>789</v>
      </c>
      <c r="H99" t="s">
        <v>791</v>
      </c>
      <c r="I99" t="s">
        <v>673</v>
      </c>
      <c r="J99" t="s">
        <v>674</v>
      </c>
      <c r="K99" s="1">
        <v>23656</v>
      </c>
      <c r="L99" t="s">
        <v>792</v>
      </c>
      <c r="M99" t="s">
        <v>793</v>
      </c>
      <c r="N99" t="s">
        <v>6360</v>
      </c>
    </row>
    <row r="100" spans="1:14" x14ac:dyDescent="0.25">
      <c r="A100">
        <v>28449</v>
      </c>
      <c r="B100" t="s">
        <v>661</v>
      </c>
      <c r="C100">
        <v>3832</v>
      </c>
      <c r="D100" t="str" cm="1">
        <f t="array" ref="D100">_xlfn.TEXTJOIN(",",TRUE,_xlfn.XLOOKUP(_xlfn.TEXTSPLIT(C100,",")*1,_xlfn._TRO_TRAILING(Artists!A:A),_xlfn._TRO_TRAILING(Artists!B:B)))</f>
        <v>Henri Matisse</v>
      </c>
      <c r="E100" t="s">
        <v>794</v>
      </c>
      <c r="F100" cm="1">
        <f t="array" ref="F100">_xlfn.REGEXEXTRACT(E100,"\d{4}")*1</f>
        <v>1943</v>
      </c>
      <c r="G100" t="s">
        <v>795</v>
      </c>
      <c r="H100" t="s">
        <v>796</v>
      </c>
      <c r="I100" t="s">
        <v>673</v>
      </c>
      <c r="J100" t="s">
        <v>674</v>
      </c>
      <c r="K100" s="1">
        <v>23656</v>
      </c>
      <c r="L100" t="s">
        <v>797</v>
      </c>
      <c r="M100" t="s">
        <v>798</v>
      </c>
      <c r="N100" t="s">
        <v>6372</v>
      </c>
    </row>
    <row r="101" spans="1:14" x14ac:dyDescent="0.25">
      <c r="A101">
        <v>32973</v>
      </c>
      <c r="B101" t="s">
        <v>814</v>
      </c>
      <c r="C101">
        <v>1053</v>
      </c>
      <c r="D101" t="str" cm="1">
        <f t="array" ref="D101">_xlfn.TEXTJOIN(",",TRUE,_xlfn.XLOOKUP(_xlfn.TEXTSPLIT(C101,",")*1,_xlfn._TRO_TRAILING(Artists!A:A),_xlfn._TRO_TRAILING(Artists!B:B)))</f>
        <v>Paul Cézanne</v>
      </c>
      <c r="E101" t="s">
        <v>815</v>
      </c>
      <c r="F101" cm="1">
        <f t="array" ref="F101">_xlfn.REGEXEXTRACT(E101,"\d{4}")*1</f>
        <v>1885</v>
      </c>
      <c r="G101" t="s">
        <v>458</v>
      </c>
      <c r="H101" t="s">
        <v>816</v>
      </c>
      <c r="I101" t="s">
        <v>675</v>
      </c>
      <c r="J101" t="s">
        <v>674</v>
      </c>
      <c r="K101" s="1">
        <v>12685</v>
      </c>
      <c r="L101" t="s">
        <v>817</v>
      </c>
      <c r="M101" t="s">
        <v>818</v>
      </c>
      <c r="N101" t="s">
        <v>6373</v>
      </c>
    </row>
    <row r="102" spans="1:14" x14ac:dyDescent="0.25">
      <c r="A102">
        <v>33075</v>
      </c>
      <c r="B102" t="s">
        <v>824</v>
      </c>
      <c r="C102">
        <v>1053</v>
      </c>
      <c r="D102" t="str" cm="1">
        <f t="array" ref="D102">_xlfn.TEXTJOIN(",",TRUE,_xlfn.XLOOKUP(_xlfn.TEXTSPLIT(C102,",")*1,_xlfn._TRO_TRAILING(Artists!A:A),_xlfn._TRO_TRAILING(Artists!B:B)))</f>
        <v>Paul Cézanne</v>
      </c>
      <c r="E102">
        <v>1895</v>
      </c>
      <c r="F102" cm="1">
        <f t="array" ref="F102">_xlfn.REGEXEXTRACT(E102,"\d{4}")*1</f>
        <v>1895</v>
      </c>
      <c r="G102" t="s">
        <v>825</v>
      </c>
      <c r="H102" t="s">
        <v>826</v>
      </c>
      <c r="I102" t="s">
        <v>675</v>
      </c>
      <c r="J102" t="s">
        <v>674</v>
      </c>
      <c r="K102" s="1">
        <v>12685</v>
      </c>
      <c r="L102" t="s">
        <v>827</v>
      </c>
      <c r="M102" t="s">
        <v>828</v>
      </c>
      <c r="N102" t="s">
        <v>6373</v>
      </c>
    </row>
    <row r="103" spans="1:14" x14ac:dyDescent="0.25">
      <c r="A103">
        <v>33169</v>
      </c>
      <c r="B103" t="s">
        <v>835</v>
      </c>
      <c r="C103">
        <v>4609</v>
      </c>
      <c r="D103" t="str" cm="1">
        <f t="array" ref="D103">_xlfn.TEXTJOIN(",",TRUE,_xlfn.XLOOKUP(_xlfn.TEXTSPLIT(C103,",")*1,_xlfn._TRO_TRAILING(Artists!A:A),_xlfn._TRO_TRAILING(Artists!B:B)))</f>
        <v>Pablo Picasso</v>
      </c>
      <c r="E103">
        <v>1907</v>
      </c>
      <c r="F103" cm="1">
        <f t="array" ref="F103">_xlfn.REGEXEXTRACT(E103,"\d{4}")*1</f>
        <v>1907</v>
      </c>
      <c r="G103" t="s">
        <v>836</v>
      </c>
      <c r="H103" t="s">
        <v>837</v>
      </c>
      <c r="I103" t="s">
        <v>675</v>
      </c>
      <c r="J103" t="s">
        <v>674</v>
      </c>
      <c r="K103" s="1">
        <v>19015</v>
      </c>
      <c r="L103" t="s">
        <v>838</v>
      </c>
      <c r="M103" t="s">
        <v>839</v>
      </c>
      <c r="N103" t="s">
        <v>6374</v>
      </c>
    </row>
    <row r="104" spans="1:14" x14ac:dyDescent="0.25">
      <c r="A104">
        <v>33200</v>
      </c>
      <c r="B104" t="s">
        <v>841</v>
      </c>
      <c r="C104">
        <v>3770</v>
      </c>
      <c r="D104" t="str" cm="1">
        <f t="array" ref="D104">_xlfn.TEXTJOIN(",",TRUE,_xlfn.XLOOKUP(_xlfn.TEXTSPLIT(C104,",")*1,_xlfn._TRO_TRAILING(Artists!A:A),_xlfn._TRO_TRAILING(Artists!B:B)))</f>
        <v>John Marin</v>
      </c>
      <c r="E104">
        <v>1922</v>
      </c>
      <c r="F104" cm="1">
        <f t="array" ref="F104">_xlfn.REGEXEXTRACT(E104,"\d{4}")*1</f>
        <v>1922</v>
      </c>
      <c r="G104" t="s">
        <v>49</v>
      </c>
      <c r="H104" t="s">
        <v>843</v>
      </c>
      <c r="I104" t="s">
        <v>675</v>
      </c>
      <c r="J104" t="s">
        <v>674</v>
      </c>
      <c r="K104" s="1">
        <v>13163</v>
      </c>
      <c r="L104" t="s">
        <v>844</v>
      </c>
      <c r="M104" t="s">
        <v>845</v>
      </c>
      <c r="N104" t="s">
        <v>6375</v>
      </c>
    </row>
    <row r="105" spans="1:14" x14ac:dyDescent="0.25">
      <c r="A105">
        <v>33280</v>
      </c>
      <c r="B105" t="s">
        <v>851</v>
      </c>
      <c r="C105">
        <v>1053</v>
      </c>
      <c r="D105" t="str" cm="1">
        <f t="array" ref="D105">_xlfn.TEXTJOIN(",",TRUE,_xlfn.XLOOKUP(_xlfn.TEXTSPLIT(C105,",")*1,_xlfn._TRO_TRAILING(Artists!A:A),_xlfn._TRO_TRAILING(Artists!B:B)))</f>
        <v>Paul Cézanne</v>
      </c>
      <c r="E105" t="s">
        <v>852</v>
      </c>
      <c r="F105" cm="1">
        <f t="array" ref="F105">_xlfn.REGEXEXTRACT(E105,"\d{4}")*1</f>
        <v>1895</v>
      </c>
      <c r="G105" t="s">
        <v>458</v>
      </c>
      <c r="H105" t="s">
        <v>853</v>
      </c>
      <c r="I105" t="s">
        <v>675</v>
      </c>
      <c r="J105" t="s">
        <v>674</v>
      </c>
      <c r="K105" s="1">
        <v>12685</v>
      </c>
      <c r="L105" t="s">
        <v>854</v>
      </c>
      <c r="M105" t="s">
        <v>855</v>
      </c>
      <c r="N105" t="s">
        <v>6373</v>
      </c>
    </row>
    <row r="106" spans="1:14" x14ac:dyDescent="0.25">
      <c r="A106">
        <v>33489</v>
      </c>
      <c r="B106" t="s">
        <v>866</v>
      </c>
      <c r="C106">
        <v>870</v>
      </c>
      <c r="D106" t="str" cm="1">
        <f t="array" ref="D106">_xlfn.TEXTJOIN(",",TRUE,_xlfn.XLOOKUP(_xlfn.TEXTSPLIT(C106,",")*1,_xlfn._TRO_TRAILING(Artists!A:A),_xlfn._TRO_TRAILING(Artists!B:B)))</f>
        <v>Charles Burchfield</v>
      </c>
      <c r="E106">
        <v>1916</v>
      </c>
      <c r="F106" cm="1">
        <f t="array" ref="F106">_xlfn.REGEXEXTRACT(E106,"\d{4}")*1</f>
        <v>1916</v>
      </c>
      <c r="G106" t="s">
        <v>458</v>
      </c>
      <c r="H106" t="s">
        <v>867</v>
      </c>
      <c r="I106" t="s">
        <v>675</v>
      </c>
      <c r="J106" t="s">
        <v>674</v>
      </c>
      <c r="K106" s="1">
        <v>12948</v>
      </c>
      <c r="L106" t="s">
        <v>868</v>
      </c>
      <c r="M106" t="s">
        <v>869</v>
      </c>
      <c r="N106" t="s">
        <v>6375</v>
      </c>
    </row>
    <row r="107" spans="1:14" x14ac:dyDescent="0.25">
      <c r="A107">
        <v>33520</v>
      </c>
      <c r="B107" t="s">
        <v>51</v>
      </c>
      <c r="C107">
        <v>7524</v>
      </c>
      <c r="D107" t="str" cm="1">
        <f t="array" ref="D107">_xlfn.TEXTJOIN(",",TRUE,_xlfn.XLOOKUP(_xlfn.TEXTSPLIT(C107,",")*1,_xlfn._TRO_TRAILING(Artists!A:A),_xlfn._TRO_TRAILING(Artists!B:B)))</f>
        <v>Minnie Evans</v>
      </c>
      <c r="E107" t="s">
        <v>153</v>
      </c>
      <c r="F107" cm="1">
        <f t="array" ref="F107">_xlfn.REGEXEXTRACT(E107,"\d{4}")*1</f>
        <v>1944</v>
      </c>
      <c r="G107" t="s">
        <v>846</v>
      </c>
      <c r="H107" t="s">
        <v>872</v>
      </c>
      <c r="I107" t="s">
        <v>675</v>
      </c>
      <c r="J107" t="s">
        <v>674</v>
      </c>
      <c r="K107" s="1">
        <v>35356</v>
      </c>
      <c r="L107" t="s">
        <v>873</v>
      </c>
      <c r="M107" t="s">
        <v>874</v>
      </c>
      <c r="N107" t="s">
        <v>6376</v>
      </c>
    </row>
    <row r="108" spans="1:14" x14ac:dyDescent="0.25">
      <c r="A108">
        <v>33633</v>
      </c>
      <c r="B108" t="s">
        <v>881</v>
      </c>
      <c r="C108">
        <v>3147</v>
      </c>
      <c r="D108" t="str" cm="1">
        <f t="array" ref="D108">_xlfn.TEXTJOIN(",",TRUE,_xlfn.XLOOKUP(_xlfn.TEXTSPLIT(C108,",")*1,_xlfn._TRO_TRAILING(Artists!A:A),_xlfn._TRO_TRAILING(Artists!B:B)))</f>
        <v>Gustav Klimt</v>
      </c>
      <c r="E108" t="s">
        <v>485</v>
      </c>
      <c r="F108" cm="1">
        <f t="array" ref="F108">_xlfn.REGEXEXTRACT(E108,"\d{4}")*1</f>
        <v>1917</v>
      </c>
      <c r="G108" t="s">
        <v>61</v>
      </c>
      <c r="H108" t="s">
        <v>882</v>
      </c>
      <c r="I108" t="s">
        <v>675</v>
      </c>
      <c r="J108" t="s">
        <v>674</v>
      </c>
      <c r="K108" s="1">
        <v>22319</v>
      </c>
      <c r="L108" t="s">
        <v>883</v>
      </c>
      <c r="M108" t="s">
        <v>884</v>
      </c>
      <c r="N108" t="s">
        <v>6366</v>
      </c>
    </row>
    <row r="109" spans="1:14" x14ac:dyDescent="0.25">
      <c r="A109">
        <v>33695</v>
      </c>
      <c r="B109" t="s">
        <v>886</v>
      </c>
      <c r="C109">
        <v>3408</v>
      </c>
      <c r="D109" t="str" cm="1">
        <f t="array" ref="D109">_xlfn.TEXTJOIN(",",TRUE,_xlfn.XLOOKUP(_xlfn.TEXTSPLIT(C109,",")*1,_xlfn._TRO_TRAILING(Artists!A:A),_xlfn._TRO_TRAILING(Artists!B:B)))</f>
        <v>Marie Laurencin</v>
      </c>
      <c r="E109" t="s">
        <v>887</v>
      </c>
      <c r="F109" cm="1">
        <f t="array" ref="F109">_xlfn.REGEXEXTRACT(E109,"\d{4}")*1</f>
        <v>1916</v>
      </c>
      <c r="G109" t="s">
        <v>888</v>
      </c>
      <c r="H109" t="s">
        <v>889</v>
      </c>
      <c r="I109" t="s">
        <v>675</v>
      </c>
      <c r="J109" t="s">
        <v>674</v>
      </c>
      <c r="K109" s="1">
        <v>12685</v>
      </c>
      <c r="L109" t="s">
        <v>890</v>
      </c>
      <c r="M109" t="s">
        <v>891</v>
      </c>
      <c r="N109" t="s">
        <v>6373</v>
      </c>
    </row>
    <row r="110" spans="1:14" x14ac:dyDescent="0.25">
      <c r="A110">
        <v>33706</v>
      </c>
      <c r="B110" t="s">
        <v>892</v>
      </c>
      <c r="C110">
        <v>4609</v>
      </c>
      <c r="D110" t="str" cm="1">
        <f t="array" ref="D110">_xlfn.TEXTJOIN(",",TRUE,_xlfn.XLOOKUP(_xlfn.TEXTSPLIT(C110,",")*1,_xlfn._TRO_TRAILING(Artists!A:A),_xlfn._TRO_TRAILING(Artists!B:B)))</f>
        <v>Pablo Picasso</v>
      </c>
      <c r="E110">
        <v>1938</v>
      </c>
      <c r="F110" cm="1">
        <f t="array" ref="F110">_xlfn.REGEXEXTRACT(E110,"\d{4}")*1</f>
        <v>1938</v>
      </c>
      <c r="G110" t="s">
        <v>44</v>
      </c>
      <c r="H110" t="s">
        <v>893</v>
      </c>
      <c r="I110" t="s">
        <v>675</v>
      </c>
      <c r="J110" t="s">
        <v>674</v>
      </c>
      <c r="K110" s="1">
        <v>33336</v>
      </c>
      <c r="L110" t="s">
        <v>894</v>
      </c>
      <c r="M110" t="s">
        <v>895</v>
      </c>
      <c r="N110" t="s">
        <v>6377</v>
      </c>
    </row>
    <row r="111" spans="1:14" x14ac:dyDescent="0.25">
      <c r="A111">
        <v>33945</v>
      </c>
      <c r="B111" t="s">
        <v>906</v>
      </c>
      <c r="C111">
        <v>2675</v>
      </c>
      <c r="D111" t="str" cm="1">
        <f t="array" ref="D111">_xlfn.TEXTJOIN(",",TRUE,_xlfn.XLOOKUP(_xlfn.TEXTSPLIT(C111,",")*1,_xlfn._TRO_TRAILING(Artists!A:A),_xlfn._TRO_TRAILING(Artists!B:B)))</f>
        <v>Hannah Höch</v>
      </c>
      <c r="E111">
        <v>1921</v>
      </c>
      <c r="F111" cm="1">
        <f t="array" ref="F111">_xlfn.REGEXEXTRACT(E111,"\d{4}")*1</f>
        <v>1921</v>
      </c>
      <c r="G111" t="s">
        <v>865</v>
      </c>
      <c r="H111" t="s">
        <v>907</v>
      </c>
      <c r="I111" t="s">
        <v>675</v>
      </c>
      <c r="J111" t="s">
        <v>674</v>
      </c>
      <c r="K111" s="1">
        <v>28584</v>
      </c>
      <c r="L111" t="s">
        <v>908</v>
      </c>
      <c r="M111" t="s">
        <v>909</v>
      </c>
      <c r="N111" t="s">
        <v>6376</v>
      </c>
    </row>
    <row r="112" spans="1:14" x14ac:dyDescent="0.25">
      <c r="A112">
        <v>34006</v>
      </c>
      <c r="B112" t="s">
        <v>51</v>
      </c>
      <c r="C112">
        <v>3787</v>
      </c>
      <c r="D112" t="str" cm="1">
        <f t="array" ref="D112">_xlfn.TEXTJOIN(",",TRUE,_xlfn.XLOOKUP(_xlfn.TEXTSPLIT(C112,",")*1,_xlfn._TRO_TRAILING(Artists!A:A),_xlfn._TRO_TRAILING(Artists!B:B)))</f>
        <v>Agnes Martin</v>
      </c>
      <c r="E112">
        <v>1960</v>
      </c>
      <c r="F112" cm="1">
        <f t="array" ref="F112">_xlfn.REGEXEXTRACT(E112,"\d{4}")*1</f>
        <v>1960</v>
      </c>
      <c r="G112" t="s">
        <v>23</v>
      </c>
      <c r="H112" t="s">
        <v>912</v>
      </c>
      <c r="I112" t="s">
        <v>675</v>
      </c>
      <c r="J112" t="s">
        <v>674</v>
      </c>
      <c r="K112" s="1">
        <v>28982</v>
      </c>
      <c r="L112" t="s">
        <v>913</v>
      </c>
      <c r="M112" t="s">
        <v>914</v>
      </c>
      <c r="N112" t="s">
        <v>6363</v>
      </c>
    </row>
    <row r="113" spans="1:14" x14ac:dyDescent="0.25">
      <c r="A113">
        <v>34050</v>
      </c>
      <c r="B113" t="s">
        <v>918</v>
      </c>
      <c r="C113">
        <v>4840</v>
      </c>
      <c r="D113" t="str" cm="1">
        <f t="array" ref="D113">_xlfn.TEXTJOIN(",",TRUE,_xlfn.XLOOKUP(_xlfn.TEXTSPLIT(C113,",")*1,_xlfn._TRO_TRAILING(Artists!A:A),_xlfn._TRO_TRAILING(Artists!B:B)))</f>
        <v>Odilon Redon</v>
      </c>
      <c r="E113" t="s">
        <v>194</v>
      </c>
      <c r="F113" cm="1">
        <f t="array" ref="F113">_xlfn.REGEXEXTRACT(E113,"\d{4}")*1</f>
        <v>1910</v>
      </c>
      <c r="G113" t="s">
        <v>919</v>
      </c>
      <c r="H113" t="s">
        <v>920</v>
      </c>
      <c r="I113" t="s">
        <v>675</v>
      </c>
      <c r="J113" t="s">
        <v>674</v>
      </c>
      <c r="K113" s="1">
        <v>12685</v>
      </c>
      <c r="L113" t="s">
        <v>921</v>
      </c>
      <c r="M113" t="s">
        <v>922</v>
      </c>
      <c r="N113" t="s">
        <v>6373</v>
      </c>
    </row>
    <row r="114" spans="1:14" x14ac:dyDescent="0.25">
      <c r="A114">
        <v>34078</v>
      </c>
      <c r="B114" t="s">
        <v>923</v>
      </c>
      <c r="C114">
        <v>4840</v>
      </c>
      <c r="D114" t="str" cm="1">
        <f t="array" ref="D114">_xlfn.TEXTJOIN(",",TRUE,_xlfn.XLOOKUP(_xlfn.TEXTSPLIT(C114,",")*1,_xlfn._TRO_TRAILING(Artists!A:A),_xlfn._TRO_TRAILING(Artists!B:B)))</f>
        <v>Odilon Redon</v>
      </c>
      <c r="E114" t="s">
        <v>876</v>
      </c>
      <c r="F114" cm="1">
        <f t="array" ref="F114">_xlfn.REGEXEXTRACT(E114,"\d{4}")*1</f>
        <v>1911</v>
      </c>
      <c r="G114" t="s">
        <v>924</v>
      </c>
      <c r="H114" t="s">
        <v>925</v>
      </c>
      <c r="I114" t="s">
        <v>675</v>
      </c>
      <c r="J114" t="s">
        <v>674</v>
      </c>
      <c r="K114" s="1">
        <v>12685</v>
      </c>
      <c r="L114" t="s">
        <v>926</v>
      </c>
      <c r="M114" t="s">
        <v>927</v>
      </c>
      <c r="N114" t="s">
        <v>6373</v>
      </c>
    </row>
    <row r="115" spans="1:14" x14ac:dyDescent="0.25">
      <c r="A115">
        <v>34157</v>
      </c>
      <c r="B115" t="s">
        <v>928</v>
      </c>
      <c r="C115">
        <v>94</v>
      </c>
      <c r="D115" t="str" cm="1">
        <f t="array" ref="D115">_xlfn.TEXTJOIN(",",TRUE,_xlfn.XLOOKUP(_xlfn.TEXTSPLIT(C115,",")*1,_xlfn._TRO_TRAILING(Artists!A:A),_xlfn._TRO_TRAILING(Artists!B:B)))</f>
        <v>Munira Al-Kazi</v>
      </c>
      <c r="E115">
        <v>1962</v>
      </c>
      <c r="F115" cm="1">
        <f t="array" ref="F115">_xlfn.REGEXEXTRACT(E115,"\d{4}")*1</f>
        <v>1962</v>
      </c>
      <c r="G115" t="s">
        <v>930</v>
      </c>
      <c r="H115" t="s">
        <v>931</v>
      </c>
      <c r="I115" t="s">
        <v>675</v>
      </c>
      <c r="J115" t="s">
        <v>674</v>
      </c>
      <c r="K115" s="1">
        <v>23838</v>
      </c>
      <c r="L115" t="s">
        <v>932</v>
      </c>
      <c r="M115" t="s">
        <v>933</v>
      </c>
      <c r="N115" t="s">
        <v>6378</v>
      </c>
    </row>
    <row r="116" spans="1:14" x14ac:dyDescent="0.25">
      <c r="A116">
        <v>34183</v>
      </c>
      <c r="B116" t="s">
        <v>934</v>
      </c>
      <c r="C116">
        <v>5358</v>
      </c>
      <c r="D116" t="str" cm="1">
        <f t="array" ref="D116">_xlfn.TEXTJOIN(",",TRUE,_xlfn.XLOOKUP(_xlfn.TEXTSPLIT(C116,",")*1,_xlfn._TRO_TRAILING(Artists!A:A),_xlfn._TRO_TRAILING(Artists!B:B)))</f>
        <v>Georges-Pierre Seurat</v>
      </c>
      <c r="E116" t="s">
        <v>935</v>
      </c>
      <c r="F116" cm="1">
        <f t="array" ref="F116">_xlfn.REGEXEXTRACT(E116,"\d{4}")*1</f>
        <v>1886</v>
      </c>
      <c r="G116" t="s">
        <v>936</v>
      </c>
      <c r="H116" t="s">
        <v>937</v>
      </c>
      <c r="I116" t="s">
        <v>675</v>
      </c>
      <c r="J116" t="s">
        <v>674</v>
      </c>
      <c r="K116" s="1">
        <v>12685</v>
      </c>
      <c r="L116" t="s">
        <v>938</v>
      </c>
      <c r="M116" t="s">
        <v>939</v>
      </c>
      <c r="N116" t="s">
        <v>6373</v>
      </c>
    </row>
    <row r="117" spans="1:14" x14ac:dyDescent="0.25">
      <c r="A117">
        <v>34479</v>
      </c>
      <c r="B117" t="s">
        <v>944</v>
      </c>
      <c r="C117">
        <v>5358</v>
      </c>
      <c r="D117" t="str" cm="1">
        <f t="array" ref="D117">_xlfn.TEXTJOIN(",",TRUE,_xlfn.XLOOKUP(_xlfn.TEXTSPLIT(C117,",")*1,_xlfn._TRO_TRAILING(Artists!A:A),_xlfn._TRO_TRAILING(Artists!B:B)))</f>
        <v>Georges-Pierre Seurat</v>
      </c>
      <c r="E117" t="s">
        <v>945</v>
      </c>
      <c r="F117" cm="1">
        <f t="array" ref="F117">_xlfn.REGEXEXTRACT(E117,"\d{4}")*1</f>
        <v>1879</v>
      </c>
      <c r="G117" t="s">
        <v>942</v>
      </c>
      <c r="H117" t="s">
        <v>45</v>
      </c>
      <c r="I117" t="s">
        <v>675</v>
      </c>
      <c r="J117" t="s">
        <v>674</v>
      </c>
      <c r="K117" s="1">
        <v>12685</v>
      </c>
      <c r="L117" t="s">
        <v>946</v>
      </c>
      <c r="M117" t="s">
        <v>947</v>
      </c>
      <c r="N117" t="s">
        <v>6373</v>
      </c>
    </row>
    <row r="118" spans="1:14" x14ac:dyDescent="0.25">
      <c r="A118">
        <v>35040</v>
      </c>
      <c r="B118" t="s">
        <v>960</v>
      </c>
      <c r="C118">
        <v>7715</v>
      </c>
      <c r="D118" t="str" cm="1">
        <f t="array" ref="D118">_xlfn.TEXTJOIN(",",TRUE,_xlfn.XLOOKUP(_xlfn.TEXTSPLIT(C118,",")*1,_xlfn._TRO_TRAILING(Artists!A:A),_xlfn._TRO_TRAILING(Artists!B:B)))</f>
        <v>Hélio Oiticica</v>
      </c>
      <c r="E118">
        <v>1956</v>
      </c>
      <c r="F118" cm="1">
        <f t="array" ref="F118">_xlfn.REGEXEXTRACT(E118,"\d{4}")*1</f>
        <v>1956</v>
      </c>
      <c r="G118" t="s">
        <v>961</v>
      </c>
      <c r="H118" t="s">
        <v>962</v>
      </c>
      <c r="I118" t="s">
        <v>675</v>
      </c>
      <c r="J118" t="s">
        <v>674</v>
      </c>
      <c r="K118" s="1">
        <v>35537</v>
      </c>
      <c r="L118" t="s">
        <v>963</v>
      </c>
      <c r="M118" t="s">
        <v>964</v>
      </c>
      <c r="N118" t="s">
        <v>6379</v>
      </c>
    </row>
    <row r="119" spans="1:14" x14ac:dyDescent="0.25">
      <c r="A119">
        <v>35054</v>
      </c>
      <c r="B119" t="s">
        <v>965</v>
      </c>
      <c r="C119">
        <v>7715</v>
      </c>
      <c r="D119" t="str" cm="1">
        <f t="array" ref="D119">_xlfn.TEXTJOIN(",",TRUE,_xlfn.XLOOKUP(_xlfn.TEXTSPLIT(C119,",")*1,_xlfn._TRO_TRAILING(Artists!A:A),_xlfn._TRO_TRAILING(Artists!B:B)))</f>
        <v>Hélio Oiticica</v>
      </c>
      <c r="E119">
        <v>1958</v>
      </c>
      <c r="F119" cm="1">
        <f t="array" ref="F119">_xlfn.REGEXEXTRACT(E119,"\d{4}")*1</f>
        <v>1958</v>
      </c>
      <c r="G119" t="s">
        <v>961</v>
      </c>
      <c r="H119" t="s">
        <v>966</v>
      </c>
      <c r="I119" t="s">
        <v>675</v>
      </c>
      <c r="J119" t="s">
        <v>674</v>
      </c>
      <c r="K119" s="1">
        <v>35527</v>
      </c>
      <c r="L119" t="s">
        <v>967</v>
      </c>
      <c r="M119" t="s">
        <v>968</v>
      </c>
      <c r="N119" t="s">
        <v>6379</v>
      </c>
    </row>
    <row r="120" spans="1:14" x14ac:dyDescent="0.25">
      <c r="A120">
        <v>35066</v>
      </c>
      <c r="B120" t="s">
        <v>960</v>
      </c>
      <c r="C120">
        <v>7715</v>
      </c>
      <c r="D120" t="str" cm="1">
        <f t="array" ref="D120">_xlfn.TEXTJOIN(",",TRUE,_xlfn.XLOOKUP(_xlfn.TEXTSPLIT(C120,",")*1,_xlfn._TRO_TRAILING(Artists!A:A),_xlfn._TRO_TRAILING(Artists!B:B)))</f>
        <v>Hélio Oiticica</v>
      </c>
      <c r="E120">
        <v>1958</v>
      </c>
      <c r="F120" cm="1">
        <f t="array" ref="F120">_xlfn.REGEXEXTRACT(E120,"\d{4}")*1</f>
        <v>1958</v>
      </c>
      <c r="G120" t="s">
        <v>24</v>
      </c>
      <c r="H120" t="s">
        <v>969</v>
      </c>
      <c r="I120" t="s">
        <v>675</v>
      </c>
      <c r="J120" t="s">
        <v>674</v>
      </c>
      <c r="K120" s="1">
        <v>35537</v>
      </c>
      <c r="L120" t="s">
        <v>970</v>
      </c>
      <c r="M120" t="s">
        <v>971</v>
      </c>
      <c r="N120" t="s">
        <v>6379</v>
      </c>
    </row>
    <row r="121" spans="1:14" x14ac:dyDescent="0.25">
      <c r="A121">
        <v>35262</v>
      </c>
      <c r="B121" t="s">
        <v>51</v>
      </c>
      <c r="C121">
        <v>3315</v>
      </c>
      <c r="D121" t="str" cm="1">
        <f t="array" ref="D121">_xlfn.TEXTJOIN(",",TRUE,_xlfn.XLOOKUP(_xlfn.TEXTSPLIT(C121,",")*1,_xlfn._TRO_TRAILING(Artists!A:A),_xlfn._TRO_TRAILING(Artists!B:B)))</f>
        <v>Yayoi Kusama</v>
      </c>
      <c r="E121">
        <v>1952</v>
      </c>
      <c r="F121" cm="1">
        <f t="array" ref="F121">_xlfn.REGEXEXTRACT(E121,"\d{4}")*1</f>
        <v>1952</v>
      </c>
      <c r="G121" t="s">
        <v>974</v>
      </c>
      <c r="H121" t="s">
        <v>975</v>
      </c>
      <c r="I121" t="s">
        <v>675</v>
      </c>
      <c r="J121" t="s">
        <v>674</v>
      </c>
      <c r="K121" s="1">
        <v>35201</v>
      </c>
      <c r="L121" t="s">
        <v>976</v>
      </c>
      <c r="M121" t="s">
        <v>977</v>
      </c>
      <c r="N121" t="s">
        <v>6376</v>
      </c>
    </row>
    <row r="122" spans="1:14" x14ac:dyDescent="0.25">
      <c r="A122">
        <v>35270</v>
      </c>
      <c r="B122" t="s">
        <v>978</v>
      </c>
      <c r="C122">
        <v>3315</v>
      </c>
      <c r="D122" t="str" cm="1">
        <f t="array" ref="D122">_xlfn.TEXTJOIN(",",TRUE,_xlfn.XLOOKUP(_xlfn.TEXTSPLIT(C122,",")*1,_xlfn._TRO_TRAILING(Artists!A:A),_xlfn._TRO_TRAILING(Artists!B:B)))</f>
        <v>Yayoi Kusama</v>
      </c>
      <c r="E122" t="s">
        <v>979</v>
      </c>
      <c r="F122" cm="1">
        <f t="array" ref="F122">_xlfn.REGEXEXTRACT(E122,"\d{4}")*1</f>
        <v>1953</v>
      </c>
      <c r="G122" t="s">
        <v>980</v>
      </c>
      <c r="H122" t="s">
        <v>981</v>
      </c>
      <c r="I122" t="s">
        <v>675</v>
      </c>
      <c r="J122" t="s">
        <v>674</v>
      </c>
      <c r="K122" s="1">
        <v>35201</v>
      </c>
      <c r="L122" t="s">
        <v>982</v>
      </c>
      <c r="M122" t="s">
        <v>983</v>
      </c>
      <c r="N122" t="s">
        <v>6376</v>
      </c>
    </row>
    <row r="123" spans="1:14" x14ac:dyDescent="0.25">
      <c r="A123">
        <v>35281</v>
      </c>
      <c r="B123" t="s">
        <v>985</v>
      </c>
      <c r="C123">
        <v>2812</v>
      </c>
      <c r="D123" t="str" cm="1">
        <f t="array" ref="D123">_xlfn.TEXTJOIN(",",TRUE,_xlfn.XLOOKUP(_xlfn.TEXTSPLIT(C123,",")*1,_xlfn._TRO_TRAILING(Artists!A:A),_xlfn._TRO_TRAILING(Artists!B:B)))</f>
        <v>Robert Indiana</v>
      </c>
      <c r="E123">
        <v>1962</v>
      </c>
      <c r="F123" cm="1">
        <f t="array" ref="F123">_xlfn.REGEXEXTRACT(E123,"\d{4}")*1</f>
        <v>1962</v>
      </c>
      <c r="G123" t="s">
        <v>986</v>
      </c>
      <c r="H123" t="s">
        <v>987</v>
      </c>
      <c r="I123" t="s">
        <v>675</v>
      </c>
      <c r="J123" t="s">
        <v>674</v>
      </c>
      <c r="K123" s="1">
        <v>23110</v>
      </c>
      <c r="L123" t="s">
        <v>988</v>
      </c>
      <c r="M123" t="s">
        <v>989</v>
      </c>
      <c r="N123" t="s">
        <v>6363</v>
      </c>
    </row>
    <row r="124" spans="1:14" x14ac:dyDescent="0.25">
      <c r="A124">
        <v>35286</v>
      </c>
      <c r="B124" t="s">
        <v>990</v>
      </c>
      <c r="C124">
        <v>3758</v>
      </c>
      <c r="D124" t="str" cm="1">
        <f t="array" ref="D124">_xlfn.TEXTJOIN(",",TRUE,_xlfn.XLOOKUP(_xlfn.TEXTSPLIT(C124,",")*1,_xlfn._TRO_TRAILING(Artists!A:A),_xlfn._TRO_TRAILING(Artists!B:B)))</f>
        <v>Brice Marden</v>
      </c>
      <c r="E124" t="s">
        <v>82</v>
      </c>
      <c r="F124" cm="1">
        <f t="array" ref="F124">_xlfn.REGEXEXTRACT(E124,"\d{4}")*1</f>
        <v>1989</v>
      </c>
      <c r="G124" t="s">
        <v>23</v>
      </c>
      <c r="H124" t="s">
        <v>991</v>
      </c>
      <c r="I124" t="s">
        <v>675</v>
      </c>
      <c r="J124" t="s">
        <v>674</v>
      </c>
      <c r="K124" s="1">
        <v>35201</v>
      </c>
      <c r="L124" t="s">
        <v>992</v>
      </c>
      <c r="M124" t="s">
        <v>993</v>
      </c>
      <c r="N124" t="s">
        <v>6380</v>
      </c>
    </row>
    <row r="125" spans="1:14" x14ac:dyDescent="0.25">
      <c r="A125">
        <v>35320</v>
      </c>
      <c r="B125" t="s">
        <v>994</v>
      </c>
      <c r="C125">
        <v>5689</v>
      </c>
      <c r="D125" t="str" cm="1">
        <f t="array" ref="D125">_xlfn.TEXTJOIN(",",TRUE,_xlfn.XLOOKUP(_xlfn.TEXTSPLIT(C125,",")*1,_xlfn._TRO_TRAILING(Artists!A:A),_xlfn._TRO_TRAILING(Artists!B:B)))</f>
        <v>Thelma Johnson Streat</v>
      </c>
      <c r="E125">
        <v>1941</v>
      </c>
      <c r="F125" cm="1">
        <f t="array" ref="F125">_xlfn.REGEXEXTRACT(E125,"\d{4}")*1</f>
        <v>1941</v>
      </c>
      <c r="G125" t="s">
        <v>24</v>
      </c>
      <c r="H125" t="s">
        <v>996</v>
      </c>
      <c r="I125" t="s">
        <v>675</v>
      </c>
      <c r="J125" t="s">
        <v>674</v>
      </c>
      <c r="K125" s="1">
        <v>15468</v>
      </c>
      <c r="L125" t="s">
        <v>997</v>
      </c>
      <c r="M125" t="s">
        <v>998</v>
      </c>
      <c r="N125" t="s">
        <v>6376</v>
      </c>
    </row>
    <row r="126" spans="1:14" x14ac:dyDescent="0.25">
      <c r="A126">
        <v>35369</v>
      </c>
      <c r="B126" t="s">
        <v>1000</v>
      </c>
      <c r="C126">
        <v>5702</v>
      </c>
      <c r="D126" t="str" cm="1">
        <f t="array" ref="D126">_xlfn.TEXTJOIN(",",TRUE,_xlfn.XLOOKUP(_xlfn.TEXTSPLIT(C126,",")*1,_xlfn._TRO_TRAILING(Artists!A:A),_xlfn._TRO_TRAILING(Artists!B:B)))</f>
        <v>Michelle Stuart</v>
      </c>
      <c r="E126">
        <v>1981</v>
      </c>
      <c r="F126" cm="1">
        <f t="array" ref="F126">_xlfn.REGEXEXTRACT(E126,"\d{4}")*1</f>
        <v>1981</v>
      </c>
      <c r="G126" t="s">
        <v>1001</v>
      </c>
      <c r="H126" t="s">
        <v>1002</v>
      </c>
      <c r="I126" t="s">
        <v>675</v>
      </c>
      <c r="J126" t="s">
        <v>674</v>
      </c>
      <c r="K126" s="1">
        <v>35201</v>
      </c>
      <c r="L126" t="s">
        <v>1003</v>
      </c>
      <c r="M126" t="s">
        <v>1004</v>
      </c>
      <c r="N126" t="s">
        <v>6381</v>
      </c>
    </row>
    <row r="127" spans="1:14" x14ac:dyDescent="0.25">
      <c r="A127">
        <v>35555</v>
      </c>
      <c r="B127" t="s">
        <v>1008</v>
      </c>
      <c r="C127">
        <v>7501</v>
      </c>
      <c r="D127" t="str" cm="1">
        <f t="array" ref="D127">_xlfn.TEXTJOIN(",",TRUE,_xlfn.XLOOKUP(_xlfn.TEXTSPLIT(C127,",")*1,_xlfn._TRO_TRAILING(Artists!A:A),_xlfn._TRO_TRAILING(Artists!B:B)))</f>
        <v>Toba Khedoori</v>
      </c>
      <c r="E127">
        <v>1995</v>
      </c>
      <c r="F127" cm="1">
        <f t="array" ref="F127">_xlfn.REGEXEXTRACT(E127,"\d{4}")*1</f>
        <v>1995</v>
      </c>
      <c r="G127" t="s">
        <v>1010</v>
      </c>
      <c r="H127" t="s">
        <v>1011</v>
      </c>
      <c r="I127" t="s">
        <v>675</v>
      </c>
      <c r="J127" t="s">
        <v>674</v>
      </c>
      <c r="K127" s="1">
        <v>35201</v>
      </c>
      <c r="L127" t="s">
        <v>1012</v>
      </c>
      <c r="M127" t="s">
        <v>1013</v>
      </c>
      <c r="N127" t="s">
        <v>6382</v>
      </c>
    </row>
    <row r="128" spans="1:14" x14ac:dyDescent="0.25">
      <c r="A128">
        <v>36248</v>
      </c>
      <c r="B128" t="s">
        <v>51</v>
      </c>
      <c r="C128">
        <v>3758</v>
      </c>
      <c r="D128" t="str" cm="1">
        <f t="array" ref="D128">_xlfn.TEXTJOIN(",",TRUE,_xlfn.XLOOKUP(_xlfn.TEXTSPLIT(C128,",")*1,_xlfn._TRO_TRAILING(Artists!A:A),_xlfn._TRO_TRAILING(Artists!B:B)))</f>
        <v>Brice Marden</v>
      </c>
      <c r="E128">
        <v>1982</v>
      </c>
      <c r="F128" cm="1">
        <f t="array" ref="F128">_xlfn.REGEXEXTRACT(E128,"\d{4}")*1</f>
        <v>1982</v>
      </c>
      <c r="G128" t="s">
        <v>30</v>
      </c>
      <c r="H128" t="s">
        <v>1026</v>
      </c>
      <c r="I128" t="s">
        <v>675</v>
      </c>
      <c r="J128" t="s">
        <v>674</v>
      </c>
      <c r="K128" s="1">
        <v>30390</v>
      </c>
      <c r="L128" t="s">
        <v>1027</v>
      </c>
      <c r="M128" t="s">
        <v>1028</v>
      </c>
      <c r="N128" t="s">
        <v>6380</v>
      </c>
    </row>
    <row r="129" spans="1:14" x14ac:dyDescent="0.25">
      <c r="A129">
        <v>36255</v>
      </c>
      <c r="B129" t="s">
        <v>1029</v>
      </c>
      <c r="C129">
        <v>3758</v>
      </c>
      <c r="D129" t="str" cm="1">
        <f t="array" ref="D129">_xlfn.TEXTJOIN(",",TRUE,_xlfn.XLOOKUP(_xlfn.TEXTSPLIT(C129,",")*1,_xlfn._TRO_TRAILING(Artists!A:A),_xlfn._TRO_TRAILING(Artists!B:B)))</f>
        <v>Brice Marden</v>
      </c>
      <c r="E129">
        <v>1982</v>
      </c>
      <c r="F129" cm="1">
        <f t="array" ref="F129">_xlfn.REGEXEXTRACT(E129,"\d{4}")*1</f>
        <v>1982</v>
      </c>
      <c r="G129" t="s">
        <v>1030</v>
      </c>
      <c r="H129" t="s">
        <v>1031</v>
      </c>
      <c r="I129" t="s">
        <v>675</v>
      </c>
      <c r="J129" t="s">
        <v>674</v>
      </c>
      <c r="K129" s="1">
        <v>30390</v>
      </c>
      <c r="L129" t="s">
        <v>1032</v>
      </c>
      <c r="M129" t="s">
        <v>1033</v>
      </c>
      <c r="N129" t="s">
        <v>6380</v>
      </c>
    </row>
    <row r="130" spans="1:14" x14ac:dyDescent="0.25">
      <c r="A130">
        <v>36572</v>
      </c>
      <c r="B130" t="s">
        <v>1040</v>
      </c>
      <c r="C130">
        <v>412</v>
      </c>
      <c r="D130" t="str" cm="1">
        <f t="array" ref="D130">_xlfn.TEXTJOIN(",",TRUE,_xlfn.XLOOKUP(_xlfn.TEXTSPLIT(C130,",")*1,_xlfn._TRO_TRAILING(Artists!A:A),_xlfn._TRO_TRAILING(Artists!B:B)))</f>
        <v>Romare Bearden</v>
      </c>
      <c r="E130">
        <v>1964</v>
      </c>
      <c r="F130" cm="1">
        <f t="array" ref="F130">_xlfn.REGEXEXTRACT(E130,"\d{4}")*1</f>
        <v>1964</v>
      </c>
      <c r="G130" t="s">
        <v>1041</v>
      </c>
      <c r="H130" t="s">
        <v>1042</v>
      </c>
      <c r="I130" t="s">
        <v>675</v>
      </c>
      <c r="J130" t="s">
        <v>674</v>
      </c>
      <c r="K130" s="1">
        <v>26036</v>
      </c>
      <c r="L130" t="s">
        <v>1043</v>
      </c>
      <c r="M130" t="s">
        <v>1044</v>
      </c>
      <c r="N130" t="s">
        <v>6383</v>
      </c>
    </row>
    <row r="131" spans="1:14" x14ac:dyDescent="0.25">
      <c r="A131">
        <v>36628</v>
      </c>
      <c r="B131" t="s">
        <v>1046</v>
      </c>
      <c r="C131">
        <v>3315</v>
      </c>
      <c r="D131" t="str" cm="1">
        <f t="array" ref="D131">_xlfn.TEXTJOIN(",",TRUE,_xlfn.XLOOKUP(_xlfn.TEXTSPLIT(C131,",")*1,_xlfn._TRO_TRAILING(Artists!A:A),_xlfn._TRO_TRAILING(Artists!B:B)))</f>
        <v>Yayoi Kusama</v>
      </c>
      <c r="E131">
        <v>1956</v>
      </c>
      <c r="F131" cm="1">
        <f t="array" ref="F131">_xlfn.REGEXEXTRACT(E131,"\d{4}")*1</f>
        <v>1956</v>
      </c>
      <c r="G131" t="s">
        <v>904</v>
      </c>
      <c r="H131" t="s">
        <v>1047</v>
      </c>
      <c r="I131" t="s">
        <v>675</v>
      </c>
      <c r="J131" t="s">
        <v>674</v>
      </c>
      <c r="K131" s="1">
        <v>36454</v>
      </c>
      <c r="L131" t="s">
        <v>1048</v>
      </c>
      <c r="M131" t="s">
        <v>1049</v>
      </c>
      <c r="N131" t="s">
        <v>6376</v>
      </c>
    </row>
    <row r="132" spans="1:14" x14ac:dyDescent="0.25">
      <c r="A132">
        <v>36802</v>
      </c>
      <c r="B132" t="s">
        <v>1051</v>
      </c>
      <c r="C132">
        <v>3832</v>
      </c>
      <c r="D132" t="str" cm="1">
        <f t="array" ref="D132">_xlfn.TEXTJOIN(",",TRUE,_xlfn.XLOOKUP(_xlfn.TEXTSPLIT(C132,",")*1,_xlfn._TRO_TRAILING(Artists!A:A),_xlfn._TRO_TRAILING(Artists!B:B)))</f>
        <v>Henri Matisse</v>
      </c>
      <c r="E132">
        <v>1951</v>
      </c>
      <c r="F132" cm="1">
        <f t="array" ref="F132">_xlfn.REGEXEXTRACT(E132,"\d{4}")*1</f>
        <v>1951</v>
      </c>
      <c r="G132" t="s">
        <v>1052</v>
      </c>
      <c r="H132" t="s">
        <v>1053</v>
      </c>
      <c r="I132" t="s">
        <v>675</v>
      </c>
      <c r="J132" t="s">
        <v>674</v>
      </c>
      <c r="K132" s="1">
        <v>19532</v>
      </c>
      <c r="L132" t="s">
        <v>1054</v>
      </c>
      <c r="M132" t="s">
        <v>1055</v>
      </c>
      <c r="N132" t="s">
        <v>6372</v>
      </c>
    </row>
    <row r="133" spans="1:14" x14ac:dyDescent="0.25">
      <c r="A133">
        <v>36808</v>
      </c>
      <c r="B133" t="s">
        <v>1056</v>
      </c>
      <c r="C133">
        <v>3832</v>
      </c>
      <c r="D133" t="str" cm="1">
        <f t="array" ref="D133">_xlfn.TEXTJOIN(",",TRUE,_xlfn.XLOOKUP(_xlfn.TEXTSPLIT(C133,",")*1,_xlfn._TRO_TRAILING(Artists!A:A),_xlfn._TRO_TRAILING(Artists!B:B)))</f>
        <v>Henri Matisse</v>
      </c>
      <c r="E133">
        <v>1951</v>
      </c>
      <c r="F133" cm="1">
        <f t="array" ref="F133">_xlfn.REGEXEXTRACT(E133,"\d{4}")*1</f>
        <v>1951</v>
      </c>
      <c r="G133" t="s">
        <v>1057</v>
      </c>
      <c r="H133" t="s">
        <v>1058</v>
      </c>
      <c r="I133" t="s">
        <v>675</v>
      </c>
      <c r="J133" t="s">
        <v>674</v>
      </c>
      <c r="K133" s="1">
        <v>19532</v>
      </c>
      <c r="L133" t="s">
        <v>1059</v>
      </c>
      <c r="M133" t="s">
        <v>1060</v>
      </c>
      <c r="N133" t="s">
        <v>6372</v>
      </c>
    </row>
    <row r="134" spans="1:14" x14ac:dyDescent="0.25">
      <c r="A134">
        <v>36817</v>
      </c>
      <c r="B134" t="s">
        <v>1061</v>
      </c>
      <c r="C134">
        <v>3832</v>
      </c>
      <c r="D134" t="str" cm="1">
        <f t="array" ref="D134">_xlfn.TEXTJOIN(",",TRUE,_xlfn.XLOOKUP(_xlfn.TEXTSPLIT(C134,",")*1,_xlfn._TRO_TRAILING(Artists!A:A),_xlfn._TRO_TRAILING(Artists!B:B)))</f>
        <v>Henri Matisse</v>
      </c>
      <c r="E134">
        <v>1952</v>
      </c>
      <c r="F134" cm="1">
        <f t="array" ref="F134">_xlfn.REGEXEXTRACT(E134,"\d{4}")*1</f>
        <v>1952</v>
      </c>
      <c r="G134" t="s">
        <v>1062</v>
      </c>
      <c r="H134" t="s">
        <v>1063</v>
      </c>
      <c r="I134" t="s">
        <v>675</v>
      </c>
      <c r="J134" t="s">
        <v>674</v>
      </c>
      <c r="K134" s="1">
        <v>19532</v>
      </c>
      <c r="L134" t="s">
        <v>1064</v>
      </c>
      <c r="M134" t="s">
        <v>1065</v>
      </c>
      <c r="N134" t="s">
        <v>6372</v>
      </c>
    </row>
    <row r="135" spans="1:14" x14ac:dyDescent="0.25">
      <c r="A135">
        <v>36848</v>
      </c>
      <c r="B135" t="s">
        <v>1066</v>
      </c>
      <c r="C135">
        <v>412</v>
      </c>
      <c r="D135" t="str" cm="1">
        <f t="array" ref="D135">_xlfn.TEXTJOIN(",",TRUE,_xlfn.XLOOKUP(_xlfn.TEXTSPLIT(C135,",")*1,_xlfn._TRO_TRAILING(Artists!A:A),_xlfn._TRO_TRAILING(Artists!B:B)))</f>
        <v>Romare Bearden</v>
      </c>
      <c r="E135">
        <v>1935</v>
      </c>
      <c r="F135" cm="1">
        <f t="array" ref="F135">_xlfn.REGEXEXTRACT(E135,"\d{4}")*1</f>
        <v>1935</v>
      </c>
      <c r="G135" t="s">
        <v>973</v>
      </c>
      <c r="H135" t="s">
        <v>1067</v>
      </c>
      <c r="I135" t="s">
        <v>675</v>
      </c>
      <c r="J135" t="s">
        <v>674</v>
      </c>
      <c r="K135" s="1">
        <v>27327</v>
      </c>
      <c r="L135" t="s">
        <v>1068</v>
      </c>
      <c r="M135" t="s">
        <v>1069</v>
      </c>
      <c r="N135" t="s">
        <v>6383</v>
      </c>
    </row>
    <row r="136" spans="1:14" x14ac:dyDescent="0.25">
      <c r="A136">
        <v>36914</v>
      </c>
      <c r="B136" t="s">
        <v>51</v>
      </c>
      <c r="C136">
        <v>710</v>
      </c>
      <c r="D136" t="str" cm="1">
        <f t="array" ref="D136">_xlfn.TEXTJOIN(",",TRUE,_xlfn.XLOOKUP(_xlfn.TEXTSPLIT(C136,",")*1,_xlfn._TRO_TRAILING(Artists!A:A),_xlfn._TRO_TRAILING(Artists!B:B)))</f>
        <v>Louise Bourgeois</v>
      </c>
      <c r="E136" t="s">
        <v>1073</v>
      </c>
      <c r="F136" cm="1">
        <f t="array" ref="F136">_xlfn.REGEXEXTRACT(E136,"\d{4}")*1</f>
        <v>1951</v>
      </c>
      <c r="G136" t="s">
        <v>23</v>
      </c>
      <c r="H136" t="s">
        <v>1074</v>
      </c>
      <c r="I136" t="s">
        <v>675</v>
      </c>
      <c r="J136" t="s">
        <v>674</v>
      </c>
      <c r="K136" s="1">
        <v>31768</v>
      </c>
      <c r="L136" t="s">
        <v>1075</v>
      </c>
      <c r="M136" t="s">
        <v>1076</v>
      </c>
      <c r="N136" t="s">
        <v>6384</v>
      </c>
    </row>
    <row r="137" spans="1:14" x14ac:dyDescent="0.25">
      <c r="A137">
        <v>36985</v>
      </c>
      <c r="B137" t="s">
        <v>1077</v>
      </c>
      <c r="C137">
        <v>3758</v>
      </c>
      <c r="D137" t="str" cm="1">
        <f t="array" ref="D137">_xlfn.TEXTJOIN(",",TRUE,_xlfn.XLOOKUP(_xlfn.TEXTSPLIT(C137,",")*1,_xlfn._TRO_TRAILING(Artists!A:A),_xlfn._TRO_TRAILING(Artists!B:B)))</f>
        <v>Brice Marden</v>
      </c>
      <c r="E137" t="s">
        <v>1078</v>
      </c>
      <c r="F137" cm="1">
        <f t="array" ref="F137">_xlfn.REGEXEXTRACT(E137,"\d{4}")*1</f>
        <v>1980</v>
      </c>
      <c r="G137" t="s">
        <v>1079</v>
      </c>
      <c r="H137" t="s">
        <v>1080</v>
      </c>
      <c r="I137" t="s">
        <v>675</v>
      </c>
      <c r="J137" t="s">
        <v>674</v>
      </c>
      <c r="K137" s="1">
        <v>30259</v>
      </c>
      <c r="L137" t="s">
        <v>1081</v>
      </c>
      <c r="M137" t="s">
        <v>1082</v>
      </c>
      <c r="N137" t="s">
        <v>6380</v>
      </c>
    </row>
    <row r="138" spans="1:14" x14ac:dyDescent="0.25">
      <c r="A138">
        <v>37195</v>
      </c>
      <c r="B138" t="s">
        <v>902</v>
      </c>
      <c r="C138">
        <v>3758</v>
      </c>
      <c r="D138" t="str" cm="1">
        <f t="array" ref="D138">_xlfn.TEXTJOIN(",",TRUE,_xlfn.XLOOKUP(_xlfn.TEXTSPLIT(C138,",")*1,_xlfn._TRO_TRAILING(Artists!A:A),_xlfn._TRO_TRAILING(Artists!B:B)))</f>
        <v>Brice Marden</v>
      </c>
      <c r="E138">
        <v>1991</v>
      </c>
      <c r="F138" cm="1">
        <f t="array" ref="F138">_xlfn.REGEXEXTRACT(E138,"\d{4}")*1</f>
        <v>1991</v>
      </c>
      <c r="G138" t="s">
        <v>1024</v>
      </c>
      <c r="H138" t="s">
        <v>1085</v>
      </c>
      <c r="I138" t="s">
        <v>675</v>
      </c>
      <c r="J138" t="s">
        <v>674</v>
      </c>
      <c r="K138" s="1">
        <v>33913</v>
      </c>
      <c r="L138" t="s">
        <v>1086</v>
      </c>
      <c r="M138" t="s">
        <v>1087</v>
      </c>
      <c r="N138" t="s">
        <v>6380</v>
      </c>
    </row>
    <row r="139" spans="1:14" x14ac:dyDescent="0.25">
      <c r="A139">
        <v>37245</v>
      </c>
      <c r="B139" t="s">
        <v>1090</v>
      </c>
      <c r="C139">
        <v>3758</v>
      </c>
      <c r="D139" t="str" cm="1">
        <f t="array" ref="D139">_xlfn.TEXTJOIN(",",TRUE,_xlfn.XLOOKUP(_xlfn.TEXTSPLIT(C139,",")*1,_xlfn._TRO_TRAILING(Artists!A:A),_xlfn._TRO_TRAILING(Artists!B:B)))</f>
        <v>Brice Marden</v>
      </c>
      <c r="E139" t="s">
        <v>1091</v>
      </c>
      <c r="F139" cm="1">
        <f t="array" ref="F139">_xlfn.REGEXEXTRACT(E139,"\d{4}")*1</f>
        <v>1991</v>
      </c>
      <c r="G139" t="s">
        <v>30</v>
      </c>
      <c r="H139" t="s">
        <v>471</v>
      </c>
      <c r="I139" t="s">
        <v>675</v>
      </c>
      <c r="J139" t="s">
        <v>674</v>
      </c>
      <c r="K139" s="1">
        <v>35726</v>
      </c>
      <c r="L139" t="s">
        <v>1092</v>
      </c>
      <c r="M139" t="s">
        <v>1093</v>
      </c>
      <c r="N139" t="s">
        <v>6380</v>
      </c>
    </row>
    <row r="140" spans="1:14" x14ac:dyDescent="0.25">
      <c r="A140">
        <v>37559</v>
      </c>
      <c r="B140" t="s">
        <v>1100</v>
      </c>
      <c r="C140">
        <v>3787</v>
      </c>
      <c r="D140" t="str" cm="1">
        <f t="array" ref="D140">_xlfn.TEXTJOIN(",",TRUE,_xlfn.XLOOKUP(_xlfn.TEXTSPLIT(C140,",")*1,_xlfn._TRO_TRAILING(Artists!A:A),_xlfn._TRO_TRAILING(Artists!B:B)))</f>
        <v>Agnes Martin</v>
      </c>
      <c r="E140">
        <v>1964</v>
      </c>
      <c r="F140" cm="1">
        <f t="array" ref="F140">_xlfn.REGEXEXTRACT(E140,"\d{4}")*1</f>
        <v>1964</v>
      </c>
      <c r="G140" t="s">
        <v>23</v>
      </c>
      <c r="H140" t="s">
        <v>1101</v>
      </c>
      <c r="I140" t="s">
        <v>675</v>
      </c>
      <c r="J140" t="s">
        <v>674</v>
      </c>
      <c r="K140" s="1">
        <v>23656</v>
      </c>
      <c r="L140" t="s">
        <v>1102</v>
      </c>
      <c r="M140" t="s">
        <v>1103</v>
      </c>
      <c r="N140" t="s">
        <v>6363</v>
      </c>
    </row>
    <row r="141" spans="1:14" x14ac:dyDescent="0.25">
      <c r="A141">
        <v>37661</v>
      </c>
      <c r="B141" t="s">
        <v>1104</v>
      </c>
      <c r="C141">
        <v>6275</v>
      </c>
      <c r="D141" t="str" cm="1">
        <f t="array" ref="D141">_xlfn.TEXTJOIN(",",TRUE,_xlfn.XLOOKUP(_xlfn.TEXTSPLIT(C141,",")*1,_xlfn._TRO_TRAILING(Artists!A:A),_xlfn._TRO_TRAILING(Artists!B:B)))</f>
        <v>Max Weber</v>
      </c>
      <c r="E141">
        <v>1914</v>
      </c>
      <c r="F141" cm="1">
        <f t="array" ref="F141">_xlfn.REGEXEXTRACT(E141,"\d{4}")*1</f>
        <v>1914</v>
      </c>
      <c r="G141" t="s">
        <v>860</v>
      </c>
      <c r="H141" t="s">
        <v>1105</v>
      </c>
      <c r="I141" t="s">
        <v>675</v>
      </c>
      <c r="J141" t="s">
        <v>674</v>
      </c>
      <c r="K141" s="1">
        <v>16014</v>
      </c>
      <c r="L141" t="s">
        <v>1106</v>
      </c>
      <c r="M141" t="s">
        <v>1107</v>
      </c>
      <c r="N141" t="s">
        <v>6375</v>
      </c>
    </row>
    <row r="142" spans="1:14" x14ac:dyDescent="0.25">
      <c r="A142">
        <v>38245</v>
      </c>
      <c r="B142" t="s">
        <v>1115</v>
      </c>
      <c r="C142">
        <v>3147</v>
      </c>
      <c r="D142" t="str" cm="1">
        <f t="array" ref="D142">_xlfn.TEXTJOIN(",",TRUE,_xlfn.XLOOKUP(_xlfn.TEXTSPLIT(C142,",")*1,_xlfn._TRO_TRAILING(Artists!A:A),_xlfn._TRO_TRAILING(Artists!B:B)))</f>
        <v>Gustav Klimt</v>
      </c>
      <c r="E142" t="s">
        <v>1116</v>
      </c>
      <c r="F142" cm="1">
        <f t="array" ref="F142">_xlfn.REGEXEXTRACT(E142,"\d{4}")*1</f>
        <v>1898</v>
      </c>
      <c r="G142" t="s">
        <v>763</v>
      </c>
      <c r="H142" t="s">
        <v>1117</v>
      </c>
      <c r="I142" t="s">
        <v>675</v>
      </c>
      <c r="J142" t="s">
        <v>674</v>
      </c>
      <c r="K142" s="1">
        <v>28982</v>
      </c>
      <c r="L142" t="s">
        <v>1118</v>
      </c>
      <c r="M142" t="s">
        <v>1119</v>
      </c>
      <c r="N142" t="s">
        <v>6366</v>
      </c>
    </row>
    <row r="143" spans="1:14" x14ac:dyDescent="0.25">
      <c r="A143">
        <v>38276</v>
      </c>
      <c r="B143" t="s">
        <v>1120</v>
      </c>
      <c r="C143">
        <v>3758</v>
      </c>
      <c r="D143" t="str" cm="1">
        <f t="array" ref="D143">_xlfn.TEXTJOIN(",",TRUE,_xlfn.XLOOKUP(_xlfn.TEXTSPLIT(C143,",")*1,_xlfn._TRO_TRAILING(Artists!A:A),_xlfn._TRO_TRAILING(Artists!B:B)))</f>
        <v>Brice Marden</v>
      </c>
      <c r="E143">
        <v>1978</v>
      </c>
      <c r="F143" cm="1">
        <f t="array" ref="F143">_xlfn.REGEXEXTRACT(E143,"\d{4}")*1</f>
        <v>1978</v>
      </c>
      <c r="G143" t="s">
        <v>984</v>
      </c>
      <c r="H143" t="s">
        <v>1121</v>
      </c>
      <c r="I143" t="s">
        <v>675</v>
      </c>
      <c r="J143" t="s">
        <v>674</v>
      </c>
      <c r="K143" s="1">
        <v>31300</v>
      </c>
      <c r="L143" t="s">
        <v>1122</v>
      </c>
      <c r="M143" t="s">
        <v>1123</v>
      </c>
      <c r="N143" t="s">
        <v>6380</v>
      </c>
    </row>
    <row r="144" spans="1:14" x14ac:dyDescent="0.25">
      <c r="A144">
        <v>38304</v>
      </c>
      <c r="B144" t="s">
        <v>1124</v>
      </c>
      <c r="C144">
        <v>3964</v>
      </c>
      <c r="D144" t="str" cm="1">
        <f t="array" ref="D144">_xlfn.TEXTJOIN(",",TRUE,_xlfn.XLOOKUP(_xlfn.TEXTSPLIT(C144,",")*1,_xlfn._TRO_TRAILING(Artists!A:A),_xlfn._TRO_TRAILING(Artists!B:B)))</f>
        <v>Robert Michel</v>
      </c>
      <c r="E144">
        <v>1921</v>
      </c>
      <c r="F144" cm="1">
        <f t="array" ref="F144">_xlfn.REGEXEXTRACT(E144,"\d{4}")*1</f>
        <v>1921</v>
      </c>
      <c r="G144" t="s">
        <v>40</v>
      </c>
      <c r="H144" t="s">
        <v>1125</v>
      </c>
      <c r="I144" t="s">
        <v>675</v>
      </c>
      <c r="J144" t="s">
        <v>674</v>
      </c>
      <c r="K144" s="1">
        <v>24083</v>
      </c>
      <c r="L144" t="s">
        <v>1126</v>
      </c>
      <c r="M144" t="s">
        <v>1127</v>
      </c>
      <c r="N144" t="s">
        <v>6385</v>
      </c>
    </row>
    <row r="145" spans="1:14" x14ac:dyDescent="0.25">
      <c r="A145">
        <v>38561</v>
      </c>
      <c r="B145" t="s">
        <v>1128</v>
      </c>
      <c r="C145">
        <v>4607</v>
      </c>
      <c r="D145" t="str" cm="1">
        <f t="array" ref="D145">_xlfn.TEXTJOIN(",",TRUE,_xlfn.XLOOKUP(_xlfn.TEXTSPLIT(C145,",")*1,_xlfn._TRO_TRAILING(Artists!A:A),_xlfn._TRO_TRAILING(Artists!B:B)))</f>
        <v>Francis Picabia</v>
      </c>
      <c r="E145" t="s">
        <v>1129</v>
      </c>
      <c r="F145" cm="1">
        <f t="array" ref="F145">_xlfn.REGEXEXTRACT(E145,"\d{4}")*1</f>
        <v>1919</v>
      </c>
      <c r="G145" t="s">
        <v>1130</v>
      </c>
      <c r="H145" t="s">
        <v>1131</v>
      </c>
      <c r="I145" t="s">
        <v>878</v>
      </c>
      <c r="J145" t="s">
        <v>879</v>
      </c>
      <c r="K145" s="1">
        <v>25119</v>
      </c>
      <c r="L145" t="s">
        <v>1132</v>
      </c>
      <c r="M145" t="s">
        <v>1133</v>
      </c>
      <c r="N145" t="s">
        <v>6385</v>
      </c>
    </row>
    <row r="146" spans="1:14" x14ac:dyDescent="0.25">
      <c r="A146">
        <v>39473</v>
      </c>
      <c r="B146" t="s">
        <v>1146</v>
      </c>
      <c r="C146">
        <v>229</v>
      </c>
      <c r="D146" t="str" cm="1">
        <f t="array" ref="D146">_xlfn.TEXTJOIN(",",TRUE,_xlfn.XLOOKUP(_xlfn.TEXTSPLIT(C146,",")*1,_xlfn._TRO_TRAILING(Artists!A:A),_xlfn._TRO_TRAILING(Artists!B:B)))</f>
        <v>Eugène Atget</v>
      </c>
      <c r="E146" t="s">
        <v>1147</v>
      </c>
      <c r="F146" cm="1">
        <f t="array" ref="F146">_xlfn.REGEXEXTRACT(E146,"\d{4}")*1</f>
        <v>1904</v>
      </c>
      <c r="G146" t="s">
        <v>1139</v>
      </c>
      <c r="H146" t="s">
        <v>1148</v>
      </c>
      <c r="I146" t="s">
        <v>806</v>
      </c>
      <c r="J146" t="s">
        <v>1140</v>
      </c>
      <c r="K146" s="1">
        <v>24903</v>
      </c>
      <c r="L146" t="s">
        <v>1149</v>
      </c>
      <c r="M146" t="s">
        <v>1150</v>
      </c>
      <c r="N146" t="s">
        <v>6367</v>
      </c>
    </row>
    <row r="147" spans="1:14" x14ac:dyDescent="0.25">
      <c r="A147">
        <v>40037</v>
      </c>
      <c r="B147" t="s">
        <v>1152</v>
      </c>
      <c r="C147">
        <v>229</v>
      </c>
      <c r="D147" t="str" cm="1">
        <f t="array" ref="D147">_xlfn.TEXTJOIN(",",TRUE,_xlfn.XLOOKUP(_xlfn.TEXTSPLIT(C147,",")*1,_xlfn._TRO_TRAILING(Artists!A:A),_xlfn._TRO_TRAILING(Artists!B:B)))</f>
        <v>Eugène Atget</v>
      </c>
      <c r="E147">
        <v>1913</v>
      </c>
      <c r="F147" cm="1">
        <f t="array" ref="F147">_xlfn.REGEXEXTRACT(E147,"\d{4}")*1</f>
        <v>1913</v>
      </c>
      <c r="G147" t="s">
        <v>1139</v>
      </c>
      <c r="H147" t="s">
        <v>1153</v>
      </c>
      <c r="I147" t="s">
        <v>806</v>
      </c>
      <c r="J147" t="s">
        <v>1140</v>
      </c>
      <c r="K147" s="1">
        <v>24903</v>
      </c>
      <c r="L147" t="s">
        <v>1154</v>
      </c>
      <c r="M147" t="s">
        <v>1155</v>
      </c>
      <c r="N147" t="s">
        <v>6367</v>
      </c>
    </row>
    <row r="148" spans="1:14" x14ac:dyDescent="0.25">
      <c r="A148">
        <v>40100</v>
      </c>
      <c r="B148" t="s">
        <v>1156</v>
      </c>
      <c r="C148">
        <v>229</v>
      </c>
      <c r="D148" t="str" cm="1">
        <f t="array" ref="D148">_xlfn.TEXTJOIN(",",TRUE,_xlfn.XLOOKUP(_xlfn.TEXTSPLIT(C148,",")*1,_xlfn._TRO_TRAILING(Artists!A:A),_xlfn._TRO_TRAILING(Artists!B:B)))</f>
        <v>Eugène Atget</v>
      </c>
      <c r="E148" t="s">
        <v>1143</v>
      </c>
      <c r="F148" cm="1">
        <f t="array" ref="F148">_xlfn.REGEXEXTRACT(E148,"\d{4}")*1</f>
        <v>1905</v>
      </c>
      <c r="G148" t="s">
        <v>1139</v>
      </c>
      <c r="H148" t="s">
        <v>1141</v>
      </c>
      <c r="I148" t="s">
        <v>806</v>
      </c>
      <c r="J148" t="s">
        <v>1140</v>
      </c>
      <c r="K148" s="1">
        <v>24903</v>
      </c>
      <c r="L148" t="s">
        <v>1157</v>
      </c>
      <c r="M148" t="s">
        <v>1158</v>
      </c>
      <c r="N148" t="s">
        <v>6367</v>
      </c>
    </row>
    <row r="149" spans="1:14" x14ac:dyDescent="0.25">
      <c r="A149">
        <v>40116</v>
      </c>
      <c r="B149" t="s">
        <v>1159</v>
      </c>
      <c r="C149">
        <v>229</v>
      </c>
      <c r="D149" t="str" cm="1">
        <f t="array" ref="D149">_xlfn.TEXTJOIN(",",TRUE,_xlfn.XLOOKUP(_xlfn.TEXTSPLIT(C149,",")*1,_xlfn._TRO_TRAILING(Artists!A:A),_xlfn._TRO_TRAILING(Artists!B:B)))</f>
        <v>Eugène Atget</v>
      </c>
      <c r="E149" t="s">
        <v>1143</v>
      </c>
      <c r="F149" cm="1">
        <f t="array" ref="F149">_xlfn.REGEXEXTRACT(E149,"\d{4}")*1</f>
        <v>1905</v>
      </c>
      <c r="G149" t="s">
        <v>1139</v>
      </c>
      <c r="H149" t="s">
        <v>1141</v>
      </c>
      <c r="I149" t="s">
        <v>806</v>
      </c>
      <c r="J149" t="s">
        <v>1140</v>
      </c>
      <c r="K149" s="1">
        <v>24903</v>
      </c>
      <c r="L149" t="s">
        <v>1160</v>
      </c>
      <c r="M149" t="s">
        <v>1161</v>
      </c>
      <c r="N149" t="s">
        <v>6367</v>
      </c>
    </row>
    <row r="150" spans="1:14" x14ac:dyDescent="0.25">
      <c r="A150">
        <v>40374</v>
      </c>
      <c r="B150" t="s">
        <v>1163</v>
      </c>
      <c r="C150">
        <v>229</v>
      </c>
      <c r="D150" t="str" cm="1">
        <f t="array" ref="D150">_xlfn.TEXTJOIN(",",TRUE,_xlfn.XLOOKUP(_xlfn.TEXTSPLIT(C150,",")*1,_xlfn._TRO_TRAILING(Artists!A:A),_xlfn._TRO_TRAILING(Artists!B:B)))</f>
        <v>Eugène Atget</v>
      </c>
      <c r="E150" t="s">
        <v>1143</v>
      </c>
      <c r="F150" cm="1">
        <f t="array" ref="F150">_xlfn.REGEXEXTRACT(E150,"\d{4}")*1</f>
        <v>1905</v>
      </c>
      <c r="G150" t="s">
        <v>1139</v>
      </c>
      <c r="H150" t="s">
        <v>1164</v>
      </c>
      <c r="I150" t="s">
        <v>806</v>
      </c>
      <c r="J150" t="s">
        <v>1140</v>
      </c>
      <c r="K150" s="1">
        <v>24903</v>
      </c>
      <c r="L150" t="s">
        <v>1165</v>
      </c>
      <c r="M150" t="s">
        <v>1166</v>
      </c>
      <c r="N150" t="s">
        <v>6367</v>
      </c>
    </row>
    <row r="151" spans="1:14" x14ac:dyDescent="0.25">
      <c r="A151">
        <v>44999</v>
      </c>
      <c r="B151" t="s">
        <v>1202</v>
      </c>
      <c r="C151">
        <v>745</v>
      </c>
      <c r="D151" t="str" cm="1">
        <f t="array" ref="D151">_xlfn.TEXTJOIN(",",TRUE,_xlfn.XLOOKUP(_xlfn.TEXTSPLIT(C151,",")*1,_xlfn._TRO_TRAILING(Artists!A:A),_xlfn._TRO_TRAILING(Artists!B:B)))</f>
        <v>Brassaï (Gyula Halász)</v>
      </c>
      <c r="E151" t="s">
        <v>294</v>
      </c>
      <c r="F151" cm="1">
        <f t="array" ref="F151">_xlfn.REGEXEXTRACT(E151,"\d{4}")*1</f>
        <v>1936</v>
      </c>
      <c r="G151" t="s">
        <v>664</v>
      </c>
      <c r="H151" t="s">
        <v>1203</v>
      </c>
      <c r="I151" t="s">
        <v>806</v>
      </c>
      <c r="J151" t="s">
        <v>1140</v>
      </c>
      <c r="K151" s="1">
        <v>23383</v>
      </c>
      <c r="L151" t="s">
        <v>1204</v>
      </c>
      <c r="M151" t="s">
        <v>1205</v>
      </c>
      <c r="N151" t="s">
        <v>6386</v>
      </c>
    </row>
    <row r="152" spans="1:14" x14ac:dyDescent="0.25">
      <c r="A152">
        <v>45258</v>
      </c>
      <c r="B152" t="s">
        <v>1214</v>
      </c>
      <c r="C152">
        <v>5456</v>
      </c>
      <c r="D152" t="str" cm="1">
        <f t="array" ref="D152">_xlfn.TEXTJOIN(",",TRUE,_xlfn.XLOOKUP(_xlfn.TEXTSPLIT(C152,",")*1,_xlfn._TRO_TRAILING(Artists!A:A),_xlfn._TRO_TRAILING(Artists!B:B)))</f>
        <v>Aaron Siskind</v>
      </c>
      <c r="E152">
        <v>1954</v>
      </c>
      <c r="F152" cm="1">
        <f t="array" ref="F152">_xlfn.REGEXEXTRACT(E152,"\d{4}")*1</f>
        <v>1954</v>
      </c>
      <c r="G152" t="s">
        <v>664</v>
      </c>
      <c r="H152" t="s">
        <v>1215</v>
      </c>
      <c r="I152" t="s">
        <v>806</v>
      </c>
      <c r="J152" t="s">
        <v>1140</v>
      </c>
      <c r="K152" s="1">
        <v>32576</v>
      </c>
      <c r="L152" t="s">
        <v>1216</v>
      </c>
      <c r="M152" t="s">
        <v>1217</v>
      </c>
      <c r="N152" t="s">
        <v>6387</v>
      </c>
    </row>
    <row r="153" spans="1:14" x14ac:dyDescent="0.25">
      <c r="A153">
        <v>45727</v>
      </c>
      <c r="B153" t="s">
        <v>1222</v>
      </c>
      <c r="C153">
        <v>1332</v>
      </c>
      <c r="D153" t="str" cm="1">
        <f t="array" ref="D153">_xlfn.TEXTJOIN(",",TRUE,_xlfn.XLOOKUP(_xlfn.TEXTSPLIT(C153,",")*1,_xlfn._TRO_TRAILING(Artists!A:A),_xlfn._TRO_TRAILING(Artists!B:B)))</f>
        <v>Imogen Cunningham</v>
      </c>
      <c r="E153">
        <v>1925</v>
      </c>
      <c r="F153" cm="1">
        <f t="array" ref="F153">_xlfn.REGEXEXTRACT(E153,"\d{4}")*1</f>
        <v>1925</v>
      </c>
      <c r="G153" t="s">
        <v>664</v>
      </c>
      <c r="H153" t="s">
        <v>1184</v>
      </c>
      <c r="I153" t="s">
        <v>806</v>
      </c>
      <c r="J153" t="s">
        <v>1140</v>
      </c>
      <c r="K153" s="1">
        <v>14706</v>
      </c>
      <c r="L153" t="s">
        <v>1223</v>
      </c>
      <c r="M153" t="s">
        <v>1224</v>
      </c>
      <c r="N153" t="s">
        <v>6375</v>
      </c>
    </row>
    <row r="154" spans="1:14" x14ac:dyDescent="0.25">
      <c r="A154">
        <v>46166</v>
      </c>
      <c r="B154" t="s">
        <v>1229</v>
      </c>
      <c r="C154">
        <v>1330</v>
      </c>
      <c r="D154" t="str" cm="1">
        <f t="array" ref="D154">_xlfn.TEXTJOIN(",",TRUE,_xlfn.XLOOKUP(_xlfn.TEXTSPLIT(C154,",")*1,_xlfn._TRO_TRAILING(Artists!A:A),_xlfn._TRO_TRAILING(Artists!B:B)))</f>
        <v>Robert Cumming</v>
      </c>
      <c r="E154">
        <v>1974</v>
      </c>
      <c r="F154" cm="1">
        <f t="array" ref="F154">_xlfn.REGEXEXTRACT(E154,"\d{4}")*1</f>
        <v>1974</v>
      </c>
      <c r="G154" t="s">
        <v>1171</v>
      </c>
      <c r="H154" t="s">
        <v>1230</v>
      </c>
      <c r="I154" t="s">
        <v>806</v>
      </c>
      <c r="J154" t="s">
        <v>1140</v>
      </c>
      <c r="K154" s="1">
        <v>31133</v>
      </c>
      <c r="L154" t="s">
        <v>1231</v>
      </c>
      <c r="M154" t="s">
        <v>1232</v>
      </c>
      <c r="N154" t="s">
        <v>6388</v>
      </c>
    </row>
    <row r="155" spans="1:14" x14ac:dyDescent="0.25">
      <c r="A155">
        <v>46168</v>
      </c>
      <c r="B155" t="s">
        <v>1233</v>
      </c>
      <c r="C155">
        <v>1973</v>
      </c>
      <c r="D155" t="str" cm="1">
        <f t="array" ref="D155">_xlfn.TEXTJOIN(",",TRUE,_xlfn.XLOOKUP(_xlfn.TEXTSPLIT(C155,",")*1,_xlfn._TRO_TRAILING(Artists!A:A),_xlfn._TRO_TRAILING(Artists!B:B)))</f>
        <v>Robert Frank</v>
      </c>
      <c r="E155" s="2">
        <v>1985</v>
      </c>
      <c r="F155" cm="1">
        <f t="array" ref="F155">_xlfn.REGEXEXTRACT(E155,"\d{4}")*1</f>
        <v>1985</v>
      </c>
      <c r="G155" t="s">
        <v>1234</v>
      </c>
      <c r="H155" t="s">
        <v>1235</v>
      </c>
      <c r="I155" t="s">
        <v>806</v>
      </c>
      <c r="J155" t="s">
        <v>1140</v>
      </c>
      <c r="K155" s="1">
        <v>31883</v>
      </c>
      <c r="L155" t="s">
        <v>1236</v>
      </c>
      <c r="M155" t="s">
        <v>1237</v>
      </c>
      <c r="N155" t="s">
        <v>6389</v>
      </c>
    </row>
    <row r="156" spans="1:14" x14ac:dyDescent="0.25">
      <c r="A156">
        <v>46597</v>
      </c>
      <c r="B156" t="s">
        <v>1242</v>
      </c>
      <c r="C156">
        <v>5456</v>
      </c>
      <c r="D156" t="str" cm="1">
        <f t="array" ref="D156">_xlfn.TEXTJOIN(",",TRUE,_xlfn.XLOOKUP(_xlfn.TEXTSPLIT(C156,",")*1,_xlfn._TRO_TRAILING(Artists!A:A),_xlfn._TRO_TRAILING(Artists!B:B)))</f>
        <v>Aaron Siskind</v>
      </c>
      <c r="E156">
        <v>1940</v>
      </c>
      <c r="F156" cm="1">
        <f t="array" ref="F156">_xlfn.REGEXEXTRACT(E156,"\d{4}")*1</f>
        <v>1940</v>
      </c>
      <c r="G156" t="s">
        <v>1183</v>
      </c>
      <c r="H156" t="s">
        <v>1243</v>
      </c>
      <c r="I156" t="s">
        <v>806</v>
      </c>
      <c r="J156" t="s">
        <v>1140</v>
      </c>
      <c r="K156" s="1">
        <v>31133</v>
      </c>
      <c r="L156" t="s">
        <v>1244</v>
      </c>
      <c r="M156" t="s">
        <v>1245</v>
      </c>
      <c r="N156" t="s">
        <v>6390</v>
      </c>
    </row>
    <row r="157" spans="1:14" x14ac:dyDescent="0.25">
      <c r="A157">
        <v>46599</v>
      </c>
      <c r="B157" t="s">
        <v>1246</v>
      </c>
      <c r="C157">
        <v>5456</v>
      </c>
      <c r="D157" t="str" cm="1">
        <f t="array" ref="D157">_xlfn.TEXTJOIN(",",TRUE,_xlfn.XLOOKUP(_xlfn.TEXTSPLIT(C157,",")*1,_xlfn._TRO_TRAILING(Artists!A:A),_xlfn._TRO_TRAILING(Artists!B:B)))</f>
        <v>Aaron Siskind</v>
      </c>
      <c r="E157" t="s">
        <v>223</v>
      </c>
      <c r="F157" cm="1">
        <f t="array" ref="F157">_xlfn.REGEXEXTRACT(E157,"\d{4}")*1</f>
        <v>1937</v>
      </c>
      <c r="G157" t="s">
        <v>1183</v>
      </c>
      <c r="H157" t="s">
        <v>1247</v>
      </c>
      <c r="I157" t="s">
        <v>806</v>
      </c>
      <c r="J157" t="s">
        <v>1140</v>
      </c>
      <c r="K157" s="1">
        <v>31133</v>
      </c>
      <c r="L157" t="s">
        <v>1248</v>
      </c>
      <c r="M157" t="s">
        <v>1249</v>
      </c>
      <c r="N157" t="s">
        <v>6390</v>
      </c>
    </row>
    <row r="158" spans="1:14" x14ac:dyDescent="0.25">
      <c r="A158">
        <v>46608</v>
      </c>
      <c r="B158" t="s">
        <v>1250</v>
      </c>
      <c r="C158">
        <v>5456</v>
      </c>
      <c r="D158" t="str" cm="1">
        <f t="array" ref="D158">_xlfn.TEXTJOIN(",",TRUE,_xlfn.XLOOKUP(_xlfn.TEXTSPLIT(C158,",")*1,_xlfn._TRO_TRAILING(Artists!A:A),_xlfn._TRO_TRAILING(Artists!B:B)))</f>
        <v>Aaron Siskind</v>
      </c>
      <c r="E158">
        <v>1938</v>
      </c>
      <c r="F158" cm="1">
        <f t="array" ref="F158">_xlfn.REGEXEXTRACT(E158,"\d{4}")*1</f>
        <v>1938</v>
      </c>
      <c r="G158" t="s">
        <v>1183</v>
      </c>
      <c r="H158" t="s">
        <v>1251</v>
      </c>
      <c r="I158" t="s">
        <v>806</v>
      </c>
      <c r="J158" t="s">
        <v>1140</v>
      </c>
      <c r="K158" s="1">
        <v>31133</v>
      </c>
      <c r="L158" t="s">
        <v>1252</v>
      </c>
      <c r="M158" t="s">
        <v>1253</v>
      </c>
      <c r="N158" t="s">
        <v>6390</v>
      </c>
    </row>
    <row r="159" spans="1:14" x14ac:dyDescent="0.25">
      <c r="A159">
        <v>46614</v>
      </c>
      <c r="B159" t="s">
        <v>1254</v>
      </c>
      <c r="C159">
        <v>5456</v>
      </c>
      <c r="D159" t="str" cm="1">
        <f t="array" ref="D159">_xlfn.TEXTJOIN(",",TRUE,_xlfn.XLOOKUP(_xlfn.TEXTSPLIT(C159,",")*1,_xlfn._TRO_TRAILING(Artists!A:A),_xlfn._TRO_TRAILING(Artists!B:B)))</f>
        <v>Aaron Siskind</v>
      </c>
      <c r="E159" t="s">
        <v>223</v>
      </c>
      <c r="F159" cm="1">
        <f t="array" ref="F159">_xlfn.REGEXEXTRACT(E159,"\d{4}")*1</f>
        <v>1937</v>
      </c>
      <c r="G159" t="s">
        <v>1183</v>
      </c>
      <c r="H159" t="s">
        <v>1255</v>
      </c>
      <c r="I159" t="s">
        <v>806</v>
      </c>
      <c r="J159" t="s">
        <v>1140</v>
      </c>
      <c r="K159" s="1">
        <v>31133</v>
      </c>
      <c r="L159" t="s">
        <v>1256</v>
      </c>
      <c r="M159" t="s">
        <v>1257</v>
      </c>
      <c r="N159" t="s">
        <v>6390</v>
      </c>
    </row>
    <row r="160" spans="1:14" x14ac:dyDescent="0.25">
      <c r="A160">
        <v>46616</v>
      </c>
      <c r="B160" t="s">
        <v>1258</v>
      </c>
      <c r="C160">
        <v>5456</v>
      </c>
      <c r="D160" t="str" cm="1">
        <f t="array" ref="D160">_xlfn.TEXTJOIN(",",TRUE,_xlfn.XLOOKUP(_xlfn.TEXTSPLIT(C160,",")*1,_xlfn._TRO_TRAILING(Artists!A:A),_xlfn._TRO_TRAILING(Artists!B:B)))</f>
        <v>Aaron Siskind</v>
      </c>
      <c r="E160">
        <v>1938</v>
      </c>
      <c r="F160" cm="1">
        <f t="array" ref="F160">_xlfn.REGEXEXTRACT(E160,"\d{4}")*1</f>
        <v>1938</v>
      </c>
      <c r="G160" t="s">
        <v>1183</v>
      </c>
      <c r="H160" t="s">
        <v>1259</v>
      </c>
      <c r="I160" t="s">
        <v>806</v>
      </c>
      <c r="J160" t="s">
        <v>1140</v>
      </c>
      <c r="K160" s="1">
        <v>31133</v>
      </c>
      <c r="L160" t="s">
        <v>1260</v>
      </c>
      <c r="M160" t="s">
        <v>1261</v>
      </c>
      <c r="N160" t="s">
        <v>6390</v>
      </c>
    </row>
    <row r="161" spans="1:14" x14ac:dyDescent="0.25">
      <c r="A161">
        <v>46617</v>
      </c>
      <c r="B161" t="s">
        <v>1262</v>
      </c>
      <c r="C161">
        <v>5456</v>
      </c>
      <c r="D161" t="str" cm="1">
        <f t="array" ref="D161">_xlfn.TEXTJOIN(",",TRUE,_xlfn.XLOOKUP(_xlfn.TEXTSPLIT(C161,",")*1,_xlfn._TRO_TRAILING(Artists!A:A),_xlfn._TRO_TRAILING(Artists!B:B)))</f>
        <v>Aaron Siskind</v>
      </c>
      <c r="E161">
        <v>1940</v>
      </c>
      <c r="F161" cm="1">
        <f t="array" ref="F161">_xlfn.REGEXEXTRACT(E161,"\d{4}")*1</f>
        <v>1940</v>
      </c>
      <c r="G161" t="s">
        <v>1183</v>
      </c>
      <c r="H161" t="s">
        <v>1263</v>
      </c>
      <c r="I161" t="s">
        <v>806</v>
      </c>
      <c r="J161" t="s">
        <v>1140</v>
      </c>
      <c r="K161" s="1">
        <v>31133</v>
      </c>
      <c r="L161" t="s">
        <v>1264</v>
      </c>
      <c r="M161" t="s">
        <v>1265</v>
      </c>
      <c r="N161" t="s">
        <v>6370</v>
      </c>
    </row>
    <row r="162" spans="1:14" x14ac:dyDescent="0.25">
      <c r="A162">
        <v>46619</v>
      </c>
      <c r="B162" t="s">
        <v>1266</v>
      </c>
      <c r="C162">
        <v>5456</v>
      </c>
      <c r="D162" t="str" cm="1">
        <f t="array" ref="D162">_xlfn.TEXTJOIN(",",TRUE,_xlfn.XLOOKUP(_xlfn.TEXTSPLIT(C162,",")*1,_xlfn._TRO_TRAILING(Artists!A:A),_xlfn._TRO_TRAILING(Artists!B:B)))</f>
        <v>Aaron Siskind</v>
      </c>
      <c r="E162">
        <v>1940</v>
      </c>
      <c r="F162" cm="1">
        <f t="array" ref="F162">_xlfn.REGEXEXTRACT(E162,"\d{4}")*1</f>
        <v>1940</v>
      </c>
      <c r="G162" t="s">
        <v>1183</v>
      </c>
      <c r="H162" t="s">
        <v>1267</v>
      </c>
      <c r="I162" t="s">
        <v>806</v>
      </c>
      <c r="J162" t="s">
        <v>1140</v>
      </c>
      <c r="K162" s="1">
        <v>31133</v>
      </c>
      <c r="L162" t="s">
        <v>1268</v>
      </c>
      <c r="M162" t="s">
        <v>1269</v>
      </c>
      <c r="N162" t="s">
        <v>6390</v>
      </c>
    </row>
    <row r="163" spans="1:14" x14ac:dyDescent="0.25">
      <c r="A163">
        <v>47162</v>
      </c>
      <c r="B163" t="s">
        <v>51</v>
      </c>
      <c r="C163">
        <v>1422</v>
      </c>
      <c r="D163" t="str" cm="1">
        <f t="array" ref="D163">_xlfn.TEXTJOIN(",",TRUE,_xlfn.XLOOKUP(_xlfn.TEXTSPLIT(C163,",")*1,_xlfn._TRO_TRAILING(Artists!A:A),_xlfn._TRO_TRAILING(Artists!B:B)))</f>
        <v>Roy DeCarava</v>
      </c>
      <c r="E163" t="s">
        <v>273</v>
      </c>
      <c r="F163" cm="1">
        <f t="array" ref="F163">_xlfn.REGEXEXTRACT(E163,"\d{4}")*1</f>
        <v>1958</v>
      </c>
      <c r="G163" t="s">
        <v>664</v>
      </c>
      <c r="H163" t="s">
        <v>1275</v>
      </c>
      <c r="I163" t="s">
        <v>806</v>
      </c>
      <c r="J163" t="s">
        <v>1140</v>
      </c>
      <c r="K163" s="1">
        <v>21662</v>
      </c>
      <c r="L163" t="s">
        <v>1276</v>
      </c>
      <c r="M163" t="s">
        <v>1277</v>
      </c>
      <c r="N163" t="s">
        <v>6387</v>
      </c>
    </row>
    <row r="164" spans="1:14" x14ac:dyDescent="0.25">
      <c r="A164">
        <v>48124</v>
      </c>
      <c r="B164" t="s">
        <v>1284</v>
      </c>
      <c r="C164">
        <v>4089</v>
      </c>
      <c r="D164" t="str" cm="1">
        <f t="array" ref="D164">_xlfn.TEXTJOIN(",",TRUE,_xlfn.XLOOKUP(_xlfn.TEXTSPLIT(C164,",")*1,_xlfn._TRO_TRAILING(Artists!A:A),_xlfn._TRO_TRAILING(Artists!B:B)))</f>
        <v>Barbara Morgan</v>
      </c>
      <c r="E164">
        <v>1935</v>
      </c>
      <c r="F164" cm="1">
        <f t="array" ref="F164">_xlfn.REGEXEXTRACT(E164,"\d{4}")*1</f>
        <v>1935</v>
      </c>
      <c r="G164" t="s">
        <v>664</v>
      </c>
      <c r="H164" t="s">
        <v>1285</v>
      </c>
      <c r="I164" t="s">
        <v>806</v>
      </c>
      <c r="J164" t="s">
        <v>1140</v>
      </c>
      <c r="K164" s="1">
        <v>26421</v>
      </c>
      <c r="L164" t="s">
        <v>1286</v>
      </c>
      <c r="M164" t="s">
        <v>1287</v>
      </c>
      <c r="N164" t="s">
        <v>6387</v>
      </c>
    </row>
    <row r="165" spans="1:14" x14ac:dyDescent="0.25">
      <c r="A165">
        <v>48247</v>
      </c>
      <c r="B165" t="s">
        <v>1288</v>
      </c>
      <c r="C165">
        <v>4089</v>
      </c>
      <c r="D165" t="str" cm="1">
        <f t="array" ref="D165">_xlfn.TEXTJOIN(",",TRUE,_xlfn.XLOOKUP(_xlfn.TEXTSPLIT(C165,",")*1,_xlfn._TRO_TRAILING(Artists!A:A),_xlfn._TRO_TRAILING(Artists!B:B)))</f>
        <v>Barbara Morgan</v>
      </c>
      <c r="E165">
        <v>1945</v>
      </c>
      <c r="F165" cm="1">
        <f t="array" ref="F165">_xlfn.REGEXEXTRACT(E165,"\d{4}")*1</f>
        <v>1945</v>
      </c>
      <c r="G165" t="s">
        <v>1241</v>
      </c>
      <c r="H165" t="s">
        <v>1196</v>
      </c>
      <c r="I165" t="s">
        <v>806</v>
      </c>
      <c r="J165" t="s">
        <v>1140</v>
      </c>
      <c r="K165" s="1">
        <v>26421</v>
      </c>
      <c r="L165" t="s">
        <v>1289</v>
      </c>
      <c r="M165" t="s">
        <v>1290</v>
      </c>
      <c r="N165" t="s">
        <v>6387</v>
      </c>
    </row>
    <row r="166" spans="1:14" x14ac:dyDescent="0.25">
      <c r="A166">
        <v>48285</v>
      </c>
      <c r="B166" t="s">
        <v>1291</v>
      </c>
      <c r="C166">
        <v>4089</v>
      </c>
      <c r="D166" t="str" cm="1">
        <f t="array" ref="D166">_xlfn.TEXTJOIN(",",TRUE,_xlfn.XLOOKUP(_xlfn.TEXTSPLIT(C166,",")*1,_xlfn._TRO_TRAILING(Artists!A:A),_xlfn._TRO_TRAILING(Artists!B:B)))</f>
        <v>Barbara Morgan</v>
      </c>
      <c r="E166">
        <v>1938</v>
      </c>
      <c r="F166" cm="1">
        <f t="array" ref="F166">_xlfn.REGEXEXTRACT(E166,"\d{4}")*1</f>
        <v>1938</v>
      </c>
      <c r="G166" t="s">
        <v>664</v>
      </c>
      <c r="H166" t="s">
        <v>1292</v>
      </c>
      <c r="I166" t="s">
        <v>806</v>
      </c>
      <c r="J166" t="s">
        <v>1140</v>
      </c>
      <c r="K166" s="1">
        <v>26421</v>
      </c>
      <c r="L166" t="s">
        <v>1293</v>
      </c>
      <c r="M166" t="s">
        <v>1294</v>
      </c>
      <c r="N166" t="s">
        <v>6387</v>
      </c>
    </row>
    <row r="167" spans="1:14" x14ac:dyDescent="0.25">
      <c r="A167">
        <v>48356</v>
      </c>
      <c r="B167" t="s">
        <v>1295</v>
      </c>
      <c r="C167">
        <v>2207</v>
      </c>
      <c r="D167" t="str" cm="1">
        <f t="array" ref="D167">_xlfn.TEXTJOIN(",",TRUE,_xlfn.XLOOKUP(_xlfn.TEXTSPLIT(C167,",")*1,_xlfn._TRO_TRAILING(Artists!A:A),_xlfn._TRO_TRAILING(Artists!B:B)))</f>
        <v>Frank Gohlke</v>
      </c>
      <c r="E167" t="s">
        <v>1296</v>
      </c>
      <c r="F167" cm="1">
        <f t="array" ref="F167">_xlfn.REGEXEXTRACT(E167,"\d{4}")*1</f>
        <v>1975</v>
      </c>
      <c r="G167" t="s">
        <v>664</v>
      </c>
      <c r="I167" t="s">
        <v>806</v>
      </c>
      <c r="J167" t="s">
        <v>1140</v>
      </c>
      <c r="K167" s="1">
        <v>28985</v>
      </c>
      <c r="L167" t="s">
        <v>1297</v>
      </c>
      <c r="M167" t="s">
        <v>1298</v>
      </c>
      <c r="N167" t="s">
        <v>6361</v>
      </c>
    </row>
    <row r="168" spans="1:14" x14ac:dyDescent="0.25">
      <c r="A168">
        <v>48651</v>
      </c>
      <c r="B168" t="s">
        <v>1301</v>
      </c>
      <c r="C168">
        <v>924</v>
      </c>
      <c r="D168" t="str" cm="1">
        <f t="array" ref="D168">_xlfn.TEXTJOIN(",",TRUE,_xlfn.XLOOKUP(_xlfn.TEXTSPLIT(C168,",")*1,_xlfn._TRO_TRAILING(Artists!A:A),_xlfn._TRO_TRAILING(Artists!B:B)))</f>
        <v>Harry Callahan</v>
      </c>
      <c r="E168">
        <v>1959</v>
      </c>
      <c r="F168" cm="1">
        <f t="array" ref="F168">_xlfn.REGEXEXTRACT(E168,"\d{4}")*1</f>
        <v>1959</v>
      </c>
      <c r="G168" t="s">
        <v>664</v>
      </c>
      <c r="H168" t="s">
        <v>1302</v>
      </c>
      <c r="I168" t="s">
        <v>806</v>
      </c>
      <c r="J168" t="s">
        <v>1140</v>
      </c>
      <c r="K168" s="1">
        <v>22774</v>
      </c>
      <c r="L168" t="s">
        <v>1303</v>
      </c>
      <c r="M168" t="s">
        <v>1304</v>
      </c>
      <c r="N168" t="s">
        <v>6387</v>
      </c>
    </row>
    <row r="169" spans="1:14" x14ac:dyDescent="0.25">
      <c r="A169">
        <v>48676</v>
      </c>
      <c r="B169" t="s">
        <v>1305</v>
      </c>
      <c r="C169">
        <v>5456</v>
      </c>
      <c r="D169" t="str" cm="1">
        <f t="array" ref="D169">_xlfn.TEXTJOIN(",",TRUE,_xlfn.XLOOKUP(_xlfn.TEXTSPLIT(C169,",")*1,_xlfn._TRO_TRAILING(Artists!A:A),_xlfn._TRO_TRAILING(Artists!B:B)))</f>
        <v>Aaron Siskind</v>
      </c>
      <c r="E169">
        <v>1956</v>
      </c>
      <c r="F169" cm="1">
        <f t="array" ref="F169">_xlfn.REGEXEXTRACT(E169,"\d{4}")*1</f>
        <v>1956</v>
      </c>
      <c r="G169" t="s">
        <v>664</v>
      </c>
      <c r="H169" t="s">
        <v>1215</v>
      </c>
      <c r="I169" t="s">
        <v>806</v>
      </c>
      <c r="J169" t="s">
        <v>1140</v>
      </c>
      <c r="K169" s="1">
        <v>28985</v>
      </c>
      <c r="L169" t="s">
        <v>1306</v>
      </c>
      <c r="M169" t="s">
        <v>1307</v>
      </c>
      <c r="N169" t="s">
        <v>6387</v>
      </c>
    </row>
    <row r="170" spans="1:14" x14ac:dyDescent="0.25">
      <c r="A170">
        <v>49844</v>
      </c>
      <c r="B170" t="s">
        <v>1192</v>
      </c>
      <c r="C170">
        <v>3948</v>
      </c>
      <c r="D170" t="str" cm="1">
        <f t="array" ref="D170">_xlfn.TEXTJOIN(",",TRUE,_xlfn.XLOOKUP(_xlfn.TEXTSPLIT(C170,",")*1,_xlfn._TRO_TRAILING(Artists!A:A),_xlfn._TRO_TRAILING(Artists!B:B)))</f>
        <v>Ray K. Metzker</v>
      </c>
      <c r="E170" t="s">
        <v>1313</v>
      </c>
      <c r="F170" cm="1">
        <f t="array" ref="F170">_xlfn.REGEXEXTRACT(E170,"\d{4}")*1</f>
        <v>1958</v>
      </c>
      <c r="G170" t="s">
        <v>664</v>
      </c>
      <c r="H170" t="s">
        <v>1314</v>
      </c>
      <c r="I170" t="s">
        <v>806</v>
      </c>
      <c r="J170" t="s">
        <v>1140</v>
      </c>
      <c r="K170" s="1">
        <v>21662</v>
      </c>
      <c r="L170" t="s">
        <v>1315</v>
      </c>
      <c r="M170" t="s">
        <v>1316</v>
      </c>
      <c r="N170" t="s">
        <v>6387</v>
      </c>
    </row>
    <row r="171" spans="1:14" x14ac:dyDescent="0.25">
      <c r="A171">
        <v>49879</v>
      </c>
      <c r="B171" t="s">
        <v>1317</v>
      </c>
      <c r="C171">
        <v>3979</v>
      </c>
      <c r="D171" t="str" cm="1">
        <f t="array" ref="D171">_xlfn.TEXTJOIN(",",TRUE,_xlfn.XLOOKUP(_xlfn.TEXTSPLIT(C171,",")*1,_xlfn._TRO_TRAILING(Artists!A:A),_xlfn._TRO_TRAILING(Artists!B:B)))</f>
        <v>Gjon Mili</v>
      </c>
      <c r="E171">
        <v>1947</v>
      </c>
      <c r="F171" cm="1">
        <f t="array" ref="F171">_xlfn.REGEXEXTRACT(E171,"\d{4}")*1</f>
        <v>1947</v>
      </c>
      <c r="G171" t="s">
        <v>664</v>
      </c>
      <c r="H171" t="s">
        <v>1318</v>
      </c>
      <c r="I171" t="s">
        <v>806</v>
      </c>
      <c r="J171" t="s">
        <v>1140</v>
      </c>
      <c r="K171" s="1">
        <v>21662</v>
      </c>
      <c r="L171" t="s">
        <v>1319</v>
      </c>
      <c r="M171" t="s">
        <v>1320</v>
      </c>
      <c r="N171" t="s">
        <v>6387</v>
      </c>
    </row>
    <row r="172" spans="1:14" x14ac:dyDescent="0.25">
      <c r="A172">
        <v>50131</v>
      </c>
      <c r="B172" t="s">
        <v>1321</v>
      </c>
      <c r="C172">
        <v>4048</v>
      </c>
      <c r="D172" t="str" cm="1">
        <f t="array" ref="D172">_xlfn.TEXTJOIN(",",TRUE,_xlfn.XLOOKUP(_xlfn.TEXTSPLIT(C172,",")*1,_xlfn._TRO_TRAILING(Artists!A:A),_xlfn._TRO_TRAILING(Artists!B:B)))</f>
        <v>László Moholy-Nagy</v>
      </c>
      <c r="E172" t="s">
        <v>166</v>
      </c>
      <c r="F172" cm="1">
        <f t="array" ref="F172">_xlfn.REGEXEXTRACT(E172,"\d{4}")*1</f>
        <v>1926</v>
      </c>
      <c r="G172" t="s">
        <v>664</v>
      </c>
      <c r="H172" t="s">
        <v>1322</v>
      </c>
      <c r="I172" t="s">
        <v>806</v>
      </c>
      <c r="J172" t="s">
        <v>1140</v>
      </c>
      <c r="K172" s="1">
        <v>13852</v>
      </c>
      <c r="L172" t="s">
        <v>1323</v>
      </c>
      <c r="M172" t="s">
        <v>1324</v>
      </c>
      <c r="N172" t="s">
        <v>6385</v>
      </c>
    </row>
    <row r="173" spans="1:14" x14ac:dyDescent="0.25">
      <c r="A173">
        <v>50229</v>
      </c>
      <c r="B173" t="s">
        <v>1326</v>
      </c>
      <c r="C173">
        <v>4389</v>
      </c>
      <c r="D173" t="str" cm="1">
        <f t="array" ref="D173">_xlfn.TEXTJOIN(",",TRUE,_xlfn.XLOOKUP(_xlfn.TEXTSPLIT(C173,",")*1,_xlfn._TRO_TRAILING(Artists!A:A),_xlfn._TRO_TRAILING(Artists!B:B)))</f>
        <v>Yoichi R. Okamoto</v>
      </c>
      <c r="E173" t="s">
        <v>135</v>
      </c>
      <c r="F173" cm="1">
        <f t="array" ref="F173">_xlfn.REGEXEXTRACT(E173,"\d{4}")*1</f>
        <v>1950</v>
      </c>
      <c r="G173" t="s">
        <v>664</v>
      </c>
      <c r="H173" t="s">
        <v>1328</v>
      </c>
      <c r="I173" t="s">
        <v>806</v>
      </c>
      <c r="J173" t="s">
        <v>1140</v>
      </c>
      <c r="K173" s="1">
        <v>21662</v>
      </c>
      <c r="L173" t="s">
        <v>1329</v>
      </c>
      <c r="M173" t="s">
        <v>1330</v>
      </c>
      <c r="N173" t="s">
        <v>6387</v>
      </c>
    </row>
    <row r="174" spans="1:14" x14ac:dyDescent="0.25">
      <c r="A174">
        <v>50674</v>
      </c>
      <c r="B174" t="s">
        <v>1333</v>
      </c>
      <c r="C174">
        <v>869</v>
      </c>
      <c r="D174" t="str" cm="1">
        <f t="array" ref="D174">_xlfn.TEXTJOIN(",",TRUE,_xlfn.XLOOKUP(_xlfn.TEXTSPLIT(C174,",")*1,_xlfn._TRO_TRAILING(Artists!A:A),_xlfn._TRO_TRAILING(Artists!B:B)))</f>
        <v>Max Burchartz</v>
      </c>
      <c r="E174">
        <v>1928</v>
      </c>
      <c r="F174" cm="1">
        <f t="array" ref="F174">_xlfn.REGEXEXTRACT(E174,"\d{4}")*1</f>
        <v>1928</v>
      </c>
      <c r="G174" t="s">
        <v>664</v>
      </c>
      <c r="H174" t="s">
        <v>1334</v>
      </c>
      <c r="I174" t="s">
        <v>806</v>
      </c>
      <c r="J174" t="s">
        <v>1140</v>
      </c>
      <c r="K174" s="1">
        <v>34494</v>
      </c>
      <c r="L174" t="s">
        <v>1335</v>
      </c>
      <c r="M174" t="s">
        <v>1336</v>
      </c>
      <c r="N174" t="s">
        <v>6391</v>
      </c>
    </row>
    <row r="175" spans="1:14" x14ac:dyDescent="0.25">
      <c r="A175">
        <v>51562</v>
      </c>
      <c r="B175" t="s">
        <v>1341</v>
      </c>
      <c r="C175">
        <v>1973</v>
      </c>
      <c r="D175" t="str" cm="1">
        <f t="array" ref="D175">_xlfn.TEXTJOIN(",",TRUE,_xlfn.XLOOKUP(_xlfn.TEXTSPLIT(C175,",")*1,_xlfn._TRO_TRAILING(Artists!A:A),_xlfn._TRO_TRAILING(Artists!B:B)))</f>
        <v>Robert Frank</v>
      </c>
      <c r="E175">
        <v>1951</v>
      </c>
      <c r="F175" cm="1">
        <f t="array" ref="F175">_xlfn.REGEXEXTRACT(E175,"\d{4}")*1</f>
        <v>1951</v>
      </c>
      <c r="G175" t="s">
        <v>664</v>
      </c>
      <c r="H175" t="s">
        <v>1340</v>
      </c>
      <c r="I175" t="s">
        <v>806</v>
      </c>
      <c r="J175" t="s">
        <v>1140</v>
      </c>
      <c r="K175" s="1">
        <v>29874</v>
      </c>
      <c r="L175" t="s">
        <v>1342</v>
      </c>
      <c r="M175" t="s">
        <v>1343</v>
      </c>
      <c r="N175" t="s">
        <v>6384</v>
      </c>
    </row>
    <row r="176" spans="1:14" x14ac:dyDescent="0.25">
      <c r="A176">
        <v>51565</v>
      </c>
      <c r="B176" t="s">
        <v>1344</v>
      </c>
      <c r="C176">
        <v>1973</v>
      </c>
      <c r="D176" t="str" cm="1">
        <f t="array" ref="D176">_xlfn.TEXTJOIN(",",TRUE,_xlfn.XLOOKUP(_xlfn.TEXTSPLIT(C176,",")*1,_xlfn._TRO_TRAILING(Artists!A:A),_xlfn._TRO_TRAILING(Artists!B:B)))</f>
        <v>Robert Frank</v>
      </c>
      <c r="E176">
        <v>1948</v>
      </c>
      <c r="F176" cm="1">
        <f t="array" ref="F176">_xlfn.REGEXEXTRACT(E176,"\d{4}")*1</f>
        <v>1948</v>
      </c>
      <c r="G176" t="s">
        <v>664</v>
      </c>
      <c r="H176" t="s">
        <v>1345</v>
      </c>
      <c r="I176" t="s">
        <v>806</v>
      </c>
      <c r="J176" t="s">
        <v>1140</v>
      </c>
      <c r="K176" s="1">
        <v>29874</v>
      </c>
      <c r="L176" t="s">
        <v>1346</v>
      </c>
      <c r="M176" t="s">
        <v>1347</v>
      </c>
      <c r="N176" t="s">
        <v>6384</v>
      </c>
    </row>
    <row r="177" spans="1:14" x14ac:dyDescent="0.25">
      <c r="A177">
        <v>51567</v>
      </c>
      <c r="B177" t="s">
        <v>1348</v>
      </c>
      <c r="C177">
        <v>1973</v>
      </c>
      <c r="D177" t="str" cm="1">
        <f t="array" ref="D177">_xlfn.TEXTJOIN(",",TRUE,_xlfn.XLOOKUP(_xlfn.TEXTSPLIT(C177,",")*1,_xlfn._TRO_TRAILING(Artists!A:A),_xlfn._TRO_TRAILING(Artists!B:B)))</f>
        <v>Robert Frank</v>
      </c>
      <c r="E177">
        <v>1951</v>
      </c>
      <c r="F177" cm="1">
        <f t="array" ref="F177">_xlfn.REGEXEXTRACT(E177,"\d{4}")*1</f>
        <v>1951</v>
      </c>
      <c r="G177" t="s">
        <v>664</v>
      </c>
      <c r="H177" t="s">
        <v>1340</v>
      </c>
      <c r="I177" t="s">
        <v>806</v>
      </c>
      <c r="J177" t="s">
        <v>1140</v>
      </c>
      <c r="K177" s="1">
        <v>29874</v>
      </c>
      <c r="L177" t="s">
        <v>1349</v>
      </c>
      <c r="M177" t="s">
        <v>1350</v>
      </c>
      <c r="N177" t="s">
        <v>6384</v>
      </c>
    </row>
    <row r="178" spans="1:14" x14ac:dyDescent="0.25">
      <c r="A178">
        <v>51568</v>
      </c>
      <c r="B178" t="s">
        <v>1351</v>
      </c>
      <c r="C178">
        <v>1973</v>
      </c>
      <c r="D178" t="str" cm="1">
        <f t="array" ref="D178">_xlfn.TEXTJOIN(",",TRUE,_xlfn.XLOOKUP(_xlfn.TEXTSPLIT(C178,",")*1,_xlfn._TRO_TRAILING(Artists!A:A),_xlfn._TRO_TRAILING(Artists!B:B)))</f>
        <v>Robert Frank</v>
      </c>
      <c r="E178">
        <v>1952</v>
      </c>
      <c r="F178" cm="1">
        <f t="array" ref="F178">_xlfn.REGEXEXTRACT(E178,"\d{4}")*1</f>
        <v>1952</v>
      </c>
      <c r="G178" t="s">
        <v>664</v>
      </c>
      <c r="H178" t="s">
        <v>1352</v>
      </c>
      <c r="I178" t="s">
        <v>806</v>
      </c>
      <c r="J178" t="s">
        <v>1140</v>
      </c>
      <c r="K178" s="1">
        <v>29874</v>
      </c>
      <c r="L178" t="s">
        <v>1353</v>
      </c>
      <c r="M178" t="s">
        <v>1354</v>
      </c>
      <c r="N178" t="s">
        <v>6384</v>
      </c>
    </row>
    <row r="179" spans="1:14" x14ac:dyDescent="0.25">
      <c r="A179">
        <v>51571</v>
      </c>
      <c r="B179" t="s">
        <v>1355</v>
      </c>
      <c r="C179">
        <v>1973</v>
      </c>
      <c r="D179" t="str" cm="1">
        <f t="array" ref="D179">_xlfn.TEXTJOIN(",",TRUE,_xlfn.XLOOKUP(_xlfn.TEXTSPLIT(C179,",")*1,_xlfn._TRO_TRAILING(Artists!A:A),_xlfn._TRO_TRAILING(Artists!B:B)))</f>
        <v>Robert Frank</v>
      </c>
      <c r="E179">
        <v>1952</v>
      </c>
      <c r="F179" cm="1">
        <f t="array" ref="F179">_xlfn.REGEXEXTRACT(E179,"\d{4}")*1</f>
        <v>1952</v>
      </c>
      <c r="G179" t="s">
        <v>664</v>
      </c>
      <c r="H179" t="s">
        <v>1356</v>
      </c>
      <c r="I179" t="s">
        <v>806</v>
      </c>
      <c r="J179" t="s">
        <v>1140</v>
      </c>
      <c r="K179" s="1">
        <v>29874</v>
      </c>
      <c r="L179" t="s">
        <v>1357</v>
      </c>
      <c r="M179" t="s">
        <v>1358</v>
      </c>
      <c r="N179" t="s">
        <v>6384</v>
      </c>
    </row>
    <row r="180" spans="1:14" x14ac:dyDescent="0.25">
      <c r="A180">
        <v>51572</v>
      </c>
      <c r="B180" t="s">
        <v>1278</v>
      </c>
      <c r="C180">
        <v>1973</v>
      </c>
      <c r="D180" t="str" cm="1">
        <f t="array" ref="D180">_xlfn.TEXTJOIN(",",TRUE,_xlfn.XLOOKUP(_xlfn.TEXTSPLIT(C180,",")*1,_xlfn._TRO_TRAILING(Artists!A:A),_xlfn._TRO_TRAILING(Artists!B:B)))</f>
        <v>Robert Frank</v>
      </c>
      <c r="E180">
        <v>1951</v>
      </c>
      <c r="F180" cm="1">
        <f t="array" ref="F180">_xlfn.REGEXEXTRACT(E180,"\d{4}")*1</f>
        <v>1951</v>
      </c>
      <c r="G180" t="s">
        <v>664</v>
      </c>
      <c r="H180" t="s">
        <v>1359</v>
      </c>
      <c r="I180" t="s">
        <v>806</v>
      </c>
      <c r="J180" t="s">
        <v>1140</v>
      </c>
      <c r="K180" s="1">
        <v>29874</v>
      </c>
      <c r="L180" t="s">
        <v>1360</v>
      </c>
      <c r="M180" t="s">
        <v>1361</v>
      </c>
      <c r="N180" t="s">
        <v>6384</v>
      </c>
    </row>
    <row r="181" spans="1:14" x14ac:dyDescent="0.25">
      <c r="A181">
        <v>51574</v>
      </c>
      <c r="B181" t="s">
        <v>1362</v>
      </c>
      <c r="C181">
        <v>1973</v>
      </c>
      <c r="D181" t="str" cm="1">
        <f t="array" ref="D181">_xlfn.TEXTJOIN(",",TRUE,_xlfn.XLOOKUP(_xlfn.TEXTSPLIT(C181,",")*1,_xlfn._TRO_TRAILING(Artists!A:A),_xlfn._TRO_TRAILING(Artists!B:B)))</f>
        <v>Robert Frank</v>
      </c>
      <c r="E181">
        <v>1951</v>
      </c>
      <c r="F181" cm="1">
        <f t="array" ref="F181">_xlfn.REGEXEXTRACT(E181,"\d{4}")*1</f>
        <v>1951</v>
      </c>
      <c r="G181" t="s">
        <v>664</v>
      </c>
      <c r="H181" t="s">
        <v>1363</v>
      </c>
      <c r="I181" t="s">
        <v>806</v>
      </c>
      <c r="J181" t="s">
        <v>1140</v>
      </c>
      <c r="K181" s="1">
        <v>29874</v>
      </c>
      <c r="L181" t="s">
        <v>1364</v>
      </c>
      <c r="M181" t="s">
        <v>1365</v>
      </c>
      <c r="N181" t="s">
        <v>6384</v>
      </c>
    </row>
    <row r="182" spans="1:14" x14ac:dyDescent="0.25">
      <c r="A182">
        <v>51575</v>
      </c>
      <c r="B182" t="s">
        <v>1308</v>
      </c>
      <c r="C182">
        <v>1973</v>
      </c>
      <c r="D182" t="str" cm="1">
        <f t="array" ref="D182">_xlfn.TEXTJOIN(",",TRUE,_xlfn.XLOOKUP(_xlfn.TEXTSPLIT(C182,",")*1,_xlfn._TRO_TRAILING(Artists!A:A),_xlfn._TRO_TRAILING(Artists!B:B)))</f>
        <v>Robert Frank</v>
      </c>
      <c r="E182">
        <v>1951</v>
      </c>
      <c r="F182" cm="1">
        <f t="array" ref="F182">_xlfn.REGEXEXTRACT(E182,"\d{4}")*1</f>
        <v>1951</v>
      </c>
      <c r="G182" t="s">
        <v>664</v>
      </c>
      <c r="H182" t="s">
        <v>1366</v>
      </c>
      <c r="I182" t="s">
        <v>806</v>
      </c>
      <c r="J182" t="s">
        <v>1140</v>
      </c>
      <c r="K182" s="1">
        <v>29874</v>
      </c>
      <c r="L182" t="s">
        <v>1367</v>
      </c>
      <c r="M182" t="s">
        <v>1368</v>
      </c>
      <c r="N182" t="s">
        <v>6384</v>
      </c>
    </row>
    <row r="183" spans="1:14" x14ac:dyDescent="0.25">
      <c r="A183">
        <v>51578</v>
      </c>
      <c r="B183" t="s">
        <v>1369</v>
      </c>
      <c r="C183">
        <v>1973</v>
      </c>
      <c r="D183" t="str" cm="1">
        <f t="array" ref="D183">_xlfn.TEXTJOIN(",",TRUE,_xlfn.XLOOKUP(_xlfn.TEXTSPLIT(C183,",")*1,_xlfn._TRO_TRAILING(Artists!A:A),_xlfn._TRO_TRAILING(Artists!B:B)))</f>
        <v>Robert Frank</v>
      </c>
      <c r="E183">
        <v>1949</v>
      </c>
      <c r="F183" cm="1">
        <f t="array" ref="F183">_xlfn.REGEXEXTRACT(E183,"\d{4}")*1</f>
        <v>1949</v>
      </c>
      <c r="G183" t="s">
        <v>664</v>
      </c>
      <c r="H183" t="s">
        <v>1370</v>
      </c>
      <c r="I183" t="s">
        <v>806</v>
      </c>
      <c r="J183" t="s">
        <v>1140</v>
      </c>
      <c r="K183" s="1">
        <v>29874</v>
      </c>
      <c r="L183" t="s">
        <v>1371</v>
      </c>
      <c r="M183" t="s">
        <v>1372</v>
      </c>
      <c r="N183" t="s">
        <v>6384</v>
      </c>
    </row>
    <row r="184" spans="1:14" x14ac:dyDescent="0.25">
      <c r="A184">
        <v>51580</v>
      </c>
      <c r="B184" t="s">
        <v>1373</v>
      </c>
      <c r="C184">
        <v>1973</v>
      </c>
      <c r="D184" t="str" cm="1">
        <f t="array" ref="D184">_xlfn.TEXTJOIN(",",TRUE,_xlfn.XLOOKUP(_xlfn.TEXTSPLIT(C184,",")*1,_xlfn._TRO_TRAILING(Artists!A:A),_xlfn._TRO_TRAILING(Artists!B:B)))</f>
        <v>Robert Frank</v>
      </c>
      <c r="E184">
        <v>1952</v>
      </c>
      <c r="F184" cm="1">
        <f t="array" ref="F184">_xlfn.REGEXEXTRACT(E184,"\d{4}")*1</f>
        <v>1952</v>
      </c>
      <c r="G184" t="s">
        <v>664</v>
      </c>
      <c r="H184" t="s">
        <v>1374</v>
      </c>
      <c r="I184" t="s">
        <v>806</v>
      </c>
      <c r="J184" t="s">
        <v>1140</v>
      </c>
      <c r="K184" s="1">
        <v>29874</v>
      </c>
      <c r="L184" t="s">
        <v>1375</v>
      </c>
      <c r="M184" t="s">
        <v>1376</v>
      </c>
      <c r="N184" t="s">
        <v>6384</v>
      </c>
    </row>
    <row r="185" spans="1:14" x14ac:dyDescent="0.25">
      <c r="A185">
        <v>51581</v>
      </c>
      <c r="B185" t="s">
        <v>1377</v>
      </c>
      <c r="C185">
        <v>1973</v>
      </c>
      <c r="D185" t="str" cm="1">
        <f t="array" ref="D185">_xlfn.TEXTJOIN(",",TRUE,_xlfn.XLOOKUP(_xlfn.TEXTSPLIT(C185,",")*1,_xlfn._TRO_TRAILING(Artists!A:A),_xlfn._TRO_TRAILING(Artists!B:B)))</f>
        <v>Robert Frank</v>
      </c>
      <c r="E185">
        <v>1952</v>
      </c>
      <c r="F185" cm="1">
        <f t="array" ref="F185">_xlfn.REGEXEXTRACT(E185,"\d{4}")*1</f>
        <v>1952</v>
      </c>
      <c r="G185" t="s">
        <v>664</v>
      </c>
      <c r="H185" t="s">
        <v>1378</v>
      </c>
      <c r="I185" t="s">
        <v>806</v>
      </c>
      <c r="J185" t="s">
        <v>1140</v>
      </c>
      <c r="K185" s="1">
        <v>29874</v>
      </c>
      <c r="L185" t="s">
        <v>1379</v>
      </c>
      <c r="M185" t="s">
        <v>1380</v>
      </c>
      <c r="N185" t="s">
        <v>6384</v>
      </c>
    </row>
    <row r="186" spans="1:14" x14ac:dyDescent="0.25">
      <c r="A186">
        <v>51582</v>
      </c>
      <c r="B186" t="s">
        <v>1273</v>
      </c>
      <c r="C186">
        <v>1973</v>
      </c>
      <c r="D186" t="str" cm="1">
        <f t="array" ref="D186">_xlfn.TEXTJOIN(",",TRUE,_xlfn.XLOOKUP(_xlfn.TEXTSPLIT(C186,",")*1,_xlfn._TRO_TRAILING(Artists!A:A),_xlfn._TRO_TRAILING(Artists!B:B)))</f>
        <v>Robert Frank</v>
      </c>
      <c r="E186">
        <v>1951</v>
      </c>
      <c r="F186" cm="1">
        <f t="array" ref="F186">_xlfn.REGEXEXTRACT(E186,"\d{4}")*1</f>
        <v>1951</v>
      </c>
      <c r="G186" t="s">
        <v>664</v>
      </c>
      <c r="H186" t="s">
        <v>1381</v>
      </c>
      <c r="I186" t="s">
        <v>806</v>
      </c>
      <c r="J186" t="s">
        <v>1140</v>
      </c>
      <c r="K186" s="1">
        <v>29874</v>
      </c>
      <c r="L186" t="s">
        <v>1382</v>
      </c>
      <c r="M186" t="s">
        <v>1383</v>
      </c>
      <c r="N186" t="s">
        <v>6384</v>
      </c>
    </row>
    <row r="187" spans="1:14" x14ac:dyDescent="0.25">
      <c r="A187">
        <v>51585</v>
      </c>
      <c r="B187" t="s">
        <v>1384</v>
      </c>
      <c r="C187">
        <v>1973</v>
      </c>
      <c r="D187" t="str" cm="1">
        <f t="array" ref="D187">_xlfn.TEXTJOIN(",",TRUE,_xlfn.XLOOKUP(_xlfn.TEXTSPLIT(C187,",")*1,_xlfn._TRO_TRAILING(Artists!A:A),_xlfn._TRO_TRAILING(Artists!B:B)))</f>
        <v>Robert Frank</v>
      </c>
      <c r="E187">
        <v>1949</v>
      </c>
      <c r="F187" cm="1">
        <f t="array" ref="F187">_xlfn.REGEXEXTRACT(E187,"\d{4}")*1</f>
        <v>1949</v>
      </c>
      <c r="G187" t="s">
        <v>664</v>
      </c>
      <c r="H187" t="s">
        <v>1385</v>
      </c>
      <c r="I187" t="s">
        <v>806</v>
      </c>
      <c r="J187" t="s">
        <v>1140</v>
      </c>
      <c r="K187" s="1">
        <v>29874</v>
      </c>
      <c r="L187" t="s">
        <v>1386</v>
      </c>
      <c r="M187" t="s">
        <v>1387</v>
      </c>
      <c r="N187" t="s">
        <v>6384</v>
      </c>
    </row>
    <row r="188" spans="1:14" x14ac:dyDescent="0.25">
      <c r="A188">
        <v>51586</v>
      </c>
      <c r="B188" t="s">
        <v>1388</v>
      </c>
      <c r="C188">
        <v>1973</v>
      </c>
      <c r="D188" t="str" cm="1">
        <f t="array" ref="D188">_xlfn.TEXTJOIN(",",TRUE,_xlfn.XLOOKUP(_xlfn.TEXTSPLIT(C188,",")*1,_xlfn._TRO_TRAILING(Artists!A:A),_xlfn._TRO_TRAILING(Artists!B:B)))</f>
        <v>Robert Frank</v>
      </c>
      <c r="E188">
        <v>1952</v>
      </c>
      <c r="F188" cm="1">
        <f t="array" ref="F188">_xlfn.REGEXEXTRACT(E188,"\d{4}")*1</f>
        <v>1952</v>
      </c>
      <c r="G188" t="s">
        <v>664</v>
      </c>
      <c r="H188" t="s">
        <v>1389</v>
      </c>
      <c r="I188" t="s">
        <v>806</v>
      </c>
      <c r="J188" t="s">
        <v>1140</v>
      </c>
      <c r="K188" s="1">
        <v>29874</v>
      </c>
      <c r="L188" t="s">
        <v>1390</v>
      </c>
      <c r="M188" t="s">
        <v>1391</v>
      </c>
      <c r="N188" t="s">
        <v>6384</v>
      </c>
    </row>
    <row r="189" spans="1:14" x14ac:dyDescent="0.25">
      <c r="A189">
        <v>51590</v>
      </c>
      <c r="B189" t="s">
        <v>1392</v>
      </c>
      <c r="C189">
        <v>1973</v>
      </c>
      <c r="D189" t="str" cm="1">
        <f t="array" ref="D189">_xlfn.TEXTJOIN(",",TRUE,_xlfn.XLOOKUP(_xlfn.TEXTSPLIT(C189,",")*1,_xlfn._TRO_TRAILING(Artists!A:A),_xlfn._TRO_TRAILING(Artists!B:B)))</f>
        <v>Robert Frank</v>
      </c>
      <c r="E189">
        <v>1952</v>
      </c>
      <c r="F189" cm="1">
        <f t="array" ref="F189">_xlfn.REGEXEXTRACT(E189,"\d{4}")*1</f>
        <v>1952</v>
      </c>
      <c r="G189" t="s">
        <v>664</v>
      </c>
      <c r="H189" t="s">
        <v>1393</v>
      </c>
      <c r="I189" t="s">
        <v>806</v>
      </c>
      <c r="J189" t="s">
        <v>1140</v>
      </c>
      <c r="K189" s="1">
        <v>29874</v>
      </c>
      <c r="L189" t="s">
        <v>1394</v>
      </c>
      <c r="M189" t="s">
        <v>1395</v>
      </c>
      <c r="N189" t="s">
        <v>6384</v>
      </c>
    </row>
    <row r="190" spans="1:14" x14ac:dyDescent="0.25">
      <c r="A190">
        <v>51591</v>
      </c>
      <c r="B190" t="s">
        <v>1396</v>
      </c>
      <c r="C190">
        <v>1973</v>
      </c>
      <c r="D190" t="str" cm="1">
        <f t="array" ref="D190">_xlfn.TEXTJOIN(",",TRUE,_xlfn.XLOOKUP(_xlfn.TEXTSPLIT(C190,",")*1,_xlfn._TRO_TRAILING(Artists!A:A),_xlfn._TRO_TRAILING(Artists!B:B)))</f>
        <v>Robert Frank</v>
      </c>
      <c r="E190">
        <v>1951</v>
      </c>
      <c r="F190" cm="1">
        <f t="array" ref="F190">_xlfn.REGEXEXTRACT(E190,"\d{4}")*1</f>
        <v>1951</v>
      </c>
      <c r="G190" t="s">
        <v>664</v>
      </c>
      <c r="H190" t="s">
        <v>1397</v>
      </c>
      <c r="I190" t="s">
        <v>806</v>
      </c>
      <c r="J190" t="s">
        <v>1140</v>
      </c>
      <c r="K190" s="1">
        <v>29874</v>
      </c>
      <c r="L190" t="s">
        <v>1398</v>
      </c>
      <c r="M190" t="s">
        <v>1399</v>
      </c>
      <c r="N190" t="s">
        <v>6384</v>
      </c>
    </row>
    <row r="191" spans="1:14" x14ac:dyDescent="0.25">
      <c r="A191">
        <v>51593</v>
      </c>
      <c r="B191" t="s">
        <v>1400</v>
      </c>
      <c r="C191">
        <v>1973</v>
      </c>
      <c r="D191" t="str" cm="1">
        <f t="array" ref="D191">_xlfn.TEXTJOIN(",",TRUE,_xlfn.XLOOKUP(_xlfn.TEXTSPLIT(C191,",")*1,_xlfn._TRO_TRAILING(Artists!A:A),_xlfn._TRO_TRAILING(Artists!B:B)))</f>
        <v>Robert Frank</v>
      </c>
      <c r="E191">
        <v>1952</v>
      </c>
      <c r="F191" cm="1">
        <f t="array" ref="F191">_xlfn.REGEXEXTRACT(E191,"\d{4}")*1</f>
        <v>1952</v>
      </c>
      <c r="G191" t="s">
        <v>664</v>
      </c>
      <c r="H191" t="s">
        <v>1401</v>
      </c>
      <c r="I191" t="s">
        <v>806</v>
      </c>
      <c r="J191" t="s">
        <v>1140</v>
      </c>
      <c r="K191" s="1">
        <v>29874</v>
      </c>
      <c r="L191" t="s">
        <v>1402</v>
      </c>
      <c r="M191" t="s">
        <v>1403</v>
      </c>
      <c r="N191" t="s">
        <v>6384</v>
      </c>
    </row>
    <row r="192" spans="1:14" x14ac:dyDescent="0.25">
      <c r="A192">
        <v>52049</v>
      </c>
      <c r="B192" t="s">
        <v>1408</v>
      </c>
      <c r="C192">
        <v>7017</v>
      </c>
      <c r="D192" t="str" cm="1">
        <f t="array" ref="D192">_xlfn.TEXTJOIN(",",TRUE,_xlfn.XLOOKUP(_xlfn.TEXTSPLIT(C192,",")*1,_xlfn._TRO_TRAILING(Artists!A:A),_xlfn._TRO_TRAILING(Artists!B:B)))</f>
        <v>Adrian Piper</v>
      </c>
      <c r="E192">
        <v>1971</v>
      </c>
      <c r="F192" cm="1">
        <f t="array" ref="F192">_xlfn.REGEXEXTRACT(E192,"\d{4}")*1</f>
        <v>1971</v>
      </c>
      <c r="G192" t="s">
        <v>1332</v>
      </c>
      <c r="H192" t="s">
        <v>1410</v>
      </c>
      <c r="I192" t="s">
        <v>806</v>
      </c>
      <c r="J192" t="s">
        <v>1140</v>
      </c>
      <c r="K192" s="1">
        <v>35957</v>
      </c>
      <c r="L192" t="s">
        <v>1411</v>
      </c>
      <c r="M192" t="s">
        <v>1412</v>
      </c>
      <c r="N192" t="s">
        <v>6376</v>
      </c>
    </row>
    <row r="193" spans="1:14" x14ac:dyDescent="0.25">
      <c r="A193">
        <v>52051</v>
      </c>
      <c r="B193" t="s">
        <v>1413</v>
      </c>
      <c r="C193">
        <v>7017</v>
      </c>
      <c r="D193" t="str" cm="1">
        <f t="array" ref="D193">_xlfn.TEXTJOIN(",",TRUE,_xlfn.XLOOKUP(_xlfn.TEXTSPLIT(C193,",")*1,_xlfn._TRO_TRAILING(Artists!A:A),_xlfn._TRO_TRAILING(Artists!B:B)))</f>
        <v>Adrian Piper</v>
      </c>
      <c r="E193">
        <v>1971</v>
      </c>
      <c r="F193" cm="1">
        <f t="array" ref="F193">_xlfn.REGEXEXTRACT(E193,"\d{4}")*1</f>
        <v>1971</v>
      </c>
      <c r="G193" t="s">
        <v>1332</v>
      </c>
      <c r="H193" t="s">
        <v>1414</v>
      </c>
      <c r="I193" t="s">
        <v>806</v>
      </c>
      <c r="J193" t="s">
        <v>1140</v>
      </c>
      <c r="K193" s="1">
        <v>35957</v>
      </c>
      <c r="L193" t="s">
        <v>1415</v>
      </c>
      <c r="M193" t="s">
        <v>1416</v>
      </c>
      <c r="N193" t="s">
        <v>6376</v>
      </c>
    </row>
    <row r="194" spans="1:14" x14ac:dyDescent="0.25">
      <c r="A194">
        <v>52052</v>
      </c>
      <c r="B194" t="s">
        <v>1417</v>
      </c>
      <c r="C194">
        <v>7017</v>
      </c>
      <c r="D194" t="str" cm="1">
        <f t="array" ref="D194">_xlfn.TEXTJOIN(",",TRUE,_xlfn.XLOOKUP(_xlfn.TEXTSPLIT(C194,",")*1,_xlfn._TRO_TRAILING(Artists!A:A),_xlfn._TRO_TRAILING(Artists!B:B)))</f>
        <v>Adrian Piper</v>
      </c>
      <c r="E194">
        <v>1971</v>
      </c>
      <c r="F194" cm="1">
        <f t="array" ref="F194">_xlfn.REGEXEXTRACT(E194,"\d{4}")*1</f>
        <v>1971</v>
      </c>
      <c r="G194" t="s">
        <v>1332</v>
      </c>
      <c r="H194" t="s">
        <v>1414</v>
      </c>
      <c r="I194" t="s">
        <v>806</v>
      </c>
      <c r="J194" t="s">
        <v>1140</v>
      </c>
      <c r="K194" s="1">
        <v>35957</v>
      </c>
      <c r="L194" t="s">
        <v>1418</v>
      </c>
      <c r="M194" t="s">
        <v>1419</v>
      </c>
      <c r="N194" t="s">
        <v>6376</v>
      </c>
    </row>
    <row r="195" spans="1:14" x14ac:dyDescent="0.25">
      <c r="A195">
        <v>52053</v>
      </c>
      <c r="B195" t="s">
        <v>1420</v>
      </c>
      <c r="C195">
        <v>7017</v>
      </c>
      <c r="D195" t="str" cm="1">
        <f t="array" ref="D195">_xlfn.TEXTJOIN(",",TRUE,_xlfn.XLOOKUP(_xlfn.TEXTSPLIT(C195,",")*1,_xlfn._TRO_TRAILING(Artists!A:A),_xlfn._TRO_TRAILING(Artists!B:B)))</f>
        <v>Adrian Piper</v>
      </c>
      <c r="E195">
        <v>1971</v>
      </c>
      <c r="F195" cm="1">
        <f t="array" ref="F195">_xlfn.REGEXEXTRACT(E195,"\d{4}")*1</f>
        <v>1971</v>
      </c>
      <c r="G195" t="s">
        <v>1332</v>
      </c>
      <c r="H195" t="s">
        <v>1414</v>
      </c>
      <c r="I195" t="s">
        <v>806</v>
      </c>
      <c r="J195" t="s">
        <v>1140</v>
      </c>
      <c r="K195" s="1">
        <v>35957</v>
      </c>
      <c r="L195" t="s">
        <v>1421</v>
      </c>
      <c r="M195" t="s">
        <v>1422</v>
      </c>
      <c r="N195" t="s">
        <v>6376</v>
      </c>
    </row>
    <row r="196" spans="1:14" x14ac:dyDescent="0.25">
      <c r="A196">
        <v>52054</v>
      </c>
      <c r="B196" t="s">
        <v>1423</v>
      </c>
      <c r="C196">
        <v>7017</v>
      </c>
      <c r="D196" t="str" cm="1">
        <f t="array" ref="D196">_xlfn.TEXTJOIN(",",TRUE,_xlfn.XLOOKUP(_xlfn.TEXTSPLIT(C196,",")*1,_xlfn._TRO_TRAILING(Artists!A:A),_xlfn._TRO_TRAILING(Artists!B:B)))</f>
        <v>Adrian Piper</v>
      </c>
      <c r="E196">
        <v>1971</v>
      </c>
      <c r="F196" cm="1">
        <f t="array" ref="F196">_xlfn.REGEXEXTRACT(E196,"\d{4}")*1</f>
        <v>1971</v>
      </c>
      <c r="G196" t="s">
        <v>1332</v>
      </c>
      <c r="H196" t="s">
        <v>1424</v>
      </c>
      <c r="I196" t="s">
        <v>806</v>
      </c>
      <c r="J196" t="s">
        <v>1140</v>
      </c>
      <c r="K196" s="1">
        <v>35957</v>
      </c>
      <c r="L196" t="s">
        <v>1425</v>
      </c>
      <c r="M196" t="s">
        <v>1426</v>
      </c>
      <c r="N196" t="s">
        <v>6376</v>
      </c>
    </row>
    <row r="197" spans="1:14" x14ac:dyDescent="0.25">
      <c r="A197">
        <v>52055</v>
      </c>
      <c r="B197" t="s">
        <v>1427</v>
      </c>
      <c r="C197">
        <v>7017</v>
      </c>
      <c r="D197" t="str" cm="1">
        <f t="array" ref="D197">_xlfn.TEXTJOIN(",",TRUE,_xlfn.XLOOKUP(_xlfn.TEXTSPLIT(C197,",")*1,_xlfn._TRO_TRAILING(Artists!A:A),_xlfn._TRO_TRAILING(Artists!B:B)))</f>
        <v>Adrian Piper</v>
      </c>
      <c r="E197">
        <v>1971</v>
      </c>
      <c r="F197" cm="1">
        <f t="array" ref="F197">_xlfn.REGEXEXTRACT(E197,"\d{4}")*1</f>
        <v>1971</v>
      </c>
      <c r="G197" t="s">
        <v>1332</v>
      </c>
      <c r="H197" t="s">
        <v>1414</v>
      </c>
      <c r="I197" t="s">
        <v>806</v>
      </c>
      <c r="J197" t="s">
        <v>1140</v>
      </c>
      <c r="K197" s="1">
        <v>35957</v>
      </c>
      <c r="L197" t="s">
        <v>1428</v>
      </c>
      <c r="M197" t="s">
        <v>1429</v>
      </c>
      <c r="N197" t="s">
        <v>6376</v>
      </c>
    </row>
    <row r="198" spans="1:14" x14ac:dyDescent="0.25">
      <c r="A198">
        <v>52056</v>
      </c>
      <c r="B198" t="s">
        <v>1430</v>
      </c>
      <c r="C198">
        <v>7017</v>
      </c>
      <c r="D198" t="str" cm="1">
        <f t="array" ref="D198">_xlfn.TEXTJOIN(",",TRUE,_xlfn.XLOOKUP(_xlfn.TEXTSPLIT(C198,",")*1,_xlfn._TRO_TRAILING(Artists!A:A),_xlfn._TRO_TRAILING(Artists!B:B)))</f>
        <v>Adrian Piper</v>
      </c>
      <c r="E198">
        <v>1971</v>
      </c>
      <c r="F198" cm="1">
        <f t="array" ref="F198">_xlfn.REGEXEXTRACT(E198,"\d{4}")*1</f>
        <v>1971</v>
      </c>
      <c r="G198" t="s">
        <v>1332</v>
      </c>
      <c r="H198" t="s">
        <v>1414</v>
      </c>
      <c r="I198" t="s">
        <v>806</v>
      </c>
      <c r="J198" t="s">
        <v>1140</v>
      </c>
      <c r="K198" s="1">
        <v>35957</v>
      </c>
      <c r="L198" t="s">
        <v>1431</v>
      </c>
      <c r="M198" t="s">
        <v>1432</v>
      </c>
      <c r="N198" t="s">
        <v>6376</v>
      </c>
    </row>
    <row r="199" spans="1:14" x14ac:dyDescent="0.25">
      <c r="A199">
        <v>52057</v>
      </c>
      <c r="B199" t="s">
        <v>1433</v>
      </c>
      <c r="C199">
        <v>7017</v>
      </c>
      <c r="D199" t="str" cm="1">
        <f t="array" ref="D199">_xlfn.TEXTJOIN(",",TRUE,_xlfn.XLOOKUP(_xlfn.TEXTSPLIT(C199,",")*1,_xlfn._TRO_TRAILING(Artists!A:A),_xlfn._TRO_TRAILING(Artists!B:B)))</f>
        <v>Adrian Piper</v>
      </c>
      <c r="E199">
        <v>1971</v>
      </c>
      <c r="F199" cm="1">
        <f t="array" ref="F199">_xlfn.REGEXEXTRACT(E199,"\d{4}")*1</f>
        <v>1971</v>
      </c>
      <c r="G199" t="s">
        <v>1332</v>
      </c>
      <c r="H199" t="s">
        <v>1424</v>
      </c>
      <c r="I199" t="s">
        <v>806</v>
      </c>
      <c r="J199" t="s">
        <v>1140</v>
      </c>
      <c r="K199" s="1">
        <v>35957</v>
      </c>
      <c r="L199" t="s">
        <v>1434</v>
      </c>
      <c r="M199" t="s">
        <v>1435</v>
      </c>
      <c r="N199" t="s">
        <v>6376</v>
      </c>
    </row>
    <row r="200" spans="1:14" x14ac:dyDescent="0.25">
      <c r="A200">
        <v>52058</v>
      </c>
      <c r="B200" t="s">
        <v>1436</v>
      </c>
      <c r="C200">
        <v>7017</v>
      </c>
      <c r="D200" t="str" cm="1">
        <f t="array" ref="D200">_xlfn.TEXTJOIN(",",TRUE,_xlfn.XLOOKUP(_xlfn.TEXTSPLIT(C200,",")*1,_xlfn._TRO_TRAILING(Artists!A:A),_xlfn._TRO_TRAILING(Artists!B:B)))</f>
        <v>Adrian Piper</v>
      </c>
      <c r="E200">
        <v>1971</v>
      </c>
      <c r="F200" cm="1">
        <f t="array" ref="F200">_xlfn.REGEXEXTRACT(E200,"\d{4}")*1</f>
        <v>1971</v>
      </c>
      <c r="G200" t="s">
        <v>1332</v>
      </c>
      <c r="H200" t="s">
        <v>1424</v>
      </c>
      <c r="I200" t="s">
        <v>806</v>
      </c>
      <c r="J200" t="s">
        <v>1140</v>
      </c>
      <c r="K200" s="1">
        <v>35957</v>
      </c>
      <c r="L200" t="s">
        <v>1437</v>
      </c>
      <c r="M200" t="s">
        <v>1438</v>
      </c>
      <c r="N200" t="s">
        <v>6376</v>
      </c>
    </row>
    <row r="201" spans="1:14" x14ac:dyDescent="0.25">
      <c r="A201">
        <v>52059</v>
      </c>
      <c r="B201" t="s">
        <v>1439</v>
      </c>
      <c r="C201">
        <v>7017</v>
      </c>
      <c r="D201" t="str" cm="1">
        <f t="array" ref="D201">_xlfn.TEXTJOIN(",",TRUE,_xlfn.XLOOKUP(_xlfn.TEXTSPLIT(C201,",")*1,_xlfn._TRO_TRAILING(Artists!A:A),_xlfn._TRO_TRAILING(Artists!B:B)))</f>
        <v>Adrian Piper</v>
      </c>
      <c r="E201">
        <v>1971</v>
      </c>
      <c r="F201" cm="1">
        <f t="array" ref="F201">_xlfn.REGEXEXTRACT(E201,"\d{4}")*1</f>
        <v>1971</v>
      </c>
      <c r="G201" t="s">
        <v>1332</v>
      </c>
      <c r="H201" t="s">
        <v>1440</v>
      </c>
      <c r="I201" t="s">
        <v>806</v>
      </c>
      <c r="J201" t="s">
        <v>1140</v>
      </c>
      <c r="K201" s="1">
        <v>35957</v>
      </c>
      <c r="L201" t="s">
        <v>1441</v>
      </c>
      <c r="M201" t="s">
        <v>1442</v>
      </c>
      <c r="N201" t="s">
        <v>6376</v>
      </c>
    </row>
    <row r="202" spans="1:14" x14ac:dyDescent="0.25">
      <c r="A202">
        <v>52060</v>
      </c>
      <c r="B202" t="s">
        <v>1443</v>
      </c>
      <c r="C202">
        <v>7017</v>
      </c>
      <c r="D202" t="str" cm="1">
        <f t="array" ref="D202">_xlfn.TEXTJOIN(",",TRUE,_xlfn.XLOOKUP(_xlfn.TEXTSPLIT(C202,",")*1,_xlfn._TRO_TRAILING(Artists!A:A),_xlfn._TRO_TRAILING(Artists!B:B)))</f>
        <v>Adrian Piper</v>
      </c>
      <c r="E202">
        <v>1971</v>
      </c>
      <c r="F202" cm="1">
        <f t="array" ref="F202">_xlfn.REGEXEXTRACT(E202,"\d{4}")*1</f>
        <v>1971</v>
      </c>
      <c r="G202" t="s">
        <v>1332</v>
      </c>
      <c r="H202" t="s">
        <v>1424</v>
      </c>
      <c r="I202" t="s">
        <v>806</v>
      </c>
      <c r="J202" t="s">
        <v>1140</v>
      </c>
      <c r="K202" s="1">
        <v>35957</v>
      </c>
      <c r="L202" t="s">
        <v>1444</v>
      </c>
      <c r="M202" t="s">
        <v>1445</v>
      </c>
      <c r="N202" t="s">
        <v>6376</v>
      </c>
    </row>
    <row r="203" spans="1:14" x14ac:dyDescent="0.25">
      <c r="A203">
        <v>52061</v>
      </c>
      <c r="B203" t="s">
        <v>1446</v>
      </c>
      <c r="C203">
        <v>7017</v>
      </c>
      <c r="D203" t="str" cm="1">
        <f t="array" ref="D203">_xlfn.TEXTJOIN(",",TRUE,_xlfn.XLOOKUP(_xlfn.TEXTSPLIT(C203,",")*1,_xlfn._TRO_TRAILING(Artists!A:A),_xlfn._TRO_TRAILING(Artists!B:B)))</f>
        <v>Adrian Piper</v>
      </c>
      <c r="E203">
        <v>1971</v>
      </c>
      <c r="F203" cm="1">
        <f t="array" ref="F203">_xlfn.REGEXEXTRACT(E203,"\d{4}")*1</f>
        <v>1971</v>
      </c>
      <c r="G203" t="s">
        <v>1332</v>
      </c>
      <c r="H203" t="s">
        <v>1424</v>
      </c>
      <c r="I203" t="s">
        <v>806</v>
      </c>
      <c r="J203" t="s">
        <v>1140</v>
      </c>
      <c r="K203" s="1">
        <v>35957</v>
      </c>
      <c r="L203" t="s">
        <v>1447</v>
      </c>
      <c r="M203" t="s">
        <v>1448</v>
      </c>
      <c r="N203" t="s">
        <v>6376</v>
      </c>
    </row>
    <row r="204" spans="1:14" x14ac:dyDescent="0.25">
      <c r="A204">
        <v>52062</v>
      </c>
      <c r="B204" t="s">
        <v>1449</v>
      </c>
      <c r="C204">
        <v>7017</v>
      </c>
      <c r="D204" t="str" cm="1">
        <f t="array" ref="D204">_xlfn.TEXTJOIN(",",TRUE,_xlfn.XLOOKUP(_xlfn.TEXTSPLIT(C204,",")*1,_xlfn._TRO_TRAILING(Artists!A:A),_xlfn._TRO_TRAILING(Artists!B:B)))</f>
        <v>Adrian Piper</v>
      </c>
      <c r="E204">
        <v>1971</v>
      </c>
      <c r="F204" cm="1">
        <f t="array" ref="F204">_xlfn.REGEXEXTRACT(E204,"\d{4}")*1</f>
        <v>1971</v>
      </c>
      <c r="G204" t="s">
        <v>1332</v>
      </c>
      <c r="H204" t="s">
        <v>1424</v>
      </c>
      <c r="I204" t="s">
        <v>806</v>
      </c>
      <c r="J204" t="s">
        <v>1140</v>
      </c>
      <c r="K204" s="1">
        <v>35957</v>
      </c>
      <c r="L204" t="s">
        <v>1450</v>
      </c>
      <c r="M204" t="s">
        <v>1451</v>
      </c>
      <c r="N204" t="s">
        <v>6376</v>
      </c>
    </row>
    <row r="205" spans="1:14" x14ac:dyDescent="0.25">
      <c r="A205">
        <v>52063</v>
      </c>
      <c r="B205" t="s">
        <v>1452</v>
      </c>
      <c r="C205">
        <v>7017</v>
      </c>
      <c r="D205" t="str" cm="1">
        <f t="array" ref="D205">_xlfn.TEXTJOIN(",",TRUE,_xlfn.XLOOKUP(_xlfn.TEXTSPLIT(C205,",")*1,_xlfn._TRO_TRAILING(Artists!A:A),_xlfn._TRO_TRAILING(Artists!B:B)))</f>
        <v>Adrian Piper</v>
      </c>
      <c r="E205">
        <v>1971</v>
      </c>
      <c r="F205" cm="1">
        <f t="array" ref="F205">_xlfn.REGEXEXTRACT(E205,"\d{4}")*1</f>
        <v>1971</v>
      </c>
      <c r="G205" t="s">
        <v>1332</v>
      </c>
      <c r="H205" t="s">
        <v>1440</v>
      </c>
      <c r="I205" t="s">
        <v>806</v>
      </c>
      <c r="J205" t="s">
        <v>1140</v>
      </c>
      <c r="K205" s="1">
        <v>35957</v>
      </c>
      <c r="L205" t="s">
        <v>1453</v>
      </c>
      <c r="M205" t="s">
        <v>1454</v>
      </c>
      <c r="N205" t="s">
        <v>6376</v>
      </c>
    </row>
    <row r="206" spans="1:14" x14ac:dyDescent="0.25">
      <c r="A206">
        <v>52577</v>
      </c>
      <c r="B206" t="s">
        <v>51</v>
      </c>
      <c r="C206">
        <v>6913</v>
      </c>
      <c r="D206" t="str" cm="1">
        <f t="array" ref="D206">_xlfn.TEXTJOIN(",",TRUE,_xlfn.XLOOKUP(_xlfn.TEXTSPLIT(C206,",")*1,_xlfn._TRO_TRAILING(Artists!A:A),_xlfn._TRO_TRAILING(Artists!B:B)))</f>
        <v>Darrel Ellis</v>
      </c>
      <c r="E206">
        <v>1990</v>
      </c>
      <c r="F206" cm="1">
        <f t="array" ref="F206">_xlfn.REGEXEXTRACT(E206,"\d{4}")*1</f>
        <v>1990</v>
      </c>
      <c r="G206" t="s">
        <v>664</v>
      </c>
      <c r="H206" t="s">
        <v>1457</v>
      </c>
      <c r="I206" t="s">
        <v>806</v>
      </c>
      <c r="J206" t="s">
        <v>1140</v>
      </c>
      <c r="K206" s="1">
        <v>33892</v>
      </c>
      <c r="L206" t="s">
        <v>1458</v>
      </c>
      <c r="M206" t="s">
        <v>1459</v>
      </c>
      <c r="N206" t="s">
        <v>6392</v>
      </c>
    </row>
    <row r="207" spans="1:14" x14ac:dyDescent="0.25">
      <c r="A207">
        <v>52883</v>
      </c>
      <c r="B207" t="s">
        <v>1462</v>
      </c>
      <c r="C207">
        <v>1973</v>
      </c>
      <c r="D207" t="str" cm="1">
        <f t="array" ref="D207">_xlfn.TEXTJOIN(",",TRUE,_xlfn.XLOOKUP(_xlfn.TEXTSPLIT(C207,",")*1,_xlfn._TRO_TRAILING(Artists!A:A),_xlfn._TRO_TRAILING(Artists!B:B)))</f>
        <v>Robert Frank</v>
      </c>
      <c r="E207">
        <v>1955</v>
      </c>
      <c r="F207" cm="1">
        <f t="array" ref="F207">_xlfn.REGEXEXTRACT(E207,"\d{4}")*1</f>
        <v>1955</v>
      </c>
      <c r="G207" t="s">
        <v>664</v>
      </c>
      <c r="H207" t="s">
        <v>1463</v>
      </c>
      <c r="I207" t="s">
        <v>806</v>
      </c>
      <c r="J207" t="s">
        <v>1140</v>
      </c>
      <c r="K207" s="1">
        <v>21662</v>
      </c>
      <c r="L207" t="s">
        <v>1464</v>
      </c>
      <c r="M207" t="s">
        <v>1465</v>
      </c>
      <c r="N207" t="s">
        <v>6389</v>
      </c>
    </row>
    <row r="208" spans="1:14" x14ac:dyDescent="0.25">
      <c r="A208">
        <v>53380</v>
      </c>
      <c r="B208" t="s">
        <v>1301</v>
      </c>
      <c r="C208">
        <v>924</v>
      </c>
      <c r="D208" t="str" cm="1">
        <f t="array" ref="D208">_xlfn.TEXTJOIN(",",TRUE,_xlfn.XLOOKUP(_xlfn.TEXTSPLIT(C208,",")*1,_xlfn._TRO_TRAILING(Artists!A:A),_xlfn._TRO_TRAILING(Artists!B:B)))</f>
        <v>Harry Callahan</v>
      </c>
      <c r="E208">
        <v>1959</v>
      </c>
      <c r="F208" cm="1">
        <f t="array" ref="F208">_xlfn.REGEXEXTRACT(E208,"\d{4}")*1</f>
        <v>1959</v>
      </c>
      <c r="G208" t="s">
        <v>664</v>
      </c>
      <c r="H208" t="s">
        <v>1338</v>
      </c>
      <c r="I208" t="s">
        <v>806</v>
      </c>
      <c r="J208" t="s">
        <v>1140</v>
      </c>
      <c r="K208" s="1">
        <v>22250</v>
      </c>
      <c r="L208" t="s">
        <v>1468</v>
      </c>
      <c r="M208" t="s">
        <v>1469</v>
      </c>
      <c r="N208" t="s">
        <v>6387</v>
      </c>
    </row>
    <row r="209" spans="1:14" x14ac:dyDescent="0.25">
      <c r="A209">
        <v>53392</v>
      </c>
      <c r="B209" t="s">
        <v>1301</v>
      </c>
      <c r="C209">
        <v>924</v>
      </c>
      <c r="D209" t="str" cm="1">
        <f t="array" ref="D209">_xlfn.TEXTJOIN(",",TRUE,_xlfn.XLOOKUP(_xlfn.TEXTSPLIT(C209,",")*1,_xlfn._TRO_TRAILING(Artists!A:A),_xlfn._TRO_TRAILING(Artists!B:B)))</f>
        <v>Harry Callahan</v>
      </c>
      <c r="E209">
        <v>1959</v>
      </c>
      <c r="F209" cm="1">
        <f t="array" ref="F209">_xlfn.REGEXEXTRACT(E209,"\d{4}")*1</f>
        <v>1959</v>
      </c>
      <c r="G209" t="s">
        <v>664</v>
      </c>
      <c r="H209" t="s">
        <v>1470</v>
      </c>
      <c r="I209" t="s">
        <v>806</v>
      </c>
      <c r="J209" t="s">
        <v>1140</v>
      </c>
      <c r="K209" s="1">
        <v>22250</v>
      </c>
      <c r="L209" t="s">
        <v>1471</v>
      </c>
      <c r="M209" t="s">
        <v>1472</v>
      </c>
      <c r="N209" t="s">
        <v>6387</v>
      </c>
    </row>
    <row r="210" spans="1:14" x14ac:dyDescent="0.25">
      <c r="A210">
        <v>53412</v>
      </c>
      <c r="B210" t="s">
        <v>1301</v>
      </c>
      <c r="C210">
        <v>924</v>
      </c>
      <c r="D210" t="str" cm="1">
        <f t="array" ref="D210">_xlfn.TEXTJOIN(",",TRUE,_xlfn.XLOOKUP(_xlfn.TEXTSPLIT(C210,",")*1,_xlfn._TRO_TRAILING(Artists!A:A),_xlfn._TRO_TRAILING(Artists!B:B)))</f>
        <v>Harry Callahan</v>
      </c>
      <c r="E210">
        <v>1959</v>
      </c>
      <c r="F210" cm="1">
        <f t="array" ref="F210">_xlfn.REGEXEXTRACT(E210,"\d{4}")*1</f>
        <v>1959</v>
      </c>
      <c r="G210" t="s">
        <v>664</v>
      </c>
      <c r="H210" t="s">
        <v>1473</v>
      </c>
      <c r="I210" t="s">
        <v>806</v>
      </c>
      <c r="J210" t="s">
        <v>1140</v>
      </c>
      <c r="K210" s="1">
        <v>22250</v>
      </c>
      <c r="L210" t="s">
        <v>1474</v>
      </c>
      <c r="M210" t="s">
        <v>1475</v>
      </c>
      <c r="N210" t="s">
        <v>6387</v>
      </c>
    </row>
    <row r="211" spans="1:14" x14ac:dyDescent="0.25">
      <c r="A211">
        <v>53414</v>
      </c>
      <c r="B211" t="s">
        <v>1181</v>
      </c>
      <c r="C211">
        <v>1973</v>
      </c>
      <c r="D211" t="str" cm="1">
        <f t="array" ref="D211">_xlfn.TEXTJOIN(",",TRUE,_xlfn.XLOOKUP(_xlfn.TEXTSPLIT(C211,",")*1,_xlfn._TRO_TRAILING(Artists!A:A),_xlfn._TRO_TRAILING(Artists!B:B)))</f>
        <v>Robert Frank</v>
      </c>
      <c r="E211">
        <v>1959</v>
      </c>
      <c r="F211" cm="1">
        <f t="array" ref="F211">_xlfn.REGEXEXTRACT(E211,"\d{4}")*1</f>
        <v>1959</v>
      </c>
      <c r="G211" t="s">
        <v>664</v>
      </c>
      <c r="H211" t="s">
        <v>1476</v>
      </c>
      <c r="I211" t="s">
        <v>806</v>
      </c>
      <c r="J211" t="s">
        <v>1140</v>
      </c>
      <c r="K211" s="1">
        <v>31021</v>
      </c>
      <c r="L211" t="s">
        <v>1477</v>
      </c>
      <c r="M211" t="s">
        <v>1478</v>
      </c>
      <c r="N211" t="s">
        <v>6389</v>
      </c>
    </row>
    <row r="212" spans="1:14" x14ac:dyDescent="0.25">
      <c r="A212">
        <v>53434</v>
      </c>
      <c r="B212" t="s">
        <v>1301</v>
      </c>
      <c r="C212">
        <v>924</v>
      </c>
      <c r="D212" t="str" cm="1">
        <f t="array" ref="D212">_xlfn.TEXTJOIN(",",TRUE,_xlfn.XLOOKUP(_xlfn.TEXTSPLIT(C212,",")*1,_xlfn._TRO_TRAILING(Artists!A:A),_xlfn._TRO_TRAILING(Artists!B:B)))</f>
        <v>Harry Callahan</v>
      </c>
      <c r="E212">
        <v>1959</v>
      </c>
      <c r="F212" cm="1">
        <f t="array" ref="F212">_xlfn.REGEXEXTRACT(E212,"\d{4}")*1</f>
        <v>1959</v>
      </c>
      <c r="G212" t="s">
        <v>664</v>
      </c>
      <c r="H212" t="s">
        <v>1479</v>
      </c>
      <c r="I212" t="s">
        <v>806</v>
      </c>
      <c r="J212" t="s">
        <v>1140</v>
      </c>
      <c r="K212" s="1">
        <v>22250</v>
      </c>
      <c r="L212" t="s">
        <v>1480</v>
      </c>
      <c r="M212" t="s">
        <v>1481</v>
      </c>
      <c r="N212" t="s">
        <v>6387</v>
      </c>
    </row>
    <row r="213" spans="1:14" x14ac:dyDescent="0.25">
      <c r="A213">
        <v>53438</v>
      </c>
      <c r="B213" t="s">
        <v>1283</v>
      </c>
      <c r="C213">
        <v>1973</v>
      </c>
      <c r="D213" t="str" cm="1">
        <f t="array" ref="D213">_xlfn.TEXTJOIN(",",TRUE,_xlfn.XLOOKUP(_xlfn.TEXTSPLIT(C213,",")*1,_xlfn._TRO_TRAILING(Artists!A:A),_xlfn._TRO_TRAILING(Artists!B:B)))</f>
        <v>Robert Frank</v>
      </c>
      <c r="E213">
        <v>1955</v>
      </c>
      <c r="F213" cm="1">
        <f t="array" ref="F213">_xlfn.REGEXEXTRACT(E213,"\d{4}")*1</f>
        <v>1955</v>
      </c>
      <c r="G213" t="s">
        <v>664</v>
      </c>
      <c r="H213" t="s">
        <v>1482</v>
      </c>
      <c r="I213" t="s">
        <v>806</v>
      </c>
      <c r="J213" t="s">
        <v>1140</v>
      </c>
      <c r="K213" s="1">
        <v>31021</v>
      </c>
      <c r="L213" t="s">
        <v>1483</v>
      </c>
      <c r="M213" t="s">
        <v>1484</v>
      </c>
      <c r="N213" t="s">
        <v>6389</v>
      </c>
    </row>
    <row r="214" spans="1:14" x14ac:dyDescent="0.25">
      <c r="A214">
        <v>53462</v>
      </c>
      <c r="B214" t="s">
        <v>1485</v>
      </c>
      <c r="C214">
        <v>1973</v>
      </c>
      <c r="D214" t="str" cm="1">
        <f t="array" ref="D214">_xlfn.TEXTJOIN(",",TRUE,_xlfn.XLOOKUP(_xlfn.TEXTSPLIT(C214,",")*1,_xlfn._TRO_TRAILING(Artists!A:A),_xlfn._TRO_TRAILING(Artists!B:B)))</f>
        <v>Robert Frank</v>
      </c>
      <c r="E214">
        <v>1956</v>
      </c>
      <c r="F214" cm="1">
        <f t="array" ref="F214">_xlfn.REGEXEXTRACT(E214,"\d{4}")*1</f>
        <v>1956</v>
      </c>
      <c r="G214" t="s">
        <v>664</v>
      </c>
      <c r="H214" t="s">
        <v>1486</v>
      </c>
      <c r="I214" t="s">
        <v>806</v>
      </c>
      <c r="J214" t="s">
        <v>1140</v>
      </c>
      <c r="K214" s="1">
        <v>31021</v>
      </c>
      <c r="L214" t="s">
        <v>1487</v>
      </c>
      <c r="M214" t="s">
        <v>1488</v>
      </c>
      <c r="N214" t="s">
        <v>6389</v>
      </c>
    </row>
    <row r="215" spans="1:14" x14ac:dyDescent="0.25">
      <c r="A215">
        <v>53522</v>
      </c>
      <c r="B215" t="s">
        <v>1489</v>
      </c>
      <c r="C215">
        <v>1973</v>
      </c>
      <c r="D215" t="str" cm="1">
        <f t="array" ref="D215">_xlfn.TEXTJOIN(",",TRUE,_xlfn.XLOOKUP(_xlfn.TEXTSPLIT(C215,",")*1,_xlfn._TRO_TRAILING(Artists!A:A),_xlfn._TRO_TRAILING(Artists!B:B)))</f>
        <v>Robert Frank</v>
      </c>
      <c r="E215">
        <v>1961</v>
      </c>
      <c r="F215" cm="1">
        <f t="array" ref="F215">_xlfn.REGEXEXTRACT(E215,"\d{4}")*1</f>
        <v>1961</v>
      </c>
      <c r="G215" t="s">
        <v>664</v>
      </c>
      <c r="H215" t="s">
        <v>1490</v>
      </c>
      <c r="I215" t="s">
        <v>806</v>
      </c>
      <c r="J215" t="s">
        <v>1140</v>
      </c>
      <c r="K215" s="1">
        <v>31021</v>
      </c>
      <c r="L215" t="s">
        <v>1491</v>
      </c>
      <c r="M215" t="s">
        <v>1492</v>
      </c>
      <c r="N215" t="s">
        <v>6389</v>
      </c>
    </row>
    <row r="216" spans="1:14" x14ac:dyDescent="0.25">
      <c r="A216">
        <v>53544</v>
      </c>
      <c r="B216" t="s">
        <v>1219</v>
      </c>
      <c r="C216">
        <v>1973</v>
      </c>
      <c r="D216" t="str" cm="1">
        <f t="array" ref="D216">_xlfn.TEXTJOIN(",",TRUE,_xlfn.XLOOKUP(_xlfn.TEXTSPLIT(C216,",")*1,_xlfn._TRO_TRAILING(Artists!A:A),_xlfn._TRO_TRAILING(Artists!B:B)))</f>
        <v>Robert Frank</v>
      </c>
      <c r="E216">
        <v>1959</v>
      </c>
      <c r="F216" cm="1">
        <f t="array" ref="F216">_xlfn.REGEXEXTRACT(E216,"\d{4}")*1</f>
        <v>1959</v>
      </c>
      <c r="G216" t="s">
        <v>664</v>
      </c>
      <c r="H216" t="s">
        <v>1467</v>
      </c>
      <c r="I216" t="s">
        <v>806</v>
      </c>
      <c r="J216" t="s">
        <v>1140</v>
      </c>
      <c r="K216" s="1">
        <v>31021</v>
      </c>
      <c r="L216" t="s">
        <v>1493</v>
      </c>
      <c r="M216" t="s">
        <v>1494</v>
      </c>
      <c r="N216" t="s">
        <v>6389</v>
      </c>
    </row>
    <row r="217" spans="1:14" x14ac:dyDescent="0.25">
      <c r="A217">
        <v>53617</v>
      </c>
      <c r="B217" t="s">
        <v>51</v>
      </c>
      <c r="C217">
        <v>1594</v>
      </c>
      <c r="D217" t="str" cm="1">
        <f t="array" ref="D217">_xlfn.TEXTJOIN(",",TRUE,_xlfn.XLOOKUP(_xlfn.TEXTSPLIT(C217,",")*1,_xlfn._TRO_TRAILING(Artists!A:A),_xlfn._TRO_TRAILING(Artists!B:B)))</f>
        <v>Nell Dorr</v>
      </c>
      <c r="E217">
        <v>1958</v>
      </c>
      <c r="F217" cm="1">
        <f t="array" ref="F217">_xlfn.REGEXEXTRACT(E217,"\d{4}")*1</f>
        <v>1958</v>
      </c>
      <c r="G217" t="s">
        <v>664</v>
      </c>
      <c r="H217" t="s">
        <v>1495</v>
      </c>
      <c r="I217" t="s">
        <v>806</v>
      </c>
      <c r="J217" t="s">
        <v>1140</v>
      </c>
      <c r="K217" s="1">
        <v>22250</v>
      </c>
      <c r="L217" t="s">
        <v>1496</v>
      </c>
      <c r="M217" t="s">
        <v>1497</v>
      </c>
      <c r="N217" t="s">
        <v>6387</v>
      </c>
    </row>
    <row r="218" spans="1:14" x14ac:dyDescent="0.25">
      <c r="A218">
        <v>54516</v>
      </c>
      <c r="B218" t="s">
        <v>1500</v>
      </c>
      <c r="C218">
        <v>8084</v>
      </c>
      <c r="D218" t="str" cm="1">
        <f t="array" ref="D218">_xlfn.TEXTJOIN(",",TRUE,_xlfn.XLOOKUP(_xlfn.TEXTSPLIT(C218,",")*1,_xlfn._TRO_TRAILING(Artists!A:A),_xlfn._TRO_TRAILING(Artists!B:B)))</f>
        <v>John Szarkowski</v>
      </c>
      <c r="E218">
        <v>1949</v>
      </c>
      <c r="F218" cm="1">
        <f t="array" ref="F218">_xlfn.REGEXEXTRACT(E218,"\d{4}")*1</f>
        <v>1949</v>
      </c>
      <c r="G218" t="s">
        <v>664</v>
      </c>
      <c r="H218" t="s">
        <v>1501</v>
      </c>
      <c r="I218" t="s">
        <v>806</v>
      </c>
      <c r="J218" t="s">
        <v>1140</v>
      </c>
      <c r="K218" s="1">
        <v>34620</v>
      </c>
      <c r="L218" t="s">
        <v>1502</v>
      </c>
      <c r="M218" t="s">
        <v>1503</v>
      </c>
      <c r="N218" t="s">
        <v>6361</v>
      </c>
    </row>
    <row r="219" spans="1:14" x14ac:dyDescent="0.25">
      <c r="A219">
        <v>54868</v>
      </c>
      <c r="B219" t="s">
        <v>1310</v>
      </c>
      <c r="C219">
        <v>6329</v>
      </c>
      <c r="D219" t="str" cm="1">
        <f t="array" ref="D219">_xlfn.TEXTJOIN(",",TRUE,_xlfn.XLOOKUP(_xlfn.TEXTSPLIT(C219,",")*1,_xlfn._TRO_TRAILING(Artists!A:A),_xlfn._TRO_TRAILING(Artists!B:B)))</f>
        <v>Edward Weston</v>
      </c>
      <c r="E219">
        <v>1930</v>
      </c>
      <c r="F219" cm="1">
        <f t="array" ref="F219">_xlfn.REGEXEXTRACT(E219,"\d{4}")*1</f>
        <v>1930</v>
      </c>
      <c r="G219" t="s">
        <v>664</v>
      </c>
      <c r="H219" t="s">
        <v>1466</v>
      </c>
      <c r="I219" t="s">
        <v>806</v>
      </c>
      <c r="J219" t="s">
        <v>1140</v>
      </c>
      <c r="K219" s="1">
        <v>21662</v>
      </c>
      <c r="L219" t="s">
        <v>1507</v>
      </c>
      <c r="M219" t="s">
        <v>1508</v>
      </c>
      <c r="N219" t="s">
        <v>6375</v>
      </c>
    </row>
    <row r="220" spans="1:14" x14ac:dyDescent="0.25">
      <c r="A220">
        <v>55003</v>
      </c>
      <c r="B220" t="s">
        <v>1509</v>
      </c>
      <c r="C220">
        <v>1833</v>
      </c>
      <c r="D220" t="str" cm="1">
        <f t="array" ref="D220">_xlfn.TEXTJOIN(",",TRUE,_xlfn.XLOOKUP(_xlfn.TEXTSPLIT(C220,",")*1,_xlfn._TRO_TRAILING(Artists!A:A),_xlfn._TRO_TRAILING(Artists!B:B)))</f>
        <v>Theodore Lux Feininger</v>
      </c>
      <c r="E220" t="s">
        <v>521</v>
      </c>
      <c r="F220" cm="1">
        <f t="array" ref="F220">_xlfn.REGEXEXTRACT(E220,"\d{4}")*1</f>
        <v>1928</v>
      </c>
      <c r="G220" t="s">
        <v>664</v>
      </c>
      <c r="H220" t="s">
        <v>1178</v>
      </c>
      <c r="I220" t="s">
        <v>806</v>
      </c>
      <c r="J220" t="s">
        <v>1140</v>
      </c>
      <c r="K220" s="1">
        <v>24629</v>
      </c>
      <c r="L220" t="s">
        <v>1510</v>
      </c>
      <c r="M220" t="s">
        <v>1511</v>
      </c>
      <c r="N220" t="s">
        <v>6361</v>
      </c>
    </row>
    <row r="221" spans="1:14" x14ac:dyDescent="0.25">
      <c r="A221">
        <v>55069</v>
      </c>
      <c r="B221" t="s">
        <v>51</v>
      </c>
      <c r="C221">
        <v>3948</v>
      </c>
      <c r="D221" t="str" cm="1">
        <f t="array" ref="D221">_xlfn.TEXTJOIN(",",TRUE,_xlfn.XLOOKUP(_xlfn.TEXTSPLIT(C221,",")*1,_xlfn._TRO_TRAILING(Artists!A:A),_xlfn._TRO_TRAILING(Artists!B:B)))</f>
        <v>Ray K. Metzker</v>
      </c>
      <c r="E221">
        <v>1966</v>
      </c>
      <c r="F221" cm="1">
        <f t="array" ref="F221">_xlfn.REGEXEXTRACT(E221,"\d{4}")*1</f>
        <v>1966</v>
      </c>
      <c r="G221" t="s">
        <v>664</v>
      </c>
      <c r="H221" t="s">
        <v>1512</v>
      </c>
      <c r="I221" t="s">
        <v>806</v>
      </c>
      <c r="J221" t="s">
        <v>1140</v>
      </c>
      <c r="K221" s="1">
        <v>24629</v>
      </c>
      <c r="L221" t="s">
        <v>1513</v>
      </c>
      <c r="M221" t="s">
        <v>1514</v>
      </c>
      <c r="N221" t="s">
        <v>6387</v>
      </c>
    </row>
    <row r="222" spans="1:14" x14ac:dyDescent="0.25">
      <c r="A222">
        <v>55120</v>
      </c>
      <c r="B222" t="s">
        <v>1213</v>
      </c>
      <c r="C222">
        <v>1000</v>
      </c>
      <c r="D222" t="str" cm="1">
        <f t="array" ref="D222">_xlfn.TEXTJOIN(",",TRUE,_xlfn.XLOOKUP(_xlfn.TEXTSPLIT(C222,",")*1,_xlfn._TRO_TRAILING(Artists!A:A),_xlfn._TRO_TRAILING(Artists!B:B)))</f>
        <v>Henri Cartier-Bresson</v>
      </c>
      <c r="E222">
        <v>1929</v>
      </c>
      <c r="F222" cm="1">
        <f t="array" ref="F222">_xlfn.REGEXEXTRACT(E222,"\d{4}")*1</f>
        <v>1929</v>
      </c>
      <c r="G222" t="s">
        <v>1209</v>
      </c>
      <c r="H222" t="s">
        <v>1515</v>
      </c>
      <c r="I222" t="s">
        <v>806</v>
      </c>
      <c r="J222" t="s">
        <v>1140</v>
      </c>
      <c r="K222" s="1">
        <v>32121</v>
      </c>
      <c r="L222" t="s">
        <v>1516</v>
      </c>
      <c r="M222" t="s">
        <v>1517</v>
      </c>
      <c r="N222" t="s">
        <v>6386</v>
      </c>
    </row>
    <row r="223" spans="1:14" x14ac:dyDescent="0.25">
      <c r="A223">
        <v>55154</v>
      </c>
      <c r="B223" t="s">
        <v>1518</v>
      </c>
      <c r="C223">
        <v>1833</v>
      </c>
      <c r="D223" t="str" cm="1">
        <f t="array" ref="D223">_xlfn.TEXTJOIN(",",TRUE,_xlfn.XLOOKUP(_xlfn.TEXTSPLIT(C223,",")*1,_xlfn._TRO_TRAILING(Artists!A:A),_xlfn._TRO_TRAILING(Artists!B:B)))</f>
        <v>Theodore Lux Feininger</v>
      </c>
      <c r="E223" t="s">
        <v>470</v>
      </c>
      <c r="F223" cm="1">
        <f t="array" ref="F223">_xlfn.REGEXEXTRACT(E223,"\d{4}")*1</f>
        <v>1929</v>
      </c>
      <c r="G223" t="s">
        <v>1174</v>
      </c>
      <c r="H223" t="s">
        <v>1212</v>
      </c>
      <c r="I223" t="s">
        <v>806</v>
      </c>
      <c r="J223" t="s">
        <v>1140</v>
      </c>
      <c r="K223" s="1">
        <v>14706</v>
      </c>
      <c r="L223" t="s">
        <v>1519</v>
      </c>
      <c r="M223" t="s">
        <v>1520</v>
      </c>
      <c r="N223" t="s">
        <v>6361</v>
      </c>
    </row>
    <row r="224" spans="1:14" x14ac:dyDescent="0.25">
      <c r="A224">
        <v>55216</v>
      </c>
      <c r="B224" t="s">
        <v>1201</v>
      </c>
      <c r="C224">
        <v>3979</v>
      </c>
      <c r="D224" t="str" cm="1">
        <f t="array" ref="D224">_xlfn.TEXTJOIN(",",TRUE,_xlfn.XLOOKUP(_xlfn.TEXTSPLIT(C224,",")*1,_xlfn._TRO_TRAILING(Artists!A:A),_xlfn._TRO_TRAILING(Artists!B:B)))</f>
        <v>Gjon Mili</v>
      </c>
      <c r="E224" t="s">
        <v>137</v>
      </c>
      <c r="F224" cm="1">
        <f t="array" ref="F224">_xlfn.REGEXEXTRACT(E224,"\d{4}")*1</f>
        <v>1940</v>
      </c>
      <c r="G224" t="s">
        <v>664</v>
      </c>
      <c r="H224" t="s">
        <v>1521</v>
      </c>
      <c r="I224" t="s">
        <v>806</v>
      </c>
      <c r="J224" t="s">
        <v>1140</v>
      </c>
      <c r="K224" s="1">
        <v>21662</v>
      </c>
      <c r="L224" t="s">
        <v>1522</v>
      </c>
      <c r="M224" t="s">
        <v>1523</v>
      </c>
      <c r="N224" t="s">
        <v>6387</v>
      </c>
    </row>
    <row r="225" spans="1:14" x14ac:dyDescent="0.25">
      <c r="A225">
        <v>55679</v>
      </c>
      <c r="B225" t="s">
        <v>1525</v>
      </c>
      <c r="C225">
        <v>3924</v>
      </c>
      <c r="D225" t="str" cm="1">
        <f t="array" ref="D225">_xlfn.TEXTJOIN(",",TRUE,_xlfn.XLOOKUP(_xlfn.TEXTSPLIT(C225,",")*1,_xlfn._TRO_TRAILING(Artists!A:A),_xlfn._TRO_TRAILING(Artists!B:B)))</f>
        <v>Ana Mendieta</v>
      </c>
      <c r="E225" t="s">
        <v>1527</v>
      </c>
      <c r="F225" cm="1">
        <f t="array" ref="F225">_xlfn.REGEXEXTRACT(E225,"\d{4}")*1</f>
        <v>1972</v>
      </c>
      <c r="G225" t="s">
        <v>1528</v>
      </c>
      <c r="H225" t="s">
        <v>1529</v>
      </c>
      <c r="I225" t="s">
        <v>806</v>
      </c>
      <c r="J225" t="s">
        <v>1140</v>
      </c>
      <c r="K225" s="1">
        <v>35775</v>
      </c>
      <c r="L225" t="s">
        <v>1530</v>
      </c>
      <c r="M225" t="s">
        <v>1531</v>
      </c>
      <c r="N225" t="s">
        <v>6376</v>
      </c>
    </row>
    <row r="226" spans="1:14" x14ac:dyDescent="0.25">
      <c r="A226">
        <v>55779</v>
      </c>
      <c r="B226" t="s">
        <v>1532</v>
      </c>
      <c r="C226">
        <v>5631</v>
      </c>
      <c r="D226" t="str" cm="1">
        <f t="array" ref="D226">_xlfn.TEXTJOIN(",",TRUE,_xlfn.XLOOKUP(_xlfn.TEXTSPLIT(C226,",")*1,_xlfn._TRO_TRAILING(Artists!A:A),_xlfn._TRO_TRAILING(Artists!B:B)))</f>
        <v>Ralph Steiner</v>
      </c>
      <c r="E226">
        <v>1929</v>
      </c>
      <c r="F226" cm="1">
        <f t="array" ref="F226">_xlfn.REGEXEXTRACT(E226,"\d{4}")*1</f>
        <v>1929</v>
      </c>
      <c r="G226" t="s">
        <v>664</v>
      </c>
      <c r="H226" t="s">
        <v>1337</v>
      </c>
      <c r="I226" t="s">
        <v>806</v>
      </c>
      <c r="J226" t="s">
        <v>1140</v>
      </c>
      <c r="K226" s="1">
        <v>25868</v>
      </c>
      <c r="L226" t="s">
        <v>1533</v>
      </c>
      <c r="M226" t="s">
        <v>1534</v>
      </c>
      <c r="N226" t="s">
        <v>6370</v>
      </c>
    </row>
    <row r="227" spans="1:14" x14ac:dyDescent="0.25">
      <c r="A227">
        <v>55965</v>
      </c>
      <c r="B227" t="s">
        <v>1535</v>
      </c>
      <c r="C227">
        <v>1214</v>
      </c>
      <c r="D227" t="str" cm="1">
        <f t="array" ref="D227">_xlfn.TEXTJOIN(",",TRUE,_xlfn.XLOOKUP(_xlfn.TEXTSPLIT(C227,",")*1,_xlfn._TRO_TRAILING(Artists!A:A),_xlfn._TRO_TRAILING(Artists!B:B)))</f>
        <v>Will Connell</v>
      </c>
      <c r="E227" t="s">
        <v>314</v>
      </c>
      <c r="F227" cm="1">
        <f t="array" ref="F227">_xlfn.REGEXEXTRACT(E227,"\d{4}")*1</f>
        <v>1932</v>
      </c>
      <c r="G227" t="s">
        <v>664</v>
      </c>
      <c r="H227" t="s">
        <v>1537</v>
      </c>
      <c r="I227" t="s">
        <v>806</v>
      </c>
      <c r="J227" t="s">
        <v>1140</v>
      </c>
      <c r="K227" s="1">
        <v>28775</v>
      </c>
      <c r="L227" t="s">
        <v>1538</v>
      </c>
      <c r="M227" t="s">
        <v>1539</v>
      </c>
      <c r="N227" t="s">
        <v>6370</v>
      </c>
    </row>
    <row r="228" spans="1:14" x14ac:dyDescent="0.25">
      <c r="A228">
        <v>56043</v>
      </c>
      <c r="B228" t="s">
        <v>1540</v>
      </c>
      <c r="C228">
        <v>4109</v>
      </c>
      <c r="D228" t="str" cm="1">
        <f t="array" ref="D228">_xlfn.TEXTJOIN(",",TRUE,_xlfn.XLOOKUP(_xlfn.TEXTSPLIT(C228,",")*1,_xlfn._TRO_TRAILING(Artists!A:A),_xlfn._TRO_TRAILING(Artists!B:B)))</f>
        <v>Wright Morris</v>
      </c>
      <c r="E228">
        <v>1939</v>
      </c>
      <c r="F228" cm="1">
        <f t="array" ref="F228">_xlfn.REGEXEXTRACT(E228,"\d{4}")*1</f>
        <v>1939</v>
      </c>
      <c r="G228" t="s">
        <v>664</v>
      </c>
      <c r="H228" t="s">
        <v>1504</v>
      </c>
      <c r="I228" t="s">
        <v>806</v>
      </c>
      <c r="J228" t="s">
        <v>1140</v>
      </c>
      <c r="K228" s="1">
        <v>15320</v>
      </c>
      <c r="L228" t="s">
        <v>1541</v>
      </c>
      <c r="M228" t="s">
        <v>1542</v>
      </c>
      <c r="N228" t="s">
        <v>6370</v>
      </c>
    </row>
    <row r="229" spans="1:14" x14ac:dyDescent="0.25">
      <c r="A229">
        <v>56288</v>
      </c>
      <c r="B229" t="s">
        <v>1544</v>
      </c>
      <c r="C229">
        <v>4039</v>
      </c>
      <c r="D229" t="str" cm="1">
        <f t="array" ref="D229">_xlfn.TEXTJOIN(",",TRUE,_xlfn.XLOOKUP(_xlfn.TEXTSPLIT(C229,",")*1,_xlfn._TRO_TRAILING(Artists!A:A),_xlfn._TRO_TRAILING(Artists!B:B)))</f>
        <v>Tina Modotti</v>
      </c>
      <c r="E229" t="s">
        <v>165</v>
      </c>
      <c r="F229" cm="1">
        <f t="array" ref="F229">_xlfn.REGEXEXTRACT(E229,"\d{4}")*1</f>
        <v>1925</v>
      </c>
      <c r="G229" t="s">
        <v>1179</v>
      </c>
      <c r="H229" t="s">
        <v>1545</v>
      </c>
      <c r="I229" t="s">
        <v>806</v>
      </c>
      <c r="J229" t="s">
        <v>1140</v>
      </c>
      <c r="K229" s="1">
        <v>21914</v>
      </c>
      <c r="L229" t="s">
        <v>1546</v>
      </c>
      <c r="M229" t="s">
        <v>1547</v>
      </c>
      <c r="N229" t="s">
        <v>6370</v>
      </c>
    </row>
    <row r="230" spans="1:14" x14ac:dyDescent="0.25">
      <c r="A230">
        <v>56399</v>
      </c>
      <c r="B230" t="s">
        <v>1506</v>
      </c>
      <c r="C230">
        <v>3373</v>
      </c>
      <c r="D230" t="str" cm="1">
        <f t="array" ref="D230">_xlfn.TEXTJOIN(",",TRUE,_xlfn.XLOOKUP(_xlfn.TEXTSPLIT(C230,",")*1,_xlfn._TRO_TRAILING(Artists!A:A),_xlfn._TRO_TRAILING(Artists!B:B)))</f>
        <v>Dorothea Lange</v>
      </c>
      <c r="E230">
        <v>1958</v>
      </c>
      <c r="F230" cm="1">
        <f t="array" ref="F230">_xlfn.REGEXEXTRACT(E230,"\d{4}")*1</f>
        <v>1958</v>
      </c>
      <c r="G230" t="s">
        <v>664</v>
      </c>
      <c r="H230" t="s">
        <v>1549</v>
      </c>
      <c r="I230" t="s">
        <v>806</v>
      </c>
      <c r="J230" t="s">
        <v>1140</v>
      </c>
      <c r="K230" s="1">
        <v>24797</v>
      </c>
      <c r="L230" t="s">
        <v>1550</v>
      </c>
      <c r="M230" t="s">
        <v>1551</v>
      </c>
      <c r="N230" t="s">
        <v>6387</v>
      </c>
    </row>
    <row r="231" spans="1:14" x14ac:dyDescent="0.25">
      <c r="A231">
        <v>57364</v>
      </c>
      <c r="B231" t="s">
        <v>1553</v>
      </c>
      <c r="C231">
        <v>208</v>
      </c>
      <c r="D231" t="str" cm="1">
        <f t="array" ref="D231">_xlfn.TEXTJOIN(",",TRUE,_xlfn.XLOOKUP(_xlfn.TEXTSPLIT(C231,",")*1,_xlfn._TRO_TRAILING(Artists!A:A),_xlfn._TRO_TRAILING(Artists!B:B)))</f>
        <v>Diane Arbus</v>
      </c>
      <c r="E231">
        <v>1963</v>
      </c>
      <c r="F231" cm="1">
        <f t="array" ref="F231">_xlfn.REGEXEXTRACT(E231,"\d{4}")*1</f>
        <v>1963</v>
      </c>
      <c r="G231" t="s">
        <v>664</v>
      </c>
      <c r="H231" t="s">
        <v>1554</v>
      </c>
      <c r="I231" t="s">
        <v>806</v>
      </c>
      <c r="J231" t="s">
        <v>1140</v>
      </c>
      <c r="K231" s="1">
        <v>25512</v>
      </c>
      <c r="L231" t="s">
        <v>1555</v>
      </c>
      <c r="M231" t="s">
        <v>1556</v>
      </c>
      <c r="N231" t="s">
        <v>6387</v>
      </c>
    </row>
    <row r="232" spans="1:14" x14ac:dyDescent="0.25">
      <c r="A232">
        <v>58181</v>
      </c>
      <c r="B232" t="s">
        <v>1560</v>
      </c>
      <c r="C232">
        <v>1777</v>
      </c>
      <c r="D232" t="str" cm="1">
        <f t="array" ref="D232">_xlfn.TEXTJOIN(",",TRUE,_xlfn.XLOOKUP(_xlfn.TEXTSPLIT(C232,",")*1,_xlfn._TRO_TRAILING(Artists!A:A),_xlfn._TRO_TRAILING(Artists!B:B)))</f>
        <v>Walker Evans</v>
      </c>
      <c r="E232">
        <v>1936</v>
      </c>
      <c r="F232" cm="1">
        <f t="array" ref="F232">_xlfn.REGEXEXTRACT(E232,"\d{4}")*1</f>
        <v>1936</v>
      </c>
      <c r="G232" t="s">
        <v>664</v>
      </c>
      <c r="H232" t="s">
        <v>1561</v>
      </c>
      <c r="I232" t="s">
        <v>806</v>
      </c>
      <c r="J232" t="s">
        <v>1140</v>
      </c>
      <c r="K232" s="1">
        <v>25148</v>
      </c>
      <c r="L232" t="s">
        <v>1562</v>
      </c>
      <c r="M232" t="s">
        <v>1563</v>
      </c>
      <c r="N232" t="s">
        <v>6393</v>
      </c>
    </row>
    <row r="233" spans="1:14" x14ac:dyDescent="0.25">
      <c r="A233">
        <v>58857</v>
      </c>
      <c r="B233" t="s">
        <v>1565</v>
      </c>
      <c r="C233">
        <v>745</v>
      </c>
      <c r="D233" t="str" cm="1">
        <f t="array" ref="D233">_xlfn.TEXTJOIN(",",TRUE,_xlfn.XLOOKUP(_xlfn.TEXTSPLIT(C233,",")*1,_xlfn._TRO_TRAILING(Artists!A:A),_xlfn._TRO_TRAILING(Artists!B:B)))</f>
        <v>Brassaï (Gyula Halász)</v>
      </c>
      <c r="E233">
        <v>1932</v>
      </c>
      <c r="F233" cm="1">
        <f t="array" ref="F233">_xlfn.REGEXEXTRACT(E233,"\d{4}")*1</f>
        <v>1932</v>
      </c>
      <c r="G233" t="s">
        <v>664</v>
      </c>
      <c r="H233" t="s">
        <v>1566</v>
      </c>
      <c r="I233" t="s">
        <v>806</v>
      </c>
      <c r="J233" t="s">
        <v>1140</v>
      </c>
      <c r="K233" s="1">
        <v>24819</v>
      </c>
      <c r="L233" t="s">
        <v>1567</v>
      </c>
      <c r="M233" t="s">
        <v>1568</v>
      </c>
      <c r="N233" t="s">
        <v>6386</v>
      </c>
    </row>
    <row r="234" spans="1:14" x14ac:dyDescent="0.25">
      <c r="A234">
        <v>58958</v>
      </c>
      <c r="B234" t="s">
        <v>1569</v>
      </c>
      <c r="C234">
        <v>1973</v>
      </c>
      <c r="D234" t="str" cm="1">
        <f t="array" ref="D234">_xlfn.TEXTJOIN(",",TRUE,_xlfn.XLOOKUP(_xlfn.TEXTSPLIT(C234,",")*1,_xlfn._TRO_TRAILING(Artists!A:A),_xlfn._TRO_TRAILING(Artists!B:B)))</f>
        <v>Robert Frank</v>
      </c>
      <c r="E234">
        <v>1967</v>
      </c>
      <c r="F234" cm="1">
        <f t="array" ref="F234">_xlfn.REGEXEXTRACT(E234,"\d{4}")*1</f>
        <v>1967</v>
      </c>
      <c r="G234" t="s">
        <v>664</v>
      </c>
      <c r="H234" t="s">
        <v>1570</v>
      </c>
      <c r="I234" t="s">
        <v>806</v>
      </c>
      <c r="J234" t="s">
        <v>1140</v>
      </c>
      <c r="K234" s="1">
        <v>24847</v>
      </c>
      <c r="L234" t="s">
        <v>1571</v>
      </c>
      <c r="M234" t="s">
        <v>1572</v>
      </c>
      <c r="N234" t="s">
        <v>6389</v>
      </c>
    </row>
    <row r="235" spans="1:14" x14ac:dyDescent="0.25">
      <c r="A235">
        <v>58959</v>
      </c>
      <c r="B235" t="s">
        <v>1573</v>
      </c>
      <c r="C235">
        <v>1973</v>
      </c>
      <c r="D235" t="str" cm="1">
        <f t="array" ref="D235">_xlfn.TEXTJOIN(",",TRUE,_xlfn.XLOOKUP(_xlfn.TEXTSPLIT(C235,",")*1,_xlfn._TRO_TRAILING(Artists!A:A),_xlfn._TRO_TRAILING(Artists!B:B)))</f>
        <v>Robert Frank</v>
      </c>
      <c r="E235">
        <v>1967</v>
      </c>
      <c r="F235" cm="1">
        <f t="array" ref="F235">_xlfn.REGEXEXTRACT(E235,"\d{4}")*1</f>
        <v>1967</v>
      </c>
      <c r="G235" t="s">
        <v>664</v>
      </c>
      <c r="H235" t="s">
        <v>1574</v>
      </c>
      <c r="I235" t="s">
        <v>806</v>
      </c>
      <c r="J235" t="s">
        <v>1140</v>
      </c>
      <c r="K235" s="1">
        <v>24847</v>
      </c>
      <c r="L235" t="s">
        <v>1575</v>
      </c>
      <c r="M235" t="s">
        <v>1576</v>
      </c>
      <c r="N235" t="s">
        <v>6389</v>
      </c>
    </row>
    <row r="236" spans="1:14" x14ac:dyDescent="0.25">
      <c r="A236">
        <v>58961</v>
      </c>
      <c r="B236" t="s">
        <v>1577</v>
      </c>
      <c r="C236">
        <v>1973</v>
      </c>
      <c r="D236" t="str" cm="1">
        <f t="array" ref="D236">_xlfn.TEXTJOIN(",",TRUE,_xlfn.XLOOKUP(_xlfn.TEXTSPLIT(C236,",")*1,_xlfn._TRO_TRAILING(Artists!A:A),_xlfn._TRO_TRAILING(Artists!B:B)))</f>
        <v>Robert Frank</v>
      </c>
      <c r="E236">
        <v>1962</v>
      </c>
      <c r="F236" cm="1">
        <f t="array" ref="F236">_xlfn.REGEXEXTRACT(E236,"\d{4}")*1</f>
        <v>1962</v>
      </c>
      <c r="G236" t="s">
        <v>664</v>
      </c>
      <c r="H236" t="s">
        <v>1280</v>
      </c>
      <c r="I236" t="s">
        <v>806</v>
      </c>
      <c r="J236" t="s">
        <v>1140</v>
      </c>
      <c r="K236" s="1">
        <v>24847</v>
      </c>
      <c r="L236" t="s">
        <v>1578</v>
      </c>
      <c r="M236" t="s">
        <v>1579</v>
      </c>
      <c r="N236" t="s">
        <v>6389</v>
      </c>
    </row>
    <row r="237" spans="1:14" x14ac:dyDescent="0.25">
      <c r="A237">
        <v>60860</v>
      </c>
      <c r="B237" t="s">
        <v>1595</v>
      </c>
      <c r="C237">
        <v>2098</v>
      </c>
      <c r="D237" t="str" cm="1">
        <f t="array" ref="D237">_xlfn.TEXTJOIN(",",TRUE,_xlfn.XLOOKUP(_xlfn.TEXTSPLIT(C237,",")*1,_xlfn._TRO_TRAILING(Artists!A:A),_xlfn._TRO_TRAILING(Artists!B:B)))</f>
        <v>Paul Gauguin</v>
      </c>
      <c r="E237" t="s">
        <v>1581</v>
      </c>
      <c r="F237" cm="1">
        <f t="array" ref="F237">_xlfn.REGEXEXTRACT(E237,"\d{4}")*1</f>
        <v>1894</v>
      </c>
      <c r="G237" t="s">
        <v>1582</v>
      </c>
      <c r="H237" t="s">
        <v>1596</v>
      </c>
      <c r="I237" t="s">
        <v>29</v>
      </c>
      <c r="J237" t="s">
        <v>674</v>
      </c>
      <c r="K237" s="1">
        <v>12685</v>
      </c>
      <c r="L237" t="s">
        <v>1597</v>
      </c>
      <c r="M237" t="s">
        <v>1598</v>
      </c>
      <c r="N237" t="s">
        <v>6373</v>
      </c>
    </row>
    <row r="238" spans="1:14" x14ac:dyDescent="0.25">
      <c r="A238">
        <v>60996</v>
      </c>
      <c r="B238" t="s">
        <v>1599</v>
      </c>
      <c r="C238">
        <v>2098</v>
      </c>
      <c r="D238" t="str" cm="1">
        <f t="array" ref="D238">_xlfn.TEXTJOIN(",",TRUE,_xlfn.XLOOKUP(_xlfn.TEXTSPLIT(C238,",")*1,_xlfn._TRO_TRAILING(Artists!A:A),_xlfn._TRO_TRAILING(Artists!B:B)))</f>
        <v>Paul Gauguin</v>
      </c>
      <c r="E238" t="s">
        <v>1600</v>
      </c>
      <c r="F238" cm="1">
        <f t="array" ref="F238">_xlfn.REGEXEXTRACT(E238,"\d{4}")*1</f>
        <v>1893</v>
      </c>
      <c r="G238" t="s">
        <v>702</v>
      </c>
      <c r="H238" t="s">
        <v>1601</v>
      </c>
      <c r="I238" t="s">
        <v>29</v>
      </c>
      <c r="J238" t="s">
        <v>674</v>
      </c>
      <c r="K238" s="1">
        <v>15972</v>
      </c>
      <c r="L238" t="s">
        <v>1602</v>
      </c>
      <c r="M238" t="s">
        <v>1603</v>
      </c>
      <c r="N238" t="s">
        <v>6373</v>
      </c>
    </row>
    <row r="239" spans="1:14" x14ac:dyDescent="0.25">
      <c r="A239">
        <v>61030</v>
      </c>
      <c r="B239" t="s">
        <v>1604</v>
      </c>
      <c r="C239">
        <v>6191</v>
      </c>
      <c r="D239" t="str" cm="1">
        <f t="array" ref="D239">_xlfn.TEXTJOIN(",",TRUE,_xlfn.XLOOKUP(_xlfn.TEXTSPLIT(C239,",")*1,_xlfn._TRO_TRAILING(Artists!A:A),_xlfn._TRO_TRAILING(Artists!B:B)))</f>
        <v>Wolf Vostell</v>
      </c>
      <c r="E239" t="s">
        <v>748</v>
      </c>
      <c r="F239" cm="1">
        <f t="array" ref="F239">_xlfn.REGEXEXTRACT(E239,"\d{4}")*1</f>
        <v>1967</v>
      </c>
      <c r="G239" t="s">
        <v>1605</v>
      </c>
      <c r="H239" t="s">
        <v>1606</v>
      </c>
      <c r="I239" t="s">
        <v>29</v>
      </c>
      <c r="J239" t="s">
        <v>674</v>
      </c>
      <c r="K239" s="1">
        <v>34723</v>
      </c>
      <c r="L239" t="s">
        <v>1607</v>
      </c>
      <c r="M239" t="s">
        <v>1608</v>
      </c>
      <c r="N239" t="s">
        <v>6394</v>
      </c>
    </row>
    <row r="240" spans="1:14" x14ac:dyDescent="0.25">
      <c r="A240">
        <v>61037</v>
      </c>
      <c r="B240" t="s">
        <v>1609</v>
      </c>
      <c r="C240">
        <v>2098</v>
      </c>
      <c r="D240" t="str" cm="1">
        <f t="array" ref="D240">_xlfn.TEXTJOIN(",",TRUE,_xlfn.XLOOKUP(_xlfn.TEXTSPLIT(C240,",")*1,_xlfn._TRO_TRAILING(Artists!A:A),_xlfn._TRO_TRAILING(Artists!B:B)))</f>
        <v>Paul Gauguin</v>
      </c>
      <c r="E240" t="s">
        <v>1610</v>
      </c>
      <c r="F240" cm="1">
        <f t="array" ref="F240">_xlfn.REGEXEXTRACT(E240,"\d{4}")*1</f>
        <v>1893</v>
      </c>
      <c r="G240" t="s">
        <v>590</v>
      </c>
      <c r="H240" t="s">
        <v>1611</v>
      </c>
      <c r="I240" t="s">
        <v>29</v>
      </c>
      <c r="J240" t="s">
        <v>674</v>
      </c>
      <c r="K240" s="1">
        <v>12685</v>
      </c>
      <c r="L240" t="s">
        <v>1612</v>
      </c>
      <c r="M240" t="s">
        <v>1613</v>
      </c>
      <c r="N240" t="s">
        <v>6373</v>
      </c>
    </row>
    <row r="241" spans="1:14" x14ac:dyDescent="0.25">
      <c r="A241">
        <v>61106</v>
      </c>
      <c r="B241" t="s">
        <v>1614</v>
      </c>
      <c r="C241">
        <v>2098</v>
      </c>
      <c r="D241" t="str" cm="1">
        <f t="array" ref="D241">_xlfn.TEXTJOIN(",",TRUE,_xlfn.XLOOKUP(_xlfn.TEXTSPLIT(C241,",")*1,_xlfn._TRO_TRAILING(Artists!A:A),_xlfn._TRO_TRAILING(Artists!B:B)))</f>
        <v>Paul Gauguin</v>
      </c>
      <c r="E241" t="s">
        <v>1610</v>
      </c>
      <c r="F241" cm="1">
        <f t="array" ref="F241">_xlfn.REGEXEXTRACT(E241,"\d{4}")*1</f>
        <v>1893</v>
      </c>
      <c r="G241" t="s">
        <v>590</v>
      </c>
      <c r="H241" t="s">
        <v>1615</v>
      </c>
      <c r="I241" t="s">
        <v>29</v>
      </c>
      <c r="J241" t="s">
        <v>674</v>
      </c>
      <c r="K241" s="1">
        <v>12685</v>
      </c>
      <c r="L241" t="s">
        <v>1616</v>
      </c>
      <c r="M241" t="s">
        <v>1617</v>
      </c>
      <c r="N241" t="s">
        <v>6373</v>
      </c>
    </row>
    <row r="242" spans="1:14" x14ac:dyDescent="0.25">
      <c r="A242">
        <v>61125</v>
      </c>
      <c r="B242" t="s">
        <v>1618</v>
      </c>
      <c r="C242">
        <v>2098</v>
      </c>
      <c r="D242" t="str" cm="1">
        <f t="array" ref="D242">_xlfn.TEXTJOIN(",",TRUE,_xlfn.XLOOKUP(_xlfn.TEXTSPLIT(C242,",")*1,_xlfn._TRO_TRAILING(Artists!A:A),_xlfn._TRO_TRAILING(Artists!B:B)))</f>
        <v>Paul Gauguin</v>
      </c>
      <c r="E242" t="s">
        <v>1581</v>
      </c>
      <c r="F242" cm="1">
        <f t="array" ref="F242">_xlfn.REGEXEXTRACT(E242,"\d{4}")*1</f>
        <v>1894</v>
      </c>
      <c r="G242" t="s">
        <v>590</v>
      </c>
      <c r="H242" t="s">
        <v>1619</v>
      </c>
      <c r="I242" t="s">
        <v>29</v>
      </c>
      <c r="J242" t="s">
        <v>674</v>
      </c>
      <c r="K242" s="1">
        <v>12685</v>
      </c>
      <c r="L242" t="s">
        <v>1620</v>
      </c>
      <c r="M242" t="s">
        <v>1621</v>
      </c>
      <c r="N242" t="s">
        <v>6373</v>
      </c>
    </row>
    <row r="243" spans="1:14" x14ac:dyDescent="0.25">
      <c r="A243">
        <v>61142</v>
      </c>
      <c r="B243" t="s">
        <v>1622</v>
      </c>
      <c r="C243">
        <v>2098</v>
      </c>
      <c r="D243" t="str" cm="1">
        <f t="array" ref="D243">_xlfn.TEXTJOIN(",",TRUE,_xlfn.XLOOKUP(_xlfn.TEXTSPLIT(C243,",")*1,_xlfn._TRO_TRAILING(Artists!A:A),_xlfn._TRO_TRAILING(Artists!B:B)))</f>
        <v>Paul Gauguin</v>
      </c>
      <c r="E243" t="s">
        <v>1581</v>
      </c>
      <c r="F243" cm="1">
        <f t="array" ref="F243">_xlfn.REGEXEXTRACT(E243,"\d{4}")*1</f>
        <v>1894</v>
      </c>
      <c r="G243" t="s">
        <v>590</v>
      </c>
      <c r="H243" t="s">
        <v>1623</v>
      </c>
      <c r="I243" t="s">
        <v>29</v>
      </c>
      <c r="J243" t="s">
        <v>674</v>
      </c>
      <c r="K243" s="1">
        <v>12685</v>
      </c>
      <c r="L243" t="s">
        <v>1624</v>
      </c>
      <c r="M243" t="s">
        <v>1625</v>
      </c>
      <c r="N243" t="s">
        <v>6373</v>
      </c>
    </row>
    <row r="244" spans="1:14" x14ac:dyDescent="0.25">
      <c r="A244">
        <v>61651</v>
      </c>
      <c r="B244" t="s">
        <v>1633</v>
      </c>
      <c r="C244">
        <v>4609</v>
      </c>
      <c r="D244" t="str" cm="1">
        <f t="array" ref="D244">_xlfn.TEXTJOIN(",",TRUE,_xlfn.XLOOKUP(_xlfn.TEXTSPLIT(C244,",")*1,_xlfn._TRO_TRAILING(Artists!A:A),_xlfn._TRO_TRAILING(Artists!B:B)))</f>
        <v>Pablo Picasso</v>
      </c>
      <c r="E244" t="s">
        <v>1634</v>
      </c>
      <c r="F244" cm="1">
        <f t="array" ref="F244">_xlfn.REGEXEXTRACT(E244,"\d{4}")*1</f>
        <v>1905</v>
      </c>
      <c r="G244" t="s">
        <v>698</v>
      </c>
      <c r="H244" t="s">
        <v>1635</v>
      </c>
      <c r="I244" t="s">
        <v>29</v>
      </c>
      <c r="J244" t="s">
        <v>674</v>
      </c>
      <c r="K244" s="1">
        <v>12685</v>
      </c>
      <c r="L244" t="s">
        <v>1636</v>
      </c>
      <c r="M244" t="s">
        <v>1637</v>
      </c>
      <c r="N244" t="s">
        <v>6373</v>
      </c>
    </row>
    <row r="245" spans="1:14" x14ac:dyDescent="0.25">
      <c r="A245">
        <v>61700</v>
      </c>
      <c r="B245" t="s">
        <v>1638</v>
      </c>
      <c r="C245">
        <v>4609</v>
      </c>
      <c r="D245" t="str" cm="1">
        <f t="array" ref="D245">_xlfn.TEXTJOIN(",",TRUE,_xlfn.XLOOKUP(_xlfn.TEXTSPLIT(C245,",")*1,_xlfn._TRO_TRAILING(Artists!A:A),_xlfn._TRO_TRAILING(Artists!B:B)))</f>
        <v>Pablo Picasso</v>
      </c>
      <c r="E245" t="s">
        <v>1629</v>
      </c>
      <c r="F245" cm="1">
        <f t="array" ref="F245">_xlfn.REGEXEXTRACT(E245,"\d{4}")*1</f>
        <v>1921</v>
      </c>
      <c r="G245" t="s">
        <v>1630</v>
      </c>
      <c r="H245" t="s">
        <v>1639</v>
      </c>
      <c r="I245" t="s">
        <v>29</v>
      </c>
      <c r="J245" t="s">
        <v>674</v>
      </c>
      <c r="K245" s="1">
        <v>12685</v>
      </c>
      <c r="L245" t="s">
        <v>1640</v>
      </c>
      <c r="M245" t="s">
        <v>1641</v>
      </c>
      <c r="N245" t="s">
        <v>6373</v>
      </c>
    </row>
    <row r="246" spans="1:14" x14ac:dyDescent="0.25">
      <c r="A246">
        <v>61712</v>
      </c>
      <c r="B246" t="s">
        <v>1642</v>
      </c>
      <c r="C246">
        <v>4609</v>
      </c>
      <c r="D246" t="str" cm="1">
        <f t="array" ref="D246">_xlfn.TEXTJOIN(",",TRUE,_xlfn.XLOOKUP(_xlfn.TEXTSPLIT(C246,",")*1,_xlfn._TRO_TRAILING(Artists!A:A),_xlfn._TRO_TRAILING(Artists!B:B)))</f>
        <v>Pablo Picasso</v>
      </c>
      <c r="E246">
        <v>1905</v>
      </c>
      <c r="F246" cm="1">
        <f t="array" ref="F246">_xlfn.REGEXEXTRACT(E246,"\d{4}")*1</f>
        <v>1905</v>
      </c>
      <c r="G246" t="s">
        <v>698</v>
      </c>
      <c r="H246" t="s">
        <v>1643</v>
      </c>
      <c r="I246" t="s">
        <v>29</v>
      </c>
      <c r="J246" t="s">
        <v>674</v>
      </c>
      <c r="K246" s="1">
        <v>12685</v>
      </c>
      <c r="L246" t="s">
        <v>1644</v>
      </c>
      <c r="M246" t="s">
        <v>1645</v>
      </c>
      <c r="N246" t="s">
        <v>6373</v>
      </c>
    </row>
    <row r="247" spans="1:14" x14ac:dyDescent="0.25">
      <c r="A247">
        <v>61753</v>
      </c>
      <c r="B247" t="s">
        <v>1649</v>
      </c>
      <c r="C247">
        <v>4609</v>
      </c>
      <c r="D247" t="str" cm="1">
        <f t="array" ref="D247">_xlfn.TEXTJOIN(",",TRUE,_xlfn.XLOOKUP(_xlfn.TEXTSPLIT(C247,",")*1,_xlfn._TRO_TRAILING(Artists!A:A),_xlfn._TRO_TRAILING(Artists!B:B)))</f>
        <v>Pablo Picasso</v>
      </c>
      <c r="E247" t="s">
        <v>1629</v>
      </c>
      <c r="F247" cm="1">
        <f t="array" ref="F247">_xlfn.REGEXEXTRACT(E247,"\d{4}")*1</f>
        <v>1921</v>
      </c>
      <c r="G247" t="s">
        <v>1630</v>
      </c>
      <c r="H247" t="s">
        <v>1650</v>
      </c>
      <c r="I247" t="s">
        <v>29</v>
      </c>
      <c r="J247" t="s">
        <v>674</v>
      </c>
      <c r="K247" s="1">
        <v>12685</v>
      </c>
      <c r="L247" t="s">
        <v>1651</v>
      </c>
      <c r="M247" t="s">
        <v>1652</v>
      </c>
      <c r="N247" t="s">
        <v>6373</v>
      </c>
    </row>
    <row r="248" spans="1:14" x14ac:dyDescent="0.25">
      <c r="A248">
        <v>61804</v>
      </c>
      <c r="B248" t="s">
        <v>1628</v>
      </c>
      <c r="C248">
        <v>4609</v>
      </c>
      <c r="D248" t="str" cm="1">
        <f t="array" ref="D248">_xlfn.TEXTJOIN(",",TRUE,_xlfn.XLOOKUP(_xlfn.TEXTSPLIT(C248,",")*1,_xlfn._TRO_TRAILING(Artists!A:A),_xlfn._TRO_TRAILING(Artists!B:B)))</f>
        <v>Pablo Picasso</v>
      </c>
      <c r="E248" t="s">
        <v>1629</v>
      </c>
      <c r="F248" cm="1">
        <f t="array" ref="F248">_xlfn.REGEXEXTRACT(E248,"\d{4}")*1</f>
        <v>1921</v>
      </c>
      <c r="G248" t="s">
        <v>1630</v>
      </c>
      <c r="H248" t="s">
        <v>1653</v>
      </c>
      <c r="I248" t="s">
        <v>29</v>
      </c>
      <c r="J248" t="s">
        <v>674</v>
      </c>
      <c r="K248" s="1">
        <v>12685</v>
      </c>
      <c r="L248" t="s">
        <v>1654</v>
      </c>
      <c r="M248" t="s">
        <v>1655</v>
      </c>
      <c r="N248" t="s">
        <v>6373</v>
      </c>
    </row>
    <row r="249" spans="1:14" x14ac:dyDescent="0.25">
      <c r="A249">
        <v>61845</v>
      </c>
      <c r="B249" t="s">
        <v>1657</v>
      </c>
      <c r="C249">
        <v>4840</v>
      </c>
      <c r="D249" t="str" cm="1">
        <f t="array" ref="D249">_xlfn.TEXTJOIN(",",TRUE,_xlfn.XLOOKUP(_xlfn.TEXTSPLIT(C249,",")*1,_xlfn._TRO_TRAILING(Artists!A:A),_xlfn._TRO_TRAILING(Artists!B:B)))</f>
        <v>Odilon Redon</v>
      </c>
      <c r="E249">
        <v>1891</v>
      </c>
      <c r="F249" cm="1">
        <f t="array" ref="F249">_xlfn.REGEXEXTRACT(E249,"\d{4}")*1</f>
        <v>1891</v>
      </c>
      <c r="G249" t="s">
        <v>1658</v>
      </c>
      <c r="H249" t="s">
        <v>1659</v>
      </c>
      <c r="I249" t="s">
        <v>29</v>
      </c>
      <c r="J249" t="s">
        <v>674</v>
      </c>
      <c r="K249" s="1">
        <v>12685</v>
      </c>
      <c r="L249" t="s">
        <v>1660</v>
      </c>
      <c r="M249" t="s">
        <v>1661</v>
      </c>
      <c r="N249" t="s">
        <v>6373</v>
      </c>
    </row>
    <row r="250" spans="1:14" x14ac:dyDescent="0.25">
      <c r="A250">
        <v>62014</v>
      </c>
      <c r="B250" t="s">
        <v>1663</v>
      </c>
      <c r="C250">
        <v>3832</v>
      </c>
      <c r="D250" t="str" cm="1">
        <f t="array" ref="D250">_xlfn.TEXTJOIN(",",TRUE,_xlfn.XLOOKUP(_xlfn.TEXTSPLIT(C250,",")*1,_xlfn._TRO_TRAILING(Artists!A:A),_xlfn._TRO_TRAILING(Artists!B:B)))</f>
        <v>Henri Matisse</v>
      </c>
      <c r="E250">
        <v>1929</v>
      </c>
      <c r="F250" cm="1">
        <f t="array" ref="F250">_xlfn.REGEXEXTRACT(E250,"\d{4}")*1</f>
        <v>1929</v>
      </c>
      <c r="G250" t="s">
        <v>1591</v>
      </c>
      <c r="H250" t="s">
        <v>1647</v>
      </c>
      <c r="I250" t="s">
        <v>29</v>
      </c>
      <c r="J250" t="s">
        <v>674</v>
      </c>
      <c r="K250" s="1">
        <v>18658</v>
      </c>
      <c r="L250" t="s">
        <v>1664</v>
      </c>
      <c r="M250" t="s">
        <v>1665</v>
      </c>
      <c r="N250" t="s">
        <v>6395</v>
      </c>
    </row>
    <row r="251" spans="1:14" x14ac:dyDescent="0.25">
      <c r="A251">
        <v>62040</v>
      </c>
      <c r="B251" t="s">
        <v>1666</v>
      </c>
      <c r="C251">
        <v>4609</v>
      </c>
      <c r="D251" t="str" cm="1">
        <f t="array" ref="D251">_xlfn.TEXTJOIN(",",TRUE,_xlfn.XLOOKUP(_xlfn.TEXTSPLIT(C251,",")*1,_xlfn._TRO_TRAILING(Artists!A:A),_xlfn._TRO_TRAILING(Artists!B:B)))</f>
        <v>Pablo Picasso</v>
      </c>
      <c r="E251" t="s">
        <v>1629</v>
      </c>
      <c r="F251" cm="1">
        <f t="array" ref="F251">_xlfn.REGEXEXTRACT(E251,"\d{4}")*1</f>
        <v>1921</v>
      </c>
      <c r="G251" t="s">
        <v>1630</v>
      </c>
      <c r="H251" t="s">
        <v>1667</v>
      </c>
      <c r="I251" t="s">
        <v>29</v>
      </c>
      <c r="J251" t="s">
        <v>674</v>
      </c>
      <c r="K251" s="1">
        <v>12685</v>
      </c>
      <c r="L251" t="s">
        <v>1668</v>
      </c>
      <c r="M251" t="s">
        <v>1669</v>
      </c>
      <c r="N251" t="s">
        <v>6373</v>
      </c>
    </row>
    <row r="252" spans="1:14" x14ac:dyDescent="0.25">
      <c r="A252">
        <v>62093</v>
      </c>
      <c r="B252" t="s">
        <v>1670</v>
      </c>
      <c r="C252">
        <v>3832</v>
      </c>
      <c r="D252" t="str" cm="1">
        <f t="array" ref="D252">_xlfn.TEXTJOIN(",",TRUE,_xlfn.XLOOKUP(_xlfn.TEXTSPLIT(C252,",")*1,_xlfn._TRO_TRAILING(Artists!A:A),_xlfn._TRO_TRAILING(Artists!B:B)))</f>
        <v>Henri Matisse</v>
      </c>
      <c r="E252">
        <v>1929</v>
      </c>
      <c r="F252" cm="1">
        <f t="array" ref="F252">_xlfn.REGEXEXTRACT(E252,"\d{4}")*1</f>
        <v>1929</v>
      </c>
      <c r="G252" t="s">
        <v>1591</v>
      </c>
      <c r="H252" t="s">
        <v>1671</v>
      </c>
      <c r="I252" t="s">
        <v>29</v>
      </c>
      <c r="J252" t="s">
        <v>674</v>
      </c>
      <c r="K252" s="1">
        <v>18658</v>
      </c>
      <c r="L252" t="s">
        <v>1672</v>
      </c>
      <c r="M252" t="s">
        <v>1673</v>
      </c>
      <c r="N252" t="s">
        <v>6395</v>
      </c>
    </row>
    <row r="253" spans="1:14" x14ac:dyDescent="0.25">
      <c r="A253">
        <v>62197</v>
      </c>
      <c r="B253" t="s">
        <v>1674</v>
      </c>
      <c r="C253">
        <v>3832</v>
      </c>
      <c r="D253" t="str" cm="1">
        <f t="array" ref="D253">_xlfn.TEXTJOIN(",",TRUE,_xlfn.XLOOKUP(_xlfn.TEXTSPLIT(C253,",")*1,_xlfn._TRO_TRAILING(Artists!A:A),_xlfn._TRO_TRAILING(Artists!B:B)))</f>
        <v>Henri Matisse</v>
      </c>
      <c r="E253">
        <v>1929</v>
      </c>
      <c r="F253" cm="1">
        <f t="array" ref="F253">_xlfn.REGEXEXTRACT(E253,"\d{4}")*1</f>
        <v>1929</v>
      </c>
      <c r="G253" t="s">
        <v>1591</v>
      </c>
      <c r="H253" t="s">
        <v>1675</v>
      </c>
      <c r="I253" t="s">
        <v>29</v>
      </c>
      <c r="J253" t="s">
        <v>674</v>
      </c>
      <c r="K253" s="1">
        <v>18658</v>
      </c>
      <c r="L253" t="s">
        <v>1676</v>
      </c>
      <c r="M253" t="s">
        <v>1677</v>
      </c>
      <c r="N253" t="s">
        <v>6395</v>
      </c>
    </row>
    <row r="254" spans="1:14" x14ac:dyDescent="0.25">
      <c r="A254">
        <v>62223</v>
      </c>
      <c r="B254" t="s">
        <v>1678</v>
      </c>
      <c r="C254">
        <v>3832</v>
      </c>
      <c r="D254" t="str" cm="1">
        <f t="array" ref="D254">_xlfn.TEXTJOIN(",",TRUE,_xlfn.XLOOKUP(_xlfn.TEXTSPLIT(C254,",")*1,_xlfn._TRO_TRAILING(Artists!A:A),_xlfn._TRO_TRAILING(Artists!B:B)))</f>
        <v>Henri Matisse</v>
      </c>
      <c r="E254">
        <v>1929</v>
      </c>
      <c r="F254" cm="1">
        <f t="array" ref="F254">_xlfn.REGEXEXTRACT(E254,"\d{4}")*1</f>
        <v>1929</v>
      </c>
      <c r="G254" t="s">
        <v>1591</v>
      </c>
      <c r="H254" t="s">
        <v>1631</v>
      </c>
      <c r="I254" t="s">
        <v>29</v>
      </c>
      <c r="J254" t="s">
        <v>674</v>
      </c>
      <c r="K254" s="1">
        <v>18658</v>
      </c>
      <c r="L254" t="s">
        <v>1679</v>
      </c>
      <c r="M254" t="s">
        <v>1680</v>
      </c>
      <c r="N254" t="s">
        <v>6395</v>
      </c>
    </row>
    <row r="255" spans="1:14" x14ac:dyDescent="0.25">
      <c r="A255">
        <v>62298</v>
      </c>
      <c r="B255" t="s">
        <v>1682</v>
      </c>
      <c r="C255">
        <v>3832</v>
      </c>
      <c r="D255" t="str" cm="1">
        <f t="array" ref="D255">_xlfn.TEXTJOIN(",",TRUE,_xlfn.XLOOKUP(_xlfn.TEXTSPLIT(C255,",")*1,_xlfn._TRO_TRAILING(Artists!A:A),_xlfn._TRO_TRAILING(Artists!B:B)))</f>
        <v>Henri Matisse</v>
      </c>
      <c r="E255">
        <v>1929</v>
      </c>
      <c r="F255" cm="1">
        <f t="array" ref="F255">_xlfn.REGEXEXTRACT(E255,"\d{4}")*1</f>
        <v>1929</v>
      </c>
      <c r="G255" t="s">
        <v>1591</v>
      </c>
      <c r="H255" t="s">
        <v>1683</v>
      </c>
      <c r="I255" t="s">
        <v>29</v>
      </c>
      <c r="J255" t="s">
        <v>674</v>
      </c>
      <c r="K255" s="1">
        <v>18658</v>
      </c>
      <c r="L255" t="s">
        <v>1684</v>
      </c>
      <c r="M255" t="s">
        <v>1685</v>
      </c>
      <c r="N255" t="s">
        <v>6395</v>
      </c>
    </row>
    <row r="256" spans="1:14" x14ac:dyDescent="0.25">
      <c r="A256">
        <v>62419</v>
      </c>
      <c r="B256" t="s">
        <v>1688</v>
      </c>
      <c r="C256">
        <v>5366</v>
      </c>
      <c r="D256" t="str" cm="1">
        <f t="array" ref="D256">_xlfn.TEXTJOIN(",",TRUE,_xlfn.XLOOKUP(_xlfn.TEXTSPLIT(C256,",")*1,_xlfn._TRO_TRAILING(Artists!A:A),_xlfn._TRO_TRAILING(Artists!B:B)))</f>
        <v>Ben Shahn</v>
      </c>
      <c r="E256">
        <v>1953</v>
      </c>
      <c r="F256" cm="1">
        <f t="array" ref="F256">_xlfn.REGEXEXTRACT(E256,"\d{4}")*1</f>
        <v>1953</v>
      </c>
      <c r="G256" t="s">
        <v>583</v>
      </c>
      <c r="H256" t="s">
        <v>1689</v>
      </c>
      <c r="I256" t="s">
        <v>29</v>
      </c>
      <c r="J256" t="s">
        <v>674</v>
      </c>
      <c r="K256" s="1">
        <v>23055</v>
      </c>
      <c r="L256" t="s">
        <v>1690</v>
      </c>
      <c r="M256" t="s">
        <v>1691</v>
      </c>
      <c r="N256" t="s">
        <v>6370</v>
      </c>
    </row>
    <row r="257" spans="1:14" x14ac:dyDescent="0.25">
      <c r="A257">
        <v>62894</v>
      </c>
      <c r="B257" t="s">
        <v>1696</v>
      </c>
      <c r="C257">
        <v>3569</v>
      </c>
      <c r="D257" t="str" cm="1">
        <f t="array" ref="D257">_xlfn.TEXTJOIN(",",TRUE,_xlfn.XLOOKUP(_xlfn.TEXTSPLIT(C257,",")*1,_xlfn._TRO_TRAILING(Artists!A:A),_xlfn._TRO_TRAILING(Artists!B:B)))</f>
        <v>El Lissitzky</v>
      </c>
      <c r="E257" t="s">
        <v>1695</v>
      </c>
      <c r="F257" cm="1">
        <f t="array" ref="F257">_xlfn.REGEXEXTRACT(E257,"\d{4}")*1</f>
        <v>1920</v>
      </c>
      <c r="G257" t="s">
        <v>807</v>
      </c>
      <c r="H257" t="s">
        <v>1697</v>
      </c>
      <c r="I257" t="s">
        <v>29</v>
      </c>
      <c r="J257" t="s">
        <v>674</v>
      </c>
      <c r="K257" s="1">
        <v>16342</v>
      </c>
      <c r="L257" t="s">
        <v>1698</v>
      </c>
      <c r="M257" t="s">
        <v>1699</v>
      </c>
      <c r="N257" t="s">
        <v>6385</v>
      </c>
    </row>
    <row r="258" spans="1:14" x14ac:dyDescent="0.25">
      <c r="A258">
        <v>63050</v>
      </c>
      <c r="B258" t="s">
        <v>1701</v>
      </c>
      <c r="C258">
        <v>710</v>
      </c>
      <c r="D258" t="str" cm="1">
        <f t="array" ref="D258">_xlfn.TEXTJOIN(",",TRUE,_xlfn.XLOOKUP(_xlfn.TEXTSPLIT(C258,",")*1,_xlfn._TRO_TRAILING(Artists!A:A),_xlfn._TRO_TRAILING(Artists!B:B)))</f>
        <v>Louise Bourgeois</v>
      </c>
      <c r="E258" t="s">
        <v>127</v>
      </c>
      <c r="F258" cm="1">
        <f t="array" ref="F258">_xlfn.REGEXEXTRACT(E258,"\d{4}")*1</f>
        <v>1948</v>
      </c>
      <c r="G258" t="s">
        <v>1584</v>
      </c>
      <c r="H258" t="s">
        <v>1702</v>
      </c>
      <c r="I258" t="s">
        <v>29</v>
      </c>
      <c r="J258" t="s">
        <v>674</v>
      </c>
      <c r="K258" s="1">
        <v>32995</v>
      </c>
      <c r="L258" t="s">
        <v>1703</v>
      </c>
      <c r="M258" t="s">
        <v>1704</v>
      </c>
      <c r="N258" t="s">
        <v>6384</v>
      </c>
    </row>
    <row r="259" spans="1:14" x14ac:dyDescent="0.25">
      <c r="A259">
        <v>63051</v>
      </c>
      <c r="B259" t="s">
        <v>1701</v>
      </c>
      <c r="C259">
        <v>710</v>
      </c>
      <c r="D259" t="str" cm="1">
        <f t="array" ref="D259">_xlfn.TEXTJOIN(",",TRUE,_xlfn.XLOOKUP(_xlfn.TEXTSPLIT(C259,",")*1,_xlfn._TRO_TRAILING(Artists!A:A),_xlfn._TRO_TRAILING(Artists!B:B)))</f>
        <v>Louise Bourgeois</v>
      </c>
      <c r="E259" t="s">
        <v>127</v>
      </c>
      <c r="F259" cm="1">
        <f t="array" ref="F259">_xlfn.REGEXEXTRACT(E259,"\d{4}")*1</f>
        <v>1948</v>
      </c>
      <c r="G259" t="s">
        <v>766</v>
      </c>
      <c r="H259" t="s">
        <v>1705</v>
      </c>
      <c r="I259" t="s">
        <v>29</v>
      </c>
      <c r="J259" t="s">
        <v>674</v>
      </c>
      <c r="K259" s="1">
        <v>32995</v>
      </c>
      <c r="L259" t="s">
        <v>1706</v>
      </c>
      <c r="M259" t="s">
        <v>1707</v>
      </c>
      <c r="N259" t="s">
        <v>6384</v>
      </c>
    </row>
    <row r="260" spans="1:14" x14ac:dyDescent="0.25">
      <c r="A260">
        <v>63052</v>
      </c>
      <c r="B260" t="s">
        <v>1701</v>
      </c>
      <c r="C260">
        <v>710</v>
      </c>
      <c r="D260" t="str" cm="1">
        <f t="array" ref="D260">_xlfn.TEXTJOIN(",",TRUE,_xlfn.XLOOKUP(_xlfn.TEXTSPLIT(C260,",")*1,_xlfn._TRO_TRAILING(Artists!A:A),_xlfn._TRO_TRAILING(Artists!B:B)))</f>
        <v>Louise Bourgeois</v>
      </c>
      <c r="E260" t="s">
        <v>127</v>
      </c>
      <c r="F260" cm="1">
        <f t="array" ref="F260">_xlfn.REGEXEXTRACT(E260,"\d{4}")*1</f>
        <v>1948</v>
      </c>
      <c r="G260" t="s">
        <v>766</v>
      </c>
      <c r="H260" t="s">
        <v>1708</v>
      </c>
      <c r="I260" t="s">
        <v>29</v>
      </c>
      <c r="J260" t="s">
        <v>674</v>
      </c>
      <c r="K260" s="1">
        <v>32995</v>
      </c>
      <c r="L260" t="s">
        <v>1709</v>
      </c>
      <c r="M260" t="s">
        <v>1710</v>
      </c>
      <c r="N260" t="s">
        <v>6384</v>
      </c>
    </row>
    <row r="261" spans="1:14" x14ac:dyDescent="0.25">
      <c r="A261">
        <v>63260</v>
      </c>
      <c r="B261" t="s">
        <v>1711</v>
      </c>
      <c r="C261">
        <v>1559</v>
      </c>
      <c r="D261" t="str" cm="1">
        <f t="array" ref="D261">_xlfn.TEXTJOIN(",",TRUE,_xlfn.XLOOKUP(_xlfn.TEXTSPLIT(C261,",")*1,_xlfn._TRO_TRAILING(Artists!A:A),_xlfn._TRO_TRAILING(Artists!B:B)))</f>
        <v>Otto Dix</v>
      </c>
      <c r="E261">
        <v>1924</v>
      </c>
      <c r="F261" cm="1">
        <f t="array" ref="F261">_xlfn.REGEXEXTRACT(E261,"\d{4}")*1</f>
        <v>1924</v>
      </c>
      <c r="G261" t="s">
        <v>1712</v>
      </c>
      <c r="H261" t="s">
        <v>1713</v>
      </c>
      <c r="I261" t="s">
        <v>29</v>
      </c>
      <c r="J261" t="s">
        <v>674</v>
      </c>
      <c r="K261" s="1">
        <v>12602</v>
      </c>
      <c r="L261" t="s">
        <v>1714</v>
      </c>
      <c r="M261" t="s">
        <v>1715</v>
      </c>
      <c r="N261" t="s">
        <v>6385</v>
      </c>
    </row>
    <row r="262" spans="1:14" x14ac:dyDescent="0.25">
      <c r="A262">
        <v>63263</v>
      </c>
      <c r="B262" t="s">
        <v>1716</v>
      </c>
      <c r="C262">
        <v>1559</v>
      </c>
      <c r="D262" t="str" cm="1">
        <f t="array" ref="D262">_xlfn.TEXTJOIN(",",TRUE,_xlfn.XLOOKUP(_xlfn.TEXTSPLIT(C262,",")*1,_xlfn._TRO_TRAILING(Artists!A:A),_xlfn._TRO_TRAILING(Artists!B:B)))</f>
        <v>Otto Dix</v>
      </c>
      <c r="E262">
        <v>1924</v>
      </c>
      <c r="F262" cm="1">
        <f t="array" ref="F262">_xlfn.REGEXEXTRACT(E262,"\d{4}")*1</f>
        <v>1924</v>
      </c>
      <c r="G262" t="s">
        <v>1717</v>
      </c>
      <c r="H262" t="s">
        <v>1718</v>
      </c>
      <c r="I262" t="s">
        <v>29</v>
      </c>
      <c r="J262" t="s">
        <v>674</v>
      </c>
      <c r="K262" s="1">
        <v>12602</v>
      </c>
      <c r="L262" t="s">
        <v>1719</v>
      </c>
      <c r="M262" t="s">
        <v>1720</v>
      </c>
      <c r="N262" t="s">
        <v>6385</v>
      </c>
    </row>
    <row r="263" spans="1:14" x14ac:dyDescent="0.25">
      <c r="A263">
        <v>64278</v>
      </c>
      <c r="B263" t="s">
        <v>1723</v>
      </c>
      <c r="C263">
        <v>6246</v>
      </c>
      <c r="D263" t="str" cm="1">
        <f t="array" ref="D263">_xlfn.TEXTJOIN(",",TRUE,_xlfn.XLOOKUP(_xlfn.TEXTSPLIT(C263,",")*1,_xlfn._TRO_TRAILING(Artists!A:A),_xlfn._TRO_TRAILING(Artists!B:B)))</f>
        <v>Andy Warhol</v>
      </c>
      <c r="E263">
        <v>1970</v>
      </c>
      <c r="F263" cm="1">
        <f t="array" ref="F263">_xlfn.REGEXEXTRACT(E263,"\d{4}")*1</f>
        <v>1970</v>
      </c>
      <c r="G263" t="s">
        <v>1589</v>
      </c>
      <c r="H263" t="s">
        <v>1724</v>
      </c>
      <c r="I263" t="s">
        <v>29</v>
      </c>
      <c r="J263" t="s">
        <v>674</v>
      </c>
      <c r="K263" s="1">
        <v>25700</v>
      </c>
      <c r="L263" t="s">
        <v>1725</v>
      </c>
      <c r="M263" t="s">
        <v>1726</v>
      </c>
      <c r="N263" t="s">
        <v>6396</v>
      </c>
    </row>
    <row r="264" spans="1:14" x14ac:dyDescent="0.25">
      <c r="A264">
        <v>64280</v>
      </c>
      <c r="B264" t="s">
        <v>1723</v>
      </c>
      <c r="C264">
        <v>6246</v>
      </c>
      <c r="D264" t="str" cm="1">
        <f t="array" ref="D264">_xlfn.TEXTJOIN(",",TRUE,_xlfn.XLOOKUP(_xlfn.TEXTSPLIT(C264,",")*1,_xlfn._TRO_TRAILING(Artists!A:A),_xlfn._TRO_TRAILING(Artists!B:B)))</f>
        <v>Andy Warhol</v>
      </c>
      <c r="E264">
        <v>1970</v>
      </c>
      <c r="F264" cm="1">
        <f t="array" ref="F264">_xlfn.REGEXEXTRACT(E264,"\d{4}")*1</f>
        <v>1970</v>
      </c>
      <c r="G264" t="s">
        <v>1589</v>
      </c>
      <c r="H264" t="s">
        <v>1727</v>
      </c>
      <c r="I264" t="s">
        <v>29</v>
      </c>
      <c r="J264" t="s">
        <v>674</v>
      </c>
      <c r="K264" s="1">
        <v>25700</v>
      </c>
      <c r="L264" t="s">
        <v>1728</v>
      </c>
      <c r="M264" t="s">
        <v>1729</v>
      </c>
      <c r="N264" t="s">
        <v>6396</v>
      </c>
    </row>
    <row r="265" spans="1:14" x14ac:dyDescent="0.25">
      <c r="A265">
        <v>64283</v>
      </c>
      <c r="B265" t="s">
        <v>1723</v>
      </c>
      <c r="C265">
        <v>6246</v>
      </c>
      <c r="D265" t="str" cm="1">
        <f t="array" ref="D265">_xlfn.TEXTJOIN(",",TRUE,_xlfn.XLOOKUP(_xlfn.TEXTSPLIT(C265,",")*1,_xlfn._TRO_TRAILING(Artists!A:A),_xlfn._TRO_TRAILING(Artists!B:B)))</f>
        <v>Andy Warhol</v>
      </c>
      <c r="E265">
        <v>1970</v>
      </c>
      <c r="F265" cm="1">
        <f t="array" ref="F265">_xlfn.REGEXEXTRACT(E265,"\d{4}")*1</f>
        <v>1970</v>
      </c>
      <c r="G265" t="s">
        <v>1589</v>
      </c>
      <c r="H265" t="s">
        <v>1727</v>
      </c>
      <c r="I265" t="s">
        <v>29</v>
      </c>
      <c r="J265" t="s">
        <v>674</v>
      </c>
      <c r="K265" s="1">
        <v>25700</v>
      </c>
      <c r="L265" t="s">
        <v>1730</v>
      </c>
      <c r="M265" t="s">
        <v>1731</v>
      </c>
      <c r="N265" t="s">
        <v>6396</v>
      </c>
    </row>
    <row r="266" spans="1:14" x14ac:dyDescent="0.25">
      <c r="A266">
        <v>64284</v>
      </c>
      <c r="B266" t="s">
        <v>1723</v>
      </c>
      <c r="C266">
        <v>6246</v>
      </c>
      <c r="D266" t="str" cm="1">
        <f t="array" ref="D266">_xlfn.TEXTJOIN(",",TRUE,_xlfn.XLOOKUP(_xlfn.TEXTSPLIT(C266,",")*1,_xlfn._TRO_TRAILING(Artists!A:A),_xlfn._TRO_TRAILING(Artists!B:B)))</f>
        <v>Andy Warhol</v>
      </c>
      <c r="E266">
        <v>1970</v>
      </c>
      <c r="F266" cm="1">
        <f t="array" ref="F266">_xlfn.REGEXEXTRACT(E266,"\d{4}")*1</f>
        <v>1970</v>
      </c>
      <c r="G266" t="s">
        <v>1589</v>
      </c>
      <c r="H266" t="s">
        <v>1727</v>
      </c>
      <c r="I266" t="s">
        <v>29</v>
      </c>
      <c r="J266" t="s">
        <v>674</v>
      </c>
      <c r="K266" s="1">
        <v>25700</v>
      </c>
      <c r="L266" t="s">
        <v>1732</v>
      </c>
      <c r="M266" t="s">
        <v>1733</v>
      </c>
      <c r="N266" t="s">
        <v>6396</v>
      </c>
    </row>
    <row r="267" spans="1:14" x14ac:dyDescent="0.25">
      <c r="A267">
        <v>64285</v>
      </c>
      <c r="B267" t="s">
        <v>1723</v>
      </c>
      <c r="C267">
        <v>6246</v>
      </c>
      <c r="D267" t="str" cm="1">
        <f t="array" ref="D267">_xlfn.TEXTJOIN(",",TRUE,_xlfn.XLOOKUP(_xlfn.TEXTSPLIT(C267,",")*1,_xlfn._TRO_TRAILING(Artists!A:A),_xlfn._TRO_TRAILING(Artists!B:B)))</f>
        <v>Andy Warhol</v>
      </c>
      <c r="E267">
        <v>1970</v>
      </c>
      <c r="F267" cm="1">
        <f t="array" ref="F267">_xlfn.REGEXEXTRACT(E267,"\d{4}")*1</f>
        <v>1970</v>
      </c>
      <c r="G267" t="s">
        <v>1589</v>
      </c>
      <c r="H267" t="s">
        <v>1727</v>
      </c>
      <c r="I267" t="s">
        <v>29</v>
      </c>
      <c r="J267" t="s">
        <v>674</v>
      </c>
      <c r="K267" s="1">
        <v>25700</v>
      </c>
      <c r="L267" t="s">
        <v>1734</v>
      </c>
      <c r="M267" t="s">
        <v>1735</v>
      </c>
      <c r="N267" t="s">
        <v>6396</v>
      </c>
    </row>
    <row r="268" spans="1:14" x14ac:dyDescent="0.25">
      <c r="A268">
        <v>64286</v>
      </c>
      <c r="B268" t="s">
        <v>1723</v>
      </c>
      <c r="C268">
        <v>6246</v>
      </c>
      <c r="D268" t="str" cm="1">
        <f t="array" ref="D268">_xlfn.TEXTJOIN(",",TRUE,_xlfn.XLOOKUP(_xlfn.TEXTSPLIT(C268,",")*1,_xlfn._TRO_TRAILING(Artists!A:A),_xlfn._TRO_TRAILING(Artists!B:B)))</f>
        <v>Andy Warhol</v>
      </c>
      <c r="E268">
        <v>1970</v>
      </c>
      <c r="F268" cm="1">
        <f t="array" ref="F268">_xlfn.REGEXEXTRACT(E268,"\d{4}")*1</f>
        <v>1970</v>
      </c>
      <c r="G268" t="s">
        <v>1589</v>
      </c>
      <c r="H268" t="s">
        <v>1727</v>
      </c>
      <c r="I268" t="s">
        <v>29</v>
      </c>
      <c r="J268" t="s">
        <v>674</v>
      </c>
      <c r="K268" s="1">
        <v>25700</v>
      </c>
      <c r="L268" t="s">
        <v>1736</v>
      </c>
      <c r="M268" t="s">
        <v>1737</v>
      </c>
      <c r="N268" t="s">
        <v>6396</v>
      </c>
    </row>
    <row r="269" spans="1:14" x14ac:dyDescent="0.25">
      <c r="A269">
        <v>64959</v>
      </c>
      <c r="B269" t="s">
        <v>1740</v>
      </c>
      <c r="C269">
        <v>153</v>
      </c>
      <c r="D269" t="str" cm="1">
        <f t="array" ref="D269">_xlfn.TEXTJOIN(",",TRUE,_xlfn.XLOOKUP(_xlfn.TEXTSPLIT(C269,",")*1,_xlfn._TRO_TRAILING(Artists!A:A),_xlfn._TRO_TRAILING(Artists!B:B)))</f>
        <v>Emma Amos</v>
      </c>
      <c r="E269" t="s">
        <v>1687</v>
      </c>
      <c r="F269" cm="1">
        <f t="array" ref="F269">_xlfn.REGEXEXTRACT(E269,"\d{4}")*1</f>
        <v>1985</v>
      </c>
      <c r="G269" t="s">
        <v>1742</v>
      </c>
      <c r="H269" t="s">
        <v>1743</v>
      </c>
      <c r="I269" t="s">
        <v>29</v>
      </c>
      <c r="J269" t="s">
        <v>674</v>
      </c>
      <c r="K269" s="1">
        <v>32793</v>
      </c>
      <c r="L269" t="s">
        <v>1744</v>
      </c>
      <c r="M269" t="s">
        <v>1745</v>
      </c>
      <c r="N269" t="s">
        <v>6360</v>
      </c>
    </row>
    <row r="270" spans="1:14" x14ac:dyDescent="0.25">
      <c r="A270">
        <v>65232</v>
      </c>
      <c r="B270" t="s">
        <v>1748</v>
      </c>
      <c r="C270">
        <v>412</v>
      </c>
      <c r="D270" t="str" cm="1">
        <f t="array" ref="D270">_xlfn.TEXTJOIN(",",TRUE,_xlfn.XLOOKUP(_xlfn.TEXTSPLIT(C270,",")*1,_xlfn._TRO_TRAILING(Artists!A:A),_xlfn._TRO_TRAILING(Artists!B:B)))</f>
        <v>Romare Bearden</v>
      </c>
      <c r="E270">
        <v>1975</v>
      </c>
      <c r="F270" cm="1">
        <f t="array" ref="F270">_xlfn.REGEXEXTRACT(E270,"\d{4}")*1</f>
        <v>1975</v>
      </c>
      <c r="G270" t="s">
        <v>1588</v>
      </c>
      <c r="H270" t="s">
        <v>1749</v>
      </c>
      <c r="I270" t="s">
        <v>29</v>
      </c>
      <c r="J270" t="s">
        <v>674</v>
      </c>
      <c r="K270" s="1">
        <v>27674</v>
      </c>
      <c r="L270" t="s">
        <v>1750</v>
      </c>
      <c r="M270" t="s">
        <v>1751</v>
      </c>
      <c r="N270" t="s">
        <v>6383</v>
      </c>
    </row>
    <row r="271" spans="1:14" x14ac:dyDescent="0.25">
      <c r="A271">
        <v>65285</v>
      </c>
      <c r="B271" t="s">
        <v>1752</v>
      </c>
      <c r="C271">
        <v>6628</v>
      </c>
      <c r="D271" t="str" cm="1">
        <f t="array" ref="D271">_xlfn.TEXTJOIN(",",TRUE,_xlfn.XLOOKUP(_xlfn.TEXTSPLIT(C271,",")*1,_xlfn._TRO_TRAILING(Artists!A:A),_xlfn._TRO_TRAILING(Artists!B:B)))</f>
        <v>Margo Humphrey</v>
      </c>
      <c r="E271">
        <v>1991</v>
      </c>
      <c r="F271" cm="1">
        <f t="array" ref="F271">_xlfn.REGEXEXTRACT(E271,"\d{4}")*1</f>
        <v>1991</v>
      </c>
      <c r="G271" t="s">
        <v>1754</v>
      </c>
      <c r="H271" t="s">
        <v>1755</v>
      </c>
      <c r="I271" t="s">
        <v>29</v>
      </c>
      <c r="J271" t="s">
        <v>674</v>
      </c>
      <c r="K271" s="1">
        <v>33527</v>
      </c>
      <c r="L271" t="s">
        <v>1756</v>
      </c>
      <c r="M271" t="s">
        <v>1757</v>
      </c>
      <c r="N271" t="s">
        <v>6376</v>
      </c>
    </row>
    <row r="272" spans="1:14" x14ac:dyDescent="0.25">
      <c r="A272">
        <v>65451</v>
      </c>
      <c r="B272" t="s">
        <v>1759</v>
      </c>
      <c r="C272">
        <v>3745</v>
      </c>
      <c r="D272" t="str" cm="1">
        <f t="array" ref="D272">_xlfn.TEXTJOIN(",",TRUE,_xlfn.XLOOKUP(_xlfn.TEXTSPLIT(C272,",")*1,_xlfn._TRO_TRAILING(Artists!A:A),_xlfn._TRO_TRAILING(Artists!B:B)))</f>
        <v>Robert Mapplethorpe</v>
      </c>
      <c r="E272">
        <v>1985</v>
      </c>
      <c r="F272" cm="1">
        <f t="array" ref="F272">_xlfn.REGEXEXTRACT(E272,"\d{4}")*1</f>
        <v>1985</v>
      </c>
      <c r="G272" t="s">
        <v>1760</v>
      </c>
      <c r="H272" t="s">
        <v>1761</v>
      </c>
      <c r="I272" t="s">
        <v>29</v>
      </c>
      <c r="J272" t="s">
        <v>674</v>
      </c>
      <c r="K272" s="1">
        <v>33527</v>
      </c>
      <c r="L272" t="s">
        <v>1762</v>
      </c>
      <c r="M272" t="s">
        <v>1763</v>
      </c>
      <c r="N272" t="s">
        <v>6390</v>
      </c>
    </row>
    <row r="273" spans="1:14" x14ac:dyDescent="0.25">
      <c r="A273">
        <v>65505</v>
      </c>
      <c r="B273" t="s">
        <v>1759</v>
      </c>
      <c r="C273">
        <v>3745</v>
      </c>
      <c r="D273" t="str" cm="1">
        <f t="array" ref="D273">_xlfn.TEXTJOIN(",",TRUE,_xlfn.XLOOKUP(_xlfn.TEXTSPLIT(C273,",")*1,_xlfn._TRO_TRAILING(Artists!A:A),_xlfn._TRO_TRAILING(Artists!B:B)))</f>
        <v>Robert Mapplethorpe</v>
      </c>
      <c r="E273">
        <v>1985</v>
      </c>
      <c r="F273" cm="1">
        <f t="array" ref="F273">_xlfn.REGEXEXTRACT(E273,"\d{4}")*1</f>
        <v>1985</v>
      </c>
      <c r="G273" t="s">
        <v>1764</v>
      </c>
      <c r="H273" t="s">
        <v>1765</v>
      </c>
      <c r="I273" t="s">
        <v>29</v>
      </c>
      <c r="J273" t="s">
        <v>674</v>
      </c>
      <c r="K273" s="1">
        <v>33527</v>
      </c>
      <c r="L273" t="s">
        <v>1766</v>
      </c>
      <c r="M273" t="s">
        <v>1767</v>
      </c>
      <c r="N273" t="s">
        <v>6390</v>
      </c>
    </row>
    <row r="274" spans="1:14" x14ac:dyDescent="0.25">
      <c r="A274">
        <v>66637</v>
      </c>
      <c r="B274" t="s">
        <v>1770</v>
      </c>
      <c r="C274">
        <v>429</v>
      </c>
      <c r="D274" t="str" cm="1">
        <f t="array" ref="D274">_xlfn.TEXTJOIN(",",TRUE,_xlfn.XLOOKUP(_xlfn.TEXTSPLIT(C274,",")*1,_xlfn._TRO_TRAILING(Artists!A:A),_xlfn._TRO_TRAILING(Artists!B:B)))</f>
        <v>Max Beckmann</v>
      </c>
      <c r="E274">
        <v>1922</v>
      </c>
      <c r="F274" cm="1">
        <f t="array" ref="F274">_xlfn.REGEXEXTRACT(E274,"\d{4}")*1</f>
        <v>1922</v>
      </c>
      <c r="G274" t="s">
        <v>1771</v>
      </c>
      <c r="H274" t="s">
        <v>1772</v>
      </c>
      <c r="I274" t="s">
        <v>29</v>
      </c>
      <c r="J274" t="s">
        <v>674</v>
      </c>
      <c r="K274" s="1">
        <v>18772</v>
      </c>
      <c r="L274" t="s">
        <v>1773</v>
      </c>
      <c r="M274" t="s">
        <v>1774</v>
      </c>
      <c r="N274" t="s">
        <v>6391</v>
      </c>
    </row>
    <row r="275" spans="1:14" x14ac:dyDescent="0.25">
      <c r="A275">
        <v>66639</v>
      </c>
      <c r="B275" t="s">
        <v>1776</v>
      </c>
      <c r="C275">
        <v>429</v>
      </c>
      <c r="D275" t="str" cm="1">
        <f t="array" ref="D275">_xlfn.TEXTJOIN(",",TRUE,_xlfn.XLOOKUP(_xlfn.TEXTSPLIT(C275,",")*1,_xlfn._TRO_TRAILING(Artists!A:A),_xlfn._TRO_TRAILING(Artists!B:B)))</f>
        <v>Max Beckmann</v>
      </c>
      <c r="E275">
        <v>1922</v>
      </c>
      <c r="F275" cm="1">
        <f t="array" ref="F275">_xlfn.REGEXEXTRACT(E275,"\d{4}")*1</f>
        <v>1922</v>
      </c>
      <c r="G275" t="s">
        <v>1771</v>
      </c>
      <c r="H275" t="s">
        <v>1777</v>
      </c>
      <c r="I275" t="s">
        <v>29</v>
      </c>
      <c r="J275" t="s">
        <v>674</v>
      </c>
      <c r="K275" s="1">
        <v>18772</v>
      </c>
      <c r="L275" t="s">
        <v>1778</v>
      </c>
      <c r="M275" t="s">
        <v>1779</v>
      </c>
      <c r="N275" t="s">
        <v>6391</v>
      </c>
    </row>
    <row r="276" spans="1:14" x14ac:dyDescent="0.25">
      <c r="A276">
        <v>66640</v>
      </c>
      <c r="B276" t="s">
        <v>1780</v>
      </c>
      <c r="C276">
        <v>429</v>
      </c>
      <c r="D276" t="str" cm="1">
        <f t="array" ref="D276">_xlfn.TEXTJOIN(",",TRUE,_xlfn.XLOOKUP(_xlfn.TEXTSPLIT(C276,",")*1,_xlfn._TRO_TRAILING(Artists!A:A),_xlfn._TRO_TRAILING(Artists!B:B)))</f>
        <v>Max Beckmann</v>
      </c>
      <c r="E276">
        <v>1922</v>
      </c>
      <c r="F276" cm="1">
        <f t="array" ref="F276">_xlfn.REGEXEXTRACT(E276,"\d{4}")*1</f>
        <v>1922</v>
      </c>
      <c r="G276" t="s">
        <v>1781</v>
      </c>
      <c r="H276" t="s">
        <v>1782</v>
      </c>
      <c r="I276" t="s">
        <v>29</v>
      </c>
      <c r="J276" t="s">
        <v>674</v>
      </c>
      <c r="K276" s="1">
        <v>18772</v>
      </c>
      <c r="L276" t="s">
        <v>1783</v>
      </c>
      <c r="M276" t="s">
        <v>1775</v>
      </c>
      <c r="N276" t="s">
        <v>6391</v>
      </c>
    </row>
    <row r="277" spans="1:14" x14ac:dyDescent="0.25">
      <c r="A277">
        <v>66641</v>
      </c>
      <c r="B277" t="s">
        <v>1784</v>
      </c>
      <c r="C277">
        <v>429</v>
      </c>
      <c r="D277" t="str" cm="1">
        <f t="array" ref="D277">_xlfn.TEXTJOIN(",",TRUE,_xlfn.XLOOKUP(_xlfn.TEXTSPLIT(C277,",")*1,_xlfn._TRO_TRAILING(Artists!A:A),_xlfn._TRO_TRAILING(Artists!B:B)))</f>
        <v>Max Beckmann</v>
      </c>
      <c r="E277">
        <v>1922</v>
      </c>
      <c r="F277" cm="1">
        <f t="array" ref="F277">_xlfn.REGEXEXTRACT(E277,"\d{4}")*1</f>
        <v>1922</v>
      </c>
      <c r="G277" t="s">
        <v>1771</v>
      </c>
      <c r="H277" t="s">
        <v>1785</v>
      </c>
      <c r="I277" t="s">
        <v>29</v>
      </c>
      <c r="J277" t="s">
        <v>674</v>
      </c>
      <c r="K277" s="1">
        <v>18772</v>
      </c>
      <c r="L277" t="s">
        <v>1786</v>
      </c>
      <c r="M277" t="s">
        <v>1787</v>
      </c>
      <c r="N277" t="s">
        <v>6391</v>
      </c>
    </row>
    <row r="278" spans="1:14" x14ac:dyDescent="0.25">
      <c r="A278">
        <v>66642</v>
      </c>
      <c r="B278" t="s">
        <v>1788</v>
      </c>
      <c r="C278">
        <v>429</v>
      </c>
      <c r="D278" t="str" cm="1">
        <f t="array" ref="D278">_xlfn.TEXTJOIN(",",TRUE,_xlfn.XLOOKUP(_xlfn.TEXTSPLIT(C278,",")*1,_xlfn._TRO_TRAILING(Artists!A:A),_xlfn._TRO_TRAILING(Artists!B:B)))</f>
        <v>Max Beckmann</v>
      </c>
      <c r="E278">
        <v>1922</v>
      </c>
      <c r="F278" cm="1">
        <f t="array" ref="F278">_xlfn.REGEXEXTRACT(E278,"\d{4}")*1</f>
        <v>1922</v>
      </c>
      <c r="G278" t="s">
        <v>1771</v>
      </c>
      <c r="H278" t="s">
        <v>1789</v>
      </c>
      <c r="I278" t="s">
        <v>29</v>
      </c>
      <c r="J278" t="s">
        <v>674</v>
      </c>
      <c r="K278" s="1">
        <v>18772</v>
      </c>
      <c r="L278" t="s">
        <v>1790</v>
      </c>
      <c r="M278" t="s">
        <v>1791</v>
      </c>
      <c r="N278" t="s">
        <v>6391</v>
      </c>
    </row>
    <row r="279" spans="1:14" x14ac:dyDescent="0.25">
      <c r="A279">
        <v>66643</v>
      </c>
      <c r="B279" t="s">
        <v>1792</v>
      </c>
      <c r="C279">
        <v>429</v>
      </c>
      <c r="D279" t="str" cm="1">
        <f t="array" ref="D279">_xlfn.TEXTJOIN(",",TRUE,_xlfn.XLOOKUP(_xlfn.TEXTSPLIT(C279,",")*1,_xlfn._TRO_TRAILING(Artists!A:A),_xlfn._TRO_TRAILING(Artists!B:B)))</f>
        <v>Max Beckmann</v>
      </c>
      <c r="E279">
        <v>1922</v>
      </c>
      <c r="F279" cm="1">
        <f t="array" ref="F279">_xlfn.REGEXEXTRACT(E279,"\d{4}")*1</f>
        <v>1922</v>
      </c>
      <c r="G279" t="s">
        <v>1771</v>
      </c>
      <c r="H279" t="s">
        <v>1793</v>
      </c>
      <c r="I279" t="s">
        <v>29</v>
      </c>
      <c r="J279" t="s">
        <v>674</v>
      </c>
      <c r="K279" s="1">
        <v>18772</v>
      </c>
      <c r="L279" t="s">
        <v>1794</v>
      </c>
      <c r="M279" t="s">
        <v>1795</v>
      </c>
      <c r="N279" t="s">
        <v>6391</v>
      </c>
    </row>
    <row r="280" spans="1:14" x14ac:dyDescent="0.25">
      <c r="A280">
        <v>66644</v>
      </c>
      <c r="B280" t="s">
        <v>1796</v>
      </c>
      <c r="C280">
        <v>429</v>
      </c>
      <c r="D280" t="str" cm="1">
        <f t="array" ref="D280">_xlfn.TEXTJOIN(",",TRUE,_xlfn.XLOOKUP(_xlfn.TEXTSPLIT(C280,",")*1,_xlfn._TRO_TRAILING(Artists!A:A),_xlfn._TRO_TRAILING(Artists!B:B)))</f>
        <v>Max Beckmann</v>
      </c>
      <c r="E280">
        <v>1922</v>
      </c>
      <c r="F280" cm="1">
        <f t="array" ref="F280">_xlfn.REGEXEXTRACT(E280,"\d{4}")*1</f>
        <v>1922</v>
      </c>
      <c r="G280" t="s">
        <v>1771</v>
      </c>
      <c r="H280" t="s">
        <v>1797</v>
      </c>
      <c r="I280" t="s">
        <v>29</v>
      </c>
      <c r="J280" t="s">
        <v>674</v>
      </c>
      <c r="K280" s="1">
        <v>18772</v>
      </c>
      <c r="L280" t="s">
        <v>1798</v>
      </c>
      <c r="M280" t="s">
        <v>1799</v>
      </c>
      <c r="N280" t="s">
        <v>6391</v>
      </c>
    </row>
    <row r="281" spans="1:14" x14ac:dyDescent="0.25">
      <c r="A281">
        <v>66645</v>
      </c>
      <c r="B281" t="s">
        <v>1800</v>
      </c>
      <c r="C281">
        <v>429</v>
      </c>
      <c r="D281" t="str" cm="1">
        <f t="array" ref="D281">_xlfn.TEXTJOIN(",",TRUE,_xlfn.XLOOKUP(_xlfn.TEXTSPLIT(C281,",")*1,_xlfn._TRO_TRAILING(Artists!A:A),_xlfn._TRO_TRAILING(Artists!B:B)))</f>
        <v>Max Beckmann</v>
      </c>
      <c r="E281">
        <v>1922</v>
      </c>
      <c r="F281" cm="1">
        <f t="array" ref="F281">_xlfn.REGEXEXTRACT(E281,"\d{4}")*1</f>
        <v>1922</v>
      </c>
      <c r="G281" t="s">
        <v>1771</v>
      </c>
      <c r="H281" t="s">
        <v>1801</v>
      </c>
      <c r="I281" t="s">
        <v>29</v>
      </c>
      <c r="J281" t="s">
        <v>674</v>
      </c>
      <c r="K281" s="1">
        <v>18772</v>
      </c>
      <c r="L281" t="s">
        <v>1802</v>
      </c>
      <c r="M281" t="s">
        <v>1803</v>
      </c>
      <c r="N281" t="s">
        <v>6391</v>
      </c>
    </row>
    <row r="282" spans="1:14" x14ac:dyDescent="0.25">
      <c r="A282">
        <v>66646</v>
      </c>
      <c r="B282" t="s">
        <v>1804</v>
      </c>
      <c r="C282">
        <v>429</v>
      </c>
      <c r="D282" t="str" cm="1">
        <f t="array" ref="D282">_xlfn.TEXTJOIN(",",TRUE,_xlfn.XLOOKUP(_xlfn.TEXTSPLIT(C282,",")*1,_xlfn._TRO_TRAILING(Artists!A:A),_xlfn._TRO_TRAILING(Artists!B:B)))</f>
        <v>Max Beckmann</v>
      </c>
      <c r="E282">
        <v>1922</v>
      </c>
      <c r="F282" cm="1">
        <f t="array" ref="F282">_xlfn.REGEXEXTRACT(E282,"\d{4}")*1</f>
        <v>1922</v>
      </c>
      <c r="G282" t="s">
        <v>1771</v>
      </c>
      <c r="H282" t="s">
        <v>1805</v>
      </c>
      <c r="I282" t="s">
        <v>29</v>
      </c>
      <c r="J282" t="s">
        <v>674</v>
      </c>
      <c r="K282" s="1">
        <v>18772</v>
      </c>
      <c r="L282" t="s">
        <v>1806</v>
      </c>
      <c r="M282" t="s">
        <v>1807</v>
      </c>
      <c r="N282" t="s">
        <v>6391</v>
      </c>
    </row>
    <row r="283" spans="1:14" x14ac:dyDescent="0.25">
      <c r="A283">
        <v>66647</v>
      </c>
      <c r="B283" t="s">
        <v>1808</v>
      </c>
      <c r="C283">
        <v>429</v>
      </c>
      <c r="D283" t="str" cm="1">
        <f t="array" ref="D283">_xlfn.TEXTJOIN(",",TRUE,_xlfn.XLOOKUP(_xlfn.TEXTSPLIT(C283,",")*1,_xlfn._TRO_TRAILING(Artists!A:A),_xlfn._TRO_TRAILING(Artists!B:B)))</f>
        <v>Max Beckmann</v>
      </c>
      <c r="E283">
        <v>1922</v>
      </c>
      <c r="F283" cm="1">
        <f t="array" ref="F283">_xlfn.REGEXEXTRACT(E283,"\d{4}")*1</f>
        <v>1922</v>
      </c>
      <c r="G283" t="s">
        <v>1771</v>
      </c>
      <c r="H283" t="s">
        <v>1809</v>
      </c>
      <c r="I283" t="s">
        <v>29</v>
      </c>
      <c r="J283" t="s">
        <v>674</v>
      </c>
      <c r="K283" s="1">
        <v>18772</v>
      </c>
      <c r="L283" t="s">
        <v>1810</v>
      </c>
      <c r="M283" t="s">
        <v>1811</v>
      </c>
      <c r="N283" t="s">
        <v>6391</v>
      </c>
    </row>
    <row r="284" spans="1:14" x14ac:dyDescent="0.25">
      <c r="A284">
        <v>66648</v>
      </c>
      <c r="B284" t="s">
        <v>1812</v>
      </c>
      <c r="C284">
        <v>429</v>
      </c>
      <c r="D284" t="str" cm="1">
        <f t="array" ref="D284">_xlfn.TEXTJOIN(",",TRUE,_xlfn.XLOOKUP(_xlfn.TEXTSPLIT(C284,",")*1,_xlfn._TRO_TRAILING(Artists!A:A),_xlfn._TRO_TRAILING(Artists!B:B)))</f>
        <v>Max Beckmann</v>
      </c>
      <c r="E284">
        <v>1922</v>
      </c>
      <c r="F284" cm="1">
        <f t="array" ref="F284">_xlfn.REGEXEXTRACT(E284,"\d{4}")*1</f>
        <v>1922</v>
      </c>
      <c r="G284" t="s">
        <v>1771</v>
      </c>
      <c r="H284" t="s">
        <v>1813</v>
      </c>
      <c r="I284" t="s">
        <v>29</v>
      </c>
      <c r="J284" t="s">
        <v>674</v>
      </c>
      <c r="K284" s="1">
        <v>18772</v>
      </c>
      <c r="L284" t="s">
        <v>1814</v>
      </c>
      <c r="M284" t="s">
        <v>1815</v>
      </c>
      <c r="N284" t="s">
        <v>6391</v>
      </c>
    </row>
    <row r="285" spans="1:14" x14ac:dyDescent="0.25">
      <c r="A285">
        <v>66744</v>
      </c>
      <c r="B285" t="s">
        <v>1816</v>
      </c>
      <c r="C285">
        <v>665</v>
      </c>
      <c r="D285" t="str" cm="1">
        <f t="array" ref="D285">_xlfn.TEXTJOIN(",",TRUE,_xlfn.XLOOKUP(_xlfn.TEXTSPLIT(C285,",")*1,_xlfn._TRO_TRAILING(Artists!A:A),_xlfn._TRO_TRAILING(Artists!B:B)))</f>
        <v>Pierre Bonnard</v>
      </c>
      <c r="E285">
        <v>1896</v>
      </c>
      <c r="F285" cm="1">
        <f t="array" ref="F285">_xlfn.REGEXEXTRACT(E285,"\d{4}")*1</f>
        <v>1896</v>
      </c>
      <c r="G285" t="s">
        <v>1817</v>
      </c>
      <c r="H285" t="s">
        <v>1818</v>
      </c>
      <c r="I285" t="s">
        <v>29</v>
      </c>
      <c r="J285" t="s">
        <v>674</v>
      </c>
      <c r="K285" s="1">
        <v>17812</v>
      </c>
      <c r="L285" t="s">
        <v>1819</v>
      </c>
      <c r="M285" t="s">
        <v>1820</v>
      </c>
      <c r="N285" t="s">
        <v>6367</v>
      </c>
    </row>
    <row r="286" spans="1:14" x14ac:dyDescent="0.25">
      <c r="A286">
        <v>66753</v>
      </c>
      <c r="B286" t="s">
        <v>51</v>
      </c>
      <c r="C286">
        <v>2776</v>
      </c>
      <c r="D286" t="str" cm="1">
        <f t="array" ref="D286">_xlfn.TEXTJOIN(",",TRUE,_xlfn.XLOOKUP(_xlfn.TEXTSPLIT(C286,",")*1,_xlfn._TRO_TRAILING(Artists!A:A),_xlfn._TRO_TRAILING(Artists!B:B)))</f>
        <v>Luchita Hurtado</v>
      </c>
      <c r="E286">
        <v>1970</v>
      </c>
      <c r="F286" cm="1">
        <f t="array" ref="F286">_xlfn.REGEXEXTRACT(E286,"\d{4}")*1</f>
        <v>1970</v>
      </c>
      <c r="G286" t="s">
        <v>32</v>
      </c>
      <c r="H286" t="s">
        <v>1822</v>
      </c>
      <c r="I286" t="s">
        <v>29</v>
      </c>
      <c r="J286" t="s">
        <v>674</v>
      </c>
      <c r="K286" s="1">
        <v>27039</v>
      </c>
      <c r="L286" t="s">
        <v>1823</v>
      </c>
      <c r="M286" t="s">
        <v>1824</v>
      </c>
      <c r="N286" t="s">
        <v>6397</v>
      </c>
    </row>
    <row r="287" spans="1:14" x14ac:dyDescent="0.25">
      <c r="A287">
        <v>66785</v>
      </c>
      <c r="B287" t="s">
        <v>51</v>
      </c>
      <c r="C287">
        <v>2776</v>
      </c>
      <c r="D287" t="str" cm="1">
        <f t="array" ref="D287">_xlfn.TEXTJOIN(",",TRUE,_xlfn.XLOOKUP(_xlfn.TEXTSPLIT(C287,",")*1,_xlfn._TRO_TRAILING(Artists!A:A),_xlfn._TRO_TRAILING(Artists!B:B)))</f>
        <v>Luchita Hurtado</v>
      </c>
      <c r="E287">
        <v>1970</v>
      </c>
      <c r="F287" cm="1">
        <f t="array" ref="F287">_xlfn.REGEXEXTRACT(E287,"\d{4}")*1</f>
        <v>1970</v>
      </c>
      <c r="G287" t="s">
        <v>32</v>
      </c>
      <c r="H287" t="s">
        <v>1825</v>
      </c>
      <c r="I287" t="s">
        <v>29</v>
      </c>
      <c r="J287" t="s">
        <v>674</v>
      </c>
      <c r="L287" t="s">
        <v>1826</v>
      </c>
      <c r="M287" t="s">
        <v>1827</v>
      </c>
      <c r="N287" t="s">
        <v>6397</v>
      </c>
    </row>
    <row r="288" spans="1:14" x14ac:dyDescent="0.25">
      <c r="A288">
        <v>67167</v>
      </c>
      <c r="B288" t="s">
        <v>1828</v>
      </c>
      <c r="C288">
        <v>3832</v>
      </c>
      <c r="D288" t="str" cm="1">
        <f t="array" ref="D288">_xlfn.TEXTJOIN(",",TRUE,_xlfn.XLOOKUP(_xlfn.TEXTSPLIT(C288,",")*1,_xlfn._TRO_TRAILING(Artists!A:A),_xlfn._TRO_TRAILING(Artists!B:B)))</f>
        <v>Henri Matisse</v>
      </c>
      <c r="E288">
        <v>1929</v>
      </c>
      <c r="F288" cm="1">
        <f t="array" ref="F288">_xlfn.REGEXEXTRACT(E288,"\d{4}")*1</f>
        <v>1929</v>
      </c>
      <c r="G288" t="s">
        <v>1591</v>
      </c>
      <c r="H288" t="s">
        <v>1829</v>
      </c>
      <c r="I288" t="s">
        <v>29</v>
      </c>
      <c r="J288" t="s">
        <v>674</v>
      </c>
      <c r="K288" s="1">
        <v>21538</v>
      </c>
      <c r="L288" t="s">
        <v>1830</v>
      </c>
      <c r="M288" t="s">
        <v>1831</v>
      </c>
      <c r="N288" t="s">
        <v>6395</v>
      </c>
    </row>
    <row r="289" spans="1:14" x14ac:dyDescent="0.25">
      <c r="A289">
        <v>67580</v>
      </c>
      <c r="B289" t="s">
        <v>1833</v>
      </c>
      <c r="C289">
        <v>4945</v>
      </c>
      <c r="D289" t="str" cm="1">
        <f t="array" ref="D289">_xlfn.TEXTJOIN(",",TRUE,_xlfn.XLOOKUP(_xlfn.TEXTSPLIT(C289,",")*1,_xlfn._TRO_TRAILING(Artists!A:A),_xlfn._TRO_TRAILING(Artists!B:B)))</f>
        <v>Larry Rivers</v>
      </c>
      <c r="E289">
        <v>1967</v>
      </c>
      <c r="F289" cm="1">
        <f t="array" ref="F289">_xlfn.REGEXEXTRACT(E289,"\d{4}")*1</f>
        <v>1967</v>
      </c>
      <c r="G289" t="s">
        <v>1834</v>
      </c>
      <c r="H289" t="s">
        <v>1835</v>
      </c>
      <c r="I289" t="s">
        <v>713</v>
      </c>
      <c r="J289" t="s">
        <v>674</v>
      </c>
      <c r="K289" s="1">
        <v>32873</v>
      </c>
      <c r="L289" t="s">
        <v>1836</v>
      </c>
      <c r="M289" t="s">
        <v>1837</v>
      </c>
      <c r="N289" t="s">
        <v>6398</v>
      </c>
    </row>
    <row r="290" spans="1:14" x14ac:dyDescent="0.25">
      <c r="A290">
        <v>68107</v>
      </c>
      <c r="B290" t="s">
        <v>823</v>
      </c>
      <c r="C290">
        <v>6165</v>
      </c>
      <c r="D290" t="str" cm="1">
        <f t="array" ref="D290">_xlfn.TEXTJOIN(",",TRUE,_xlfn.XLOOKUP(_xlfn.TEXTSPLIT(C290,",")*1,_xlfn._TRO_TRAILING(Artists!A:A),_xlfn._TRO_TRAILING(Artists!B:B)))</f>
        <v>Jacques Villon</v>
      </c>
      <c r="E290">
        <v>1927</v>
      </c>
      <c r="F290" cm="1">
        <f t="array" ref="F290">_xlfn.REGEXEXTRACT(E290,"\d{4}")*1</f>
        <v>1927</v>
      </c>
      <c r="G290" t="s">
        <v>1722</v>
      </c>
      <c r="H290" t="s">
        <v>1838</v>
      </c>
      <c r="I290" t="s">
        <v>29</v>
      </c>
      <c r="J290" t="s">
        <v>674</v>
      </c>
      <c r="K290" s="1">
        <v>17812</v>
      </c>
      <c r="L290" t="s">
        <v>1839</v>
      </c>
      <c r="M290" t="s">
        <v>1840</v>
      </c>
      <c r="N290" t="s">
        <v>6369</v>
      </c>
    </row>
    <row r="291" spans="1:14" x14ac:dyDescent="0.25">
      <c r="A291">
        <v>68232</v>
      </c>
      <c r="B291" t="s">
        <v>1842</v>
      </c>
      <c r="C291">
        <v>3716</v>
      </c>
      <c r="D291" t="str" cm="1">
        <f t="array" ref="D291">_xlfn.TEXTJOIN(",",TRUE,_xlfn.XLOOKUP(_xlfn.TEXTSPLIT(C291,",")*1,_xlfn._TRO_TRAILING(Artists!A:A),_xlfn._TRO_TRAILING(Artists!B:B)))</f>
        <v>Man Ray (Emmanuel Radnitzky)</v>
      </c>
      <c r="E291">
        <v>1926</v>
      </c>
      <c r="F291" cm="1">
        <f t="array" ref="F291">_xlfn.REGEXEXTRACT(E291,"\d{4}")*1</f>
        <v>1926</v>
      </c>
      <c r="G291" t="s">
        <v>1841</v>
      </c>
      <c r="H291" t="s">
        <v>1843</v>
      </c>
      <c r="I291" t="s">
        <v>29</v>
      </c>
      <c r="J291" t="s">
        <v>674</v>
      </c>
      <c r="K291" s="1">
        <v>32441</v>
      </c>
      <c r="L291" t="s">
        <v>1844</v>
      </c>
      <c r="M291" t="s">
        <v>1845</v>
      </c>
      <c r="N291" t="s">
        <v>6369</v>
      </c>
    </row>
    <row r="292" spans="1:14" x14ac:dyDescent="0.25">
      <c r="A292">
        <v>68240</v>
      </c>
      <c r="B292" t="s">
        <v>1846</v>
      </c>
      <c r="C292">
        <v>3716</v>
      </c>
      <c r="D292" t="str" cm="1">
        <f t="array" ref="D292">_xlfn.TEXTJOIN(",",TRUE,_xlfn.XLOOKUP(_xlfn.TEXTSPLIT(C292,",")*1,_xlfn._TRO_TRAILING(Artists!A:A),_xlfn._TRO_TRAILING(Artists!B:B)))</f>
        <v>Man Ray (Emmanuel Radnitzky)</v>
      </c>
      <c r="E292">
        <v>1926</v>
      </c>
      <c r="F292" cm="1">
        <f t="array" ref="F292">_xlfn.REGEXEXTRACT(E292,"\d{4}")*1</f>
        <v>1926</v>
      </c>
      <c r="G292" t="s">
        <v>1841</v>
      </c>
      <c r="H292" t="s">
        <v>1847</v>
      </c>
      <c r="I292" t="s">
        <v>29</v>
      </c>
      <c r="J292" t="s">
        <v>674</v>
      </c>
      <c r="K292" s="1">
        <v>32441</v>
      </c>
      <c r="L292" t="s">
        <v>1848</v>
      </c>
      <c r="M292" t="s">
        <v>1849</v>
      </c>
      <c r="N292" t="s">
        <v>6369</v>
      </c>
    </row>
    <row r="293" spans="1:14" x14ac:dyDescent="0.25">
      <c r="A293">
        <v>68742</v>
      </c>
      <c r="B293" t="s">
        <v>1852</v>
      </c>
      <c r="C293">
        <v>412</v>
      </c>
      <c r="D293" t="str" cm="1">
        <f t="array" ref="D293">_xlfn.TEXTJOIN(",",TRUE,_xlfn.XLOOKUP(_xlfn.TEXTSPLIT(C293,",")*1,_xlfn._TRO_TRAILING(Artists!A:A),_xlfn._TRO_TRAILING(Artists!B:B)))</f>
        <v>Romare Bearden</v>
      </c>
      <c r="E293" t="s">
        <v>1850</v>
      </c>
      <c r="F293" cm="1">
        <f t="array" ref="F293">_xlfn.REGEXEXTRACT(E293,"\d{4}")*1</f>
        <v>1975</v>
      </c>
      <c r="G293" t="s">
        <v>1851</v>
      </c>
      <c r="H293" t="s">
        <v>1853</v>
      </c>
      <c r="I293" t="s">
        <v>29</v>
      </c>
      <c r="J293" t="s">
        <v>674</v>
      </c>
      <c r="K293" s="1">
        <v>28439</v>
      </c>
      <c r="L293" t="s">
        <v>1854</v>
      </c>
      <c r="M293" t="s">
        <v>1855</v>
      </c>
      <c r="N293" t="s">
        <v>6383</v>
      </c>
    </row>
    <row r="294" spans="1:14" x14ac:dyDescent="0.25">
      <c r="A294">
        <v>69068</v>
      </c>
      <c r="B294" t="s">
        <v>1856</v>
      </c>
      <c r="C294">
        <v>710</v>
      </c>
      <c r="D294" t="str" cm="1">
        <f t="array" ref="D294">_xlfn.TEXTJOIN(",",TRUE,_xlfn.XLOOKUP(_xlfn.TEXTSPLIT(C294,",")*1,_xlfn._TRO_TRAILING(Artists!A:A),_xlfn._TRO_TRAILING(Artists!B:B)))</f>
        <v>Louise Bourgeois</v>
      </c>
      <c r="E294" t="s">
        <v>799</v>
      </c>
      <c r="F294" cm="1">
        <f t="array" ref="F294">_xlfn.REGEXEXTRACT(E294,"\d{4}")*1</f>
        <v>1946</v>
      </c>
      <c r="G294" t="s">
        <v>739</v>
      </c>
      <c r="H294" t="s">
        <v>1857</v>
      </c>
      <c r="I294" t="s">
        <v>29</v>
      </c>
      <c r="J294" t="s">
        <v>674</v>
      </c>
      <c r="K294" s="1">
        <v>34290</v>
      </c>
      <c r="L294" t="s">
        <v>1858</v>
      </c>
      <c r="M294" t="s">
        <v>1859</v>
      </c>
      <c r="N294" t="s">
        <v>6386</v>
      </c>
    </row>
    <row r="295" spans="1:14" x14ac:dyDescent="0.25">
      <c r="A295">
        <v>69837</v>
      </c>
      <c r="B295" t="s">
        <v>1868</v>
      </c>
      <c r="C295">
        <v>5486</v>
      </c>
      <c r="D295" t="str" cm="1">
        <f t="array" ref="D295">_xlfn.TEXTJOIN(",",TRUE,_xlfn.XLOOKUP(_xlfn.TEXTSPLIT(C295,",")*1,_xlfn._TRO_TRAILING(Artists!A:A),_xlfn._TRO_TRAILING(Artists!B:B)))</f>
        <v>Kiki Smith</v>
      </c>
      <c r="E295">
        <v>1992</v>
      </c>
      <c r="F295" cm="1">
        <f t="array" ref="F295">_xlfn.REGEXEXTRACT(E295,"\d{4}")*1</f>
        <v>1992</v>
      </c>
      <c r="G295" t="s">
        <v>1869</v>
      </c>
      <c r="H295" t="s">
        <v>1870</v>
      </c>
      <c r="I295" t="s">
        <v>29</v>
      </c>
      <c r="J295" t="s">
        <v>674</v>
      </c>
      <c r="K295" s="1">
        <v>33912</v>
      </c>
      <c r="L295" t="s">
        <v>1871</v>
      </c>
      <c r="M295" t="s">
        <v>1872</v>
      </c>
      <c r="N295" t="s">
        <v>6376</v>
      </c>
    </row>
    <row r="296" spans="1:14" x14ac:dyDescent="0.25">
      <c r="A296">
        <v>70094</v>
      </c>
      <c r="B296" t="s">
        <v>1873</v>
      </c>
      <c r="C296">
        <v>670</v>
      </c>
      <c r="D296" t="str" cm="1">
        <f t="array" ref="D296">_xlfn.TEXTJOIN(",",TRUE,_xlfn.XLOOKUP(_xlfn.TEXTSPLIT(C296,",")*1,_xlfn._TRO_TRAILING(Artists!A:A),_xlfn._TRO_TRAILING(Artists!B:B)))</f>
        <v>Lee Bontecou</v>
      </c>
      <c r="E296">
        <v>1963</v>
      </c>
      <c r="F296" cm="1">
        <f t="array" ref="F296">_xlfn.REGEXEXTRACT(E296,"\d{4}")*1</f>
        <v>1963</v>
      </c>
      <c r="G296" t="s">
        <v>32</v>
      </c>
      <c r="H296" t="s">
        <v>1874</v>
      </c>
      <c r="I296" t="s">
        <v>29</v>
      </c>
      <c r="J296" t="s">
        <v>674</v>
      </c>
      <c r="K296" s="1">
        <v>23292</v>
      </c>
      <c r="L296" t="s">
        <v>1875</v>
      </c>
      <c r="M296" t="s">
        <v>1876</v>
      </c>
      <c r="N296" t="s">
        <v>6376</v>
      </c>
    </row>
    <row r="297" spans="1:14" x14ac:dyDescent="0.25">
      <c r="A297">
        <v>71674</v>
      </c>
      <c r="B297" t="s">
        <v>1882</v>
      </c>
      <c r="C297">
        <v>6194</v>
      </c>
      <c r="D297" t="str" cm="1">
        <f t="array" ref="D297">_xlfn.TEXTJOIN(",",TRUE,_xlfn.XLOOKUP(_xlfn.TEXTSPLIT(C297,",")*1,_xlfn._TRO_TRAILING(Artists!A:A),_xlfn._TRO_TRAILING(Artists!B:B)))</f>
        <v>Édouard Vuillard</v>
      </c>
      <c r="E297">
        <v>1899</v>
      </c>
      <c r="F297" cm="1">
        <f t="array" ref="F297">_xlfn.REGEXEXTRACT(E297,"\d{4}")*1</f>
        <v>1899</v>
      </c>
      <c r="G297" t="s">
        <v>1738</v>
      </c>
      <c r="H297" t="s">
        <v>1883</v>
      </c>
      <c r="I297" t="s">
        <v>29</v>
      </c>
      <c r="J297" t="s">
        <v>674</v>
      </c>
      <c r="L297" t="s">
        <v>1884</v>
      </c>
      <c r="M297" t="s">
        <v>1885</v>
      </c>
      <c r="N297" t="s">
        <v>6367</v>
      </c>
    </row>
    <row r="298" spans="1:14" x14ac:dyDescent="0.25">
      <c r="A298">
        <v>71676</v>
      </c>
      <c r="B298" t="s">
        <v>1886</v>
      </c>
      <c r="C298">
        <v>6194</v>
      </c>
      <c r="D298" t="str" cm="1">
        <f t="array" ref="D298">_xlfn.TEXTJOIN(",",TRUE,_xlfn.XLOOKUP(_xlfn.TEXTSPLIT(C298,",")*1,_xlfn._TRO_TRAILING(Artists!A:A),_xlfn._TRO_TRAILING(Artists!B:B)))</f>
        <v>Édouard Vuillard</v>
      </c>
      <c r="E298">
        <v>1899</v>
      </c>
      <c r="F298" cm="1">
        <f t="array" ref="F298">_xlfn.REGEXEXTRACT(E298,"\d{4}")*1</f>
        <v>1899</v>
      </c>
      <c r="G298" t="s">
        <v>1738</v>
      </c>
      <c r="H298" t="s">
        <v>1887</v>
      </c>
      <c r="I298" t="s">
        <v>29</v>
      </c>
      <c r="J298" t="s">
        <v>674</v>
      </c>
      <c r="K298" s="1">
        <v>14706</v>
      </c>
      <c r="L298" t="s">
        <v>1888</v>
      </c>
      <c r="M298" t="s">
        <v>1889</v>
      </c>
      <c r="N298" t="s">
        <v>6367</v>
      </c>
    </row>
    <row r="299" spans="1:14" x14ac:dyDescent="0.25">
      <c r="A299">
        <v>72949</v>
      </c>
      <c r="B299" t="s">
        <v>1894</v>
      </c>
      <c r="C299">
        <v>1016</v>
      </c>
      <c r="D299" t="str" cm="1">
        <f t="array" ref="D299">_xlfn.TEXTJOIN(",",TRUE,_xlfn.XLOOKUP(_xlfn.TEXTSPLIT(C299,",")*1,_xlfn._TRO_TRAILING(Artists!A:A),_xlfn._TRO_TRAILING(Artists!B:B)))</f>
        <v>Mary Cassatt</v>
      </c>
      <c r="E299" t="s">
        <v>1896</v>
      </c>
      <c r="F299" cm="1">
        <f t="array" ref="F299">_xlfn.REGEXEXTRACT(E299,"\d{4}")*1</f>
        <v>1896</v>
      </c>
      <c r="G299" t="s">
        <v>1580</v>
      </c>
      <c r="H299" t="s">
        <v>1897</v>
      </c>
      <c r="I299" t="s">
        <v>29</v>
      </c>
      <c r="J299" t="s">
        <v>674</v>
      </c>
      <c r="K299" s="1">
        <v>14706</v>
      </c>
      <c r="L299" t="s">
        <v>1898</v>
      </c>
      <c r="M299" t="s">
        <v>1899</v>
      </c>
      <c r="N299" t="s">
        <v>6367</v>
      </c>
    </row>
    <row r="300" spans="1:14" x14ac:dyDescent="0.25">
      <c r="A300">
        <v>73480</v>
      </c>
      <c r="B300" t="s">
        <v>1901</v>
      </c>
      <c r="C300">
        <v>1182</v>
      </c>
      <c r="D300" t="str" cm="1">
        <f t="array" ref="D300">_xlfn.TEXTJOIN(",",TRUE,_xlfn.XLOOKUP(_xlfn.TEXTSPLIT(C300,",")*1,_xlfn._TRO_TRAILING(Artists!A:A),_xlfn._TRO_TRAILING(Artists!B:B)))</f>
        <v>Glenn O. Coleman</v>
      </c>
      <c r="E300">
        <v>1928</v>
      </c>
      <c r="F300" cm="1">
        <f t="array" ref="F300">_xlfn.REGEXEXTRACT(E300,"\d{4}")*1</f>
        <v>1928</v>
      </c>
      <c r="G300" t="s">
        <v>32</v>
      </c>
      <c r="H300" t="s">
        <v>1902</v>
      </c>
      <c r="I300" t="s">
        <v>29</v>
      </c>
      <c r="J300" t="s">
        <v>674</v>
      </c>
      <c r="K300" s="1">
        <v>14706</v>
      </c>
      <c r="L300" t="s">
        <v>1903</v>
      </c>
      <c r="M300" t="s">
        <v>1904</v>
      </c>
      <c r="N300" t="s">
        <v>6363</v>
      </c>
    </row>
    <row r="301" spans="1:14" x14ac:dyDescent="0.25">
      <c r="A301">
        <v>78296</v>
      </c>
      <c r="B301" t="s">
        <v>1909</v>
      </c>
      <c r="C301">
        <v>1053</v>
      </c>
      <c r="D301" t="str" cm="1">
        <f t="array" ref="D301">_xlfn.TEXTJOIN(",",TRUE,_xlfn.XLOOKUP(_xlfn.TEXTSPLIT(C301,",")*1,_xlfn._TRO_TRAILING(Artists!A:A),_xlfn._TRO_TRAILING(Artists!B:B)))</f>
        <v>Paul Cézanne</v>
      </c>
      <c r="E301" t="s">
        <v>1193</v>
      </c>
      <c r="F301" cm="1">
        <f t="array" ref="F301">_xlfn.REGEXEXTRACT(E301,"\d{4}")*1</f>
        <v>1885</v>
      </c>
      <c r="G301" t="s">
        <v>1034</v>
      </c>
      <c r="H301" t="s">
        <v>1914</v>
      </c>
      <c r="I301" t="s">
        <v>878</v>
      </c>
      <c r="J301" t="s">
        <v>879</v>
      </c>
      <c r="K301" s="1">
        <v>12685</v>
      </c>
      <c r="L301" t="s">
        <v>1915</v>
      </c>
      <c r="M301" t="s">
        <v>1916</v>
      </c>
      <c r="N301" t="s">
        <v>6373</v>
      </c>
    </row>
    <row r="302" spans="1:14" x14ac:dyDescent="0.25">
      <c r="A302">
        <v>78310</v>
      </c>
      <c r="B302" t="s">
        <v>1917</v>
      </c>
      <c r="C302">
        <v>4057</v>
      </c>
      <c r="D302" t="str" cm="1">
        <f t="array" ref="D302">_xlfn.TEXTJOIN(",",TRUE,_xlfn.XLOOKUP(_xlfn.TEXTSPLIT(C302,",")*1,_xlfn._TRO_TRAILING(Artists!A:A),_xlfn._TRO_TRAILING(Artists!B:B)))</f>
        <v>Piet Mondrian</v>
      </c>
      <c r="E302" t="s">
        <v>1918</v>
      </c>
      <c r="F302" cm="1">
        <f t="array" ref="F302">_xlfn.REGEXEXTRACT(E302,"\d{4}")*1</f>
        <v>1936</v>
      </c>
      <c r="G302" t="s">
        <v>1034</v>
      </c>
      <c r="H302" t="s">
        <v>1919</v>
      </c>
      <c r="I302" t="s">
        <v>878</v>
      </c>
      <c r="J302" t="s">
        <v>879</v>
      </c>
      <c r="K302" s="1">
        <v>13530</v>
      </c>
      <c r="L302" t="s">
        <v>1920</v>
      </c>
      <c r="M302" t="s">
        <v>1921</v>
      </c>
      <c r="N302" t="s">
        <v>6399</v>
      </c>
    </row>
    <row r="303" spans="1:14" x14ac:dyDescent="0.25">
      <c r="A303">
        <v>78311</v>
      </c>
      <c r="B303" t="s">
        <v>1922</v>
      </c>
      <c r="C303">
        <v>4609</v>
      </c>
      <c r="D303" t="str" cm="1">
        <f t="array" ref="D303">_xlfn.TEXTJOIN(",",TRUE,_xlfn.XLOOKUP(_xlfn.TEXTSPLIT(C303,",")*1,_xlfn._TRO_TRAILING(Artists!A:A),_xlfn._TRO_TRAILING(Artists!B:B)))</f>
        <v>Pablo Picasso</v>
      </c>
      <c r="E303" t="s">
        <v>1923</v>
      </c>
      <c r="F303" cm="1">
        <f t="array" ref="F303">_xlfn.REGEXEXTRACT(E303,"\d{4}")*1</f>
        <v>1932</v>
      </c>
      <c r="G303" t="s">
        <v>1034</v>
      </c>
      <c r="H303" t="s">
        <v>1924</v>
      </c>
      <c r="I303" t="s">
        <v>878</v>
      </c>
      <c r="J303" t="s">
        <v>879</v>
      </c>
      <c r="K303" s="1">
        <v>13866</v>
      </c>
      <c r="L303" t="s">
        <v>1925</v>
      </c>
      <c r="M303" t="s">
        <v>1926</v>
      </c>
      <c r="N303" t="s">
        <v>6386</v>
      </c>
    </row>
    <row r="304" spans="1:14" x14ac:dyDescent="0.25">
      <c r="A304">
        <v>78323</v>
      </c>
      <c r="B304" t="s">
        <v>1108</v>
      </c>
      <c r="C304">
        <v>2098</v>
      </c>
      <c r="D304" t="str" cm="1">
        <f t="array" ref="D304">_xlfn.TEXTJOIN(",",TRUE,_xlfn.XLOOKUP(_xlfn.TEXTSPLIT(C304,",")*1,_xlfn._TRO_TRAILING(Artists!A:A),_xlfn._TRO_TRAILING(Artists!B:B)))</f>
        <v>Paul Gauguin</v>
      </c>
      <c r="E304">
        <v>1889</v>
      </c>
      <c r="F304" cm="1">
        <f t="array" ref="F304">_xlfn.REGEXEXTRACT(E304,"\d{4}")*1</f>
        <v>1889</v>
      </c>
      <c r="G304" t="s">
        <v>1927</v>
      </c>
      <c r="H304" t="s">
        <v>1928</v>
      </c>
      <c r="I304" t="s">
        <v>878</v>
      </c>
      <c r="J304" t="s">
        <v>879</v>
      </c>
      <c r="K304" s="1">
        <v>21235</v>
      </c>
      <c r="L304" t="s">
        <v>1929</v>
      </c>
      <c r="M304" t="s">
        <v>1930</v>
      </c>
      <c r="N304" t="s">
        <v>6367</v>
      </c>
    </row>
    <row r="305" spans="1:14" x14ac:dyDescent="0.25">
      <c r="A305">
        <v>78331</v>
      </c>
      <c r="B305" t="s">
        <v>1931</v>
      </c>
      <c r="C305">
        <v>1559</v>
      </c>
      <c r="D305" t="str" cm="1">
        <f t="array" ref="D305">_xlfn.TEXTJOIN(",",TRUE,_xlfn.XLOOKUP(_xlfn.TEXTSPLIT(C305,",")*1,_xlfn._TRO_TRAILING(Artists!A:A),_xlfn._TRO_TRAILING(Artists!B:B)))</f>
        <v>Otto Dix</v>
      </c>
      <c r="E305" t="s">
        <v>1932</v>
      </c>
      <c r="F305" cm="1">
        <f t="array" ref="F305">_xlfn.REGEXEXTRACT(E305,"\d{4}")*1</f>
        <v>1926</v>
      </c>
      <c r="G305" t="s">
        <v>1933</v>
      </c>
      <c r="H305" t="s">
        <v>1934</v>
      </c>
      <c r="I305" t="s">
        <v>878</v>
      </c>
      <c r="J305" t="s">
        <v>879</v>
      </c>
      <c r="K305" s="1">
        <v>11848</v>
      </c>
      <c r="L305" t="s">
        <v>1935</v>
      </c>
      <c r="M305" t="s">
        <v>1936</v>
      </c>
      <c r="N305" t="s">
        <v>6391</v>
      </c>
    </row>
    <row r="306" spans="1:14" x14ac:dyDescent="0.25">
      <c r="A306">
        <v>78333</v>
      </c>
      <c r="B306" t="s">
        <v>1937</v>
      </c>
      <c r="C306">
        <v>2963</v>
      </c>
      <c r="D306" t="str" cm="1">
        <f t="array" ref="D306">_xlfn.TEXTJOIN(",",TRUE,_xlfn.XLOOKUP(_xlfn.TEXTSPLIT(C306,",")*1,_xlfn._TRO_TRAILING(Artists!A:A),_xlfn._TRO_TRAILING(Artists!B:B)))</f>
        <v>Frida Kahlo</v>
      </c>
      <c r="E306">
        <v>1940</v>
      </c>
      <c r="F306" cm="1">
        <f t="array" ref="F306">_xlfn.REGEXEXTRACT(E306,"\d{4}")*1</f>
        <v>1940</v>
      </c>
      <c r="G306" t="s">
        <v>1034</v>
      </c>
      <c r="H306" t="s">
        <v>1021</v>
      </c>
      <c r="I306" t="s">
        <v>878</v>
      </c>
      <c r="J306" t="s">
        <v>879</v>
      </c>
      <c r="K306" s="1">
        <v>15755</v>
      </c>
      <c r="L306" t="s">
        <v>1939</v>
      </c>
      <c r="M306" t="s">
        <v>1940</v>
      </c>
      <c r="N306" t="s">
        <v>6386</v>
      </c>
    </row>
    <row r="307" spans="1:14" x14ac:dyDescent="0.25">
      <c r="A307">
        <v>78342</v>
      </c>
      <c r="B307" t="s">
        <v>1941</v>
      </c>
      <c r="C307">
        <v>5021</v>
      </c>
      <c r="D307" t="str" cm="1">
        <f t="array" ref="D307">_xlfn.TEXTJOIN(",",TRUE,_xlfn.XLOOKUP(_xlfn.TEXTSPLIT(C307,",")*1,_xlfn._TRO_TRAILING(Artists!A:A),_xlfn._TRO_TRAILING(Artists!B:B)))</f>
        <v>James Rosenquist</v>
      </c>
      <c r="E307">
        <v>1963</v>
      </c>
      <c r="F307" cm="1">
        <f t="array" ref="F307">_xlfn.REGEXEXTRACT(E307,"\d{4}")*1</f>
        <v>1963</v>
      </c>
      <c r="G307" t="s">
        <v>1942</v>
      </c>
      <c r="H307" t="s">
        <v>1943</v>
      </c>
      <c r="I307" t="s">
        <v>878</v>
      </c>
      <c r="J307" t="s">
        <v>879</v>
      </c>
      <c r="K307" s="1">
        <v>35135</v>
      </c>
      <c r="L307" t="s">
        <v>1944</v>
      </c>
      <c r="M307" t="s">
        <v>1945</v>
      </c>
      <c r="N307" t="s">
        <v>6363</v>
      </c>
    </row>
    <row r="308" spans="1:14" x14ac:dyDescent="0.25">
      <c r="A308">
        <v>78348</v>
      </c>
      <c r="B308" t="s">
        <v>1946</v>
      </c>
      <c r="C308">
        <v>4607</v>
      </c>
      <c r="D308" t="str" cm="1">
        <f t="array" ref="D308">_xlfn.TEXTJOIN(",",TRUE,_xlfn.XLOOKUP(_xlfn.TEXTSPLIT(C308,",")*1,_xlfn._TRO_TRAILING(Artists!A:A),_xlfn._TRO_TRAILING(Artists!B:B)))</f>
        <v>Francis Picabia</v>
      </c>
      <c r="E308" t="s">
        <v>1947</v>
      </c>
      <c r="F308" cm="1">
        <f t="array" ref="F308">_xlfn.REGEXEXTRACT(E308,"\d{4}")*1</f>
        <v>1914</v>
      </c>
      <c r="G308" t="s">
        <v>1034</v>
      </c>
      <c r="H308" t="s">
        <v>1948</v>
      </c>
      <c r="I308" t="s">
        <v>878</v>
      </c>
      <c r="J308" t="s">
        <v>879</v>
      </c>
      <c r="K308" s="1">
        <v>19736</v>
      </c>
      <c r="L308" t="s">
        <v>1949</v>
      </c>
      <c r="M308" t="s">
        <v>1950</v>
      </c>
      <c r="N308" t="s">
        <v>6385</v>
      </c>
    </row>
    <row r="309" spans="1:14" x14ac:dyDescent="0.25">
      <c r="A309">
        <v>78361</v>
      </c>
      <c r="B309" t="s">
        <v>1905</v>
      </c>
      <c r="C309">
        <v>3787</v>
      </c>
      <c r="D309" t="str" cm="1">
        <f t="array" ref="D309">_xlfn.TEXTJOIN(",",TRUE,_xlfn.XLOOKUP(_xlfn.TEXTSPLIT(C309,",")*1,_xlfn._TRO_TRAILING(Artists!A:A),_xlfn._TRO_TRAILING(Artists!B:B)))</f>
        <v>Agnes Martin</v>
      </c>
      <c r="E309">
        <v>1964</v>
      </c>
      <c r="F309" cm="1">
        <f t="array" ref="F309">_xlfn.REGEXEXTRACT(E309,"\d{4}")*1</f>
        <v>1964</v>
      </c>
      <c r="G309" t="s">
        <v>1951</v>
      </c>
      <c r="H309" t="s">
        <v>1952</v>
      </c>
      <c r="I309" t="s">
        <v>878</v>
      </c>
      <c r="J309" t="s">
        <v>879</v>
      </c>
      <c r="K309" s="1">
        <v>23754</v>
      </c>
      <c r="L309" t="s">
        <v>1953</v>
      </c>
      <c r="M309" t="s">
        <v>1954</v>
      </c>
      <c r="N309" t="s">
        <v>6363</v>
      </c>
    </row>
    <row r="310" spans="1:14" x14ac:dyDescent="0.25">
      <c r="A310">
        <v>78367</v>
      </c>
      <c r="B310" t="s">
        <v>1955</v>
      </c>
      <c r="C310">
        <v>429</v>
      </c>
      <c r="D310" t="str" cm="1">
        <f t="array" ref="D310">_xlfn.TEXTJOIN(",",TRUE,_xlfn.XLOOKUP(_xlfn.TEXTSPLIT(C310,",")*1,_xlfn._TRO_TRAILING(Artists!A:A),_xlfn._TRO_TRAILING(Artists!B:B)))</f>
        <v>Max Beckmann</v>
      </c>
      <c r="E310" t="s">
        <v>1956</v>
      </c>
      <c r="F310" cm="1">
        <f t="array" ref="F310">_xlfn.REGEXEXTRACT(E310,"\d{4}")*1</f>
        <v>1932</v>
      </c>
      <c r="G310" t="s">
        <v>1957</v>
      </c>
      <c r="H310" t="s">
        <v>1958</v>
      </c>
      <c r="I310" t="s">
        <v>878</v>
      </c>
      <c r="J310" t="s">
        <v>879</v>
      </c>
      <c r="K310" s="1">
        <v>15368</v>
      </c>
      <c r="L310" t="s">
        <v>1959</v>
      </c>
      <c r="M310" t="s">
        <v>1960</v>
      </c>
      <c r="N310" t="s">
        <v>6377</v>
      </c>
    </row>
    <row r="311" spans="1:14" x14ac:dyDescent="0.25">
      <c r="A311">
        <v>78386</v>
      </c>
      <c r="B311" t="s">
        <v>1963</v>
      </c>
      <c r="C311">
        <v>4675</v>
      </c>
      <c r="D311" t="str" cm="1">
        <f t="array" ref="D311">_xlfn.TEXTJOIN(",",TRUE,_xlfn.XLOOKUP(_xlfn.TEXTSPLIT(C311,",")*1,_xlfn._TRO_TRAILING(Artists!A:A),_xlfn._TRO_TRAILING(Artists!B:B)))</f>
        <v>Jackson Pollock</v>
      </c>
      <c r="E311">
        <v>1950</v>
      </c>
      <c r="F311" cm="1">
        <f t="array" ref="F311">_xlfn.REGEXEXTRACT(E311,"\d{4}")*1</f>
        <v>1950</v>
      </c>
      <c r="G311" t="s">
        <v>1964</v>
      </c>
      <c r="H311" t="s">
        <v>1965</v>
      </c>
      <c r="I311" t="s">
        <v>878</v>
      </c>
      <c r="J311" t="s">
        <v>879</v>
      </c>
      <c r="K311" s="1">
        <v>24847</v>
      </c>
      <c r="L311" t="s">
        <v>1966</v>
      </c>
      <c r="M311" t="s">
        <v>1967</v>
      </c>
      <c r="N311" t="s">
        <v>6400</v>
      </c>
    </row>
    <row r="312" spans="1:14" x14ac:dyDescent="0.25">
      <c r="A312">
        <v>78393</v>
      </c>
      <c r="B312" t="s">
        <v>1769</v>
      </c>
      <c r="C312">
        <v>2923</v>
      </c>
      <c r="D312" t="str" cm="1">
        <f t="array" ref="D312">_xlfn.TEXTJOIN(",",TRUE,_xlfn.XLOOKUP(_xlfn.TEXTSPLIT(C312,",")*1,_xlfn._TRO_TRAILING(Artists!A:A),_xlfn._TRO_TRAILING(Artists!B:B)))</f>
        <v>Jasper Johns</v>
      </c>
      <c r="E312">
        <v>1955</v>
      </c>
      <c r="F312" cm="1">
        <f t="array" ref="F312">_xlfn.REGEXEXTRACT(E312,"\d{4}")*1</f>
        <v>1955</v>
      </c>
      <c r="G312" t="s">
        <v>1969</v>
      </c>
      <c r="H312" t="s">
        <v>1970</v>
      </c>
      <c r="I312" t="s">
        <v>878</v>
      </c>
      <c r="J312" t="s">
        <v>879</v>
      </c>
      <c r="K312" s="1">
        <v>21235</v>
      </c>
      <c r="L312" t="s">
        <v>1971</v>
      </c>
      <c r="M312" t="s">
        <v>1972</v>
      </c>
      <c r="N312" t="s">
        <v>6398</v>
      </c>
    </row>
    <row r="313" spans="1:14" x14ac:dyDescent="0.25">
      <c r="A313">
        <v>78403</v>
      </c>
      <c r="B313" t="s">
        <v>1974</v>
      </c>
      <c r="C313">
        <v>3048</v>
      </c>
      <c r="D313" t="str" cm="1">
        <f t="array" ref="D313">_xlfn.TEXTJOIN(",",TRUE,_xlfn.XLOOKUP(_xlfn.TEXTSPLIT(C313,",")*1,_xlfn._TRO_TRAILING(Artists!A:A),_xlfn._TRO_TRAILING(Artists!B:B)))</f>
        <v>Ellsworth Kelly</v>
      </c>
      <c r="E313">
        <v>1959</v>
      </c>
      <c r="F313" cm="1">
        <f t="array" ref="F313">_xlfn.REGEXEXTRACT(E313,"\d{4}")*1</f>
        <v>1959</v>
      </c>
      <c r="G313" t="s">
        <v>1034</v>
      </c>
      <c r="H313" t="s">
        <v>1975</v>
      </c>
      <c r="I313" t="s">
        <v>878</v>
      </c>
      <c r="J313" t="s">
        <v>879</v>
      </c>
      <c r="K313" s="1">
        <v>21956</v>
      </c>
      <c r="L313" t="s">
        <v>1976</v>
      </c>
      <c r="M313" t="s">
        <v>1977</v>
      </c>
      <c r="N313" t="s">
        <v>6363</v>
      </c>
    </row>
    <row r="314" spans="1:14" x14ac:dyDescent="0.25">
      <c r="A314">
        <v>78411</v>
      </c>
      <c r="B314" t="s">
        <v>1911</v>
      </c>
      <c r="C314">
        <v>3147</v>
      </c>
      <c r="D314" t="str" cm="1">
        <f t="array" ref="D314">_xlfn.TEXTJOIN(",",TRUE,_xlfn.XLOOKUP(_xlfn.TEXTSPLIT(C314,",")*1,_xlfn._TRO_TRAILING(Artists!A:A),_xlfn._TRO_TRAILING(Artists!B:B)))</f>
        <v>Gustav Klimt</v>
      </c>
      <c r="E314" t="s">
        <v>1167</v>
      </c>
      <c r="F314" cm="1">
        <f t="array" ref="F314">_xlfn.REGEXEXTRACT(E314,"\d{4}")*1</f>
        <v>1910</v>
      </c>
      <c r="G314" t="s">
        <v>1034</v>
      </c>
      <c r="H314" t="s">
        <v>1978</v>
      </c>
      <c r="I314" t="s">
        <v>878</v>
      </c>
      <c r="J314" t="s">
        <v>879</v>
      </c>
      <c r="K314" s="1">
        <v>20878</v>
      </c>
      <c r="L314" t="s">
        <v>1979</v>
      </c>
      <c r="M314" t="s">
        <v>1980</v>
      </c>
      <c r="N314" t="s">
        <v>6366</v>
      </c>
    </row>
    <row r="315" spans="1:14" x14ac:dyDescent="0.25">
      <c r="A315">
        <v>78420</v>
      </c>
      <c r="B315" t="s">
        <v>1981</v>
      </c>
      <c r="C315">
        <v>6624</v>
      </c>
      <c r="D315" t="str" cm="1">
        <f t="array" ref="D315">_xlfn.TEXTJOIN(",",TRUE,_xlfn.XLOOKUP(_xlfn.TEXTSPLIT(C315,",")*1,_xlfn._TRO_TRAILING(Artists!A:A),_xlfn._TRO_TRAILING(Artists!B:B)))</f>
        <v>Fernand Léger</v>
      </c>
      <c r="E315">
        <v>1914</v>
      </c>
      <c r="F315" cm="1">
        <f t="array" ref="F315">_xlfn.REGEXEXTRACT(E315,"\d{4}")*1</f>
        <v>1914</v>
      </c>
      <c r="G315" t="s">
        <v>1034</v>
      </c>
      <c r="H315" t="s">
        <v>1982</v>
      </c>
      <c r="I315" t="s">
        <v>878</v>
      </c>
      <c r="J315" t="s">
        <v>879</v>
      </c>
      <c r="K315" s="1">
        <v>21235</v>
      </c>
      <c r="L315" t="s">
        <v>1983</v>
      </c>
      <c r="M315" t="s">
        <v>1984</v>
      </c>
      <c r="N315" t="s">
        <v>6401</v>
      </c>
    </row>
    <row r="316" spans="1:14" x14ac:dyDescent="0.25">
      <c r="A316">
        <v>78433</v>
      </c>
      <c r="B316" t="s">
        <v>1985</v>
      </c>
      <c r="C316">
        <v>4609</v>
      </c>
      <c r="D316" t="str" cm="1">
        <f t="array" ref="D316">_xlfn.TEXTJOIN(",",TRUE,_xlfn.XLOOKUP(_xlfn.TEXTSPLIT(C316,",")*1,_xlfn._TRO_TRAILING(Artists!A:A),_xlfn._TRO_TRAILING(Artists!B:B)))</f>
        <v>Pablo Picasso</v>
      </c>
      <c r="E316" t="s">
        <v>1986</v>
      </c>
      <c r="F316" cm="1">
        <f t="array" ref="F316">_xlfn.REGEXEXTRACT(E316,"\d{4}")*1</f>
        <v>1939</v>
      </c>
      <c r="G316" t="s">
        <v>1034</v>
      </c>
      <c r="H316" t="s">
        <v>1987</v>
      </c>
      <c r="I316" t="s">
        <v>878</v>
      </c>
      <c r="J316" t="s">
        <v>879</v>
      </c>
      <c r="K316" s="1">
        <v>19015</v>
      </c>
      <c r="L316" t="s">
        <v>1988</v>
      </c>
      <c r="M316" t="s">
        <v>1989</v>
      </c>
      <c r="N316" t="s">
        <v>6402</v>
      </c>
    </row>
    <row r="317" spans="1:14" x14ac:dyDescent="0.25">
      <c r="A317">
        <v>78435</v>
      </c>
      <c r="B317" t="s">
        <v>1990</v>
      </c>
      <c r="C317">
        <v>5809</v>
      </c>
      <c r="D317" t="str" cm="1">
        <f t="array" ref="D317">_xlfn.TEXTJOIN(",",TRUE,_xlfn.XLOOKUP(_xlfn.TEXTSPLIT(C317,",")*1,_xlfn._TRO_TRAILING(Artists!A:A),_xlfn._TRO_TRAILING(Artists!B:B)))</f>
        <v>Antoni Tàpies</v>
      </c>
      <c r="E317">
        <v>1959</v>
      </c>
      <c r="F317" cm="1">
        <f t="array" ref="F317">_xlfn.REGEXEXTRACT(E317,"\d{4}")*1</f>
        <v>1959</v>
      </c>
      <c r="G317" t="s">
        <v>1991</v>
      </c>
      <c r="H317" t="s">
        <v>1992</v>
      </c>
      <c r="I317" t="s">
        <v>878</v>
      </c>
      <c r="J317" t="s">
        <v>879</v>
      </c>
      <c r="K317" s="1">
        <v>22291</v>
      </c>
      <c r="L317" t="s">
        <v>1993</v>
      </c>
      <c r="M317" t="s">
        <v>1994</v>
      </c>
      <c r="N317" t="s">
        <v>6378</v>
      </c>
    </row>
    <row r="318" spans="1:14" x14ac:dyDescent="0.25">
      <c r="A318">
        <v>78444</v>
      </c>
      <c r="B318" t="s">
        <v>1995</v>
      </c>
      <c r="C318">
        <v>4694</v>
      </c>
      <c r="D318" t="str" cm="1">
        <f t="array" ref="D318">_xlfn.TEXTJOIN(",",TRUE,_xlfn.XLOOKUP(_xlfn.TEXTSPLIT(C318,",")*1,_xlfn._TRO_TRAILING(Artists!A:A),_xlfn._TRO_TRAILING(Artists!B:B)))</f>
        <v>Liubov Popova</v>
      </c>
      <c r="E318">
        <v>1917</v>
      </c>
      <c r="F318" cm="1">
        <f t="array" ref="F318">_xlfn.REGEXEXTRACT(E318,"\d{4}")*1</f>
        <v>1917</v>
      </c>
      <c r="G318" t="s">
        <v>1034</v>
      </c>
      <c r="H318" t="s">
        <v>1996</v>
      </c>
      <c r="I318" t="s">
        <v>878</v>
      </c>
      <c r="J318" t="s">
        <v>879</v>
      </c>
      <c r="K318" s="1">
        <v>21235</v>
      </c>
      <c r="L318" t="s">
        <v>1997</v>
      </c>
      <c r="M318" t="s">
        <v>1998</v>
      </c>
      <c r="N318" t="s">
        <v>6371</v>
      </c>
    </row>
    <row r="319" spans="1:14" x14ac:dyDescent="0.25">
      <c r="A319">
        <v>78450</v>
      </c>
      <c r="B319" t="s">
        <v>1999</v>
      </c>
      <c r="C319">
        <v>4126</v>
      </c>
      <c r="D319" t="str" cm="1">
        <f t="array" ref="D319">_xlfn.TEXTJOIN(",",TRUE,_xlfn.XLOOKUP(_xlfn.TEXTSPLIT(C319,",")*1,_xlfn._TRO_TRAILING(Artists!A:A),_xlfn._TRO_TRAILING(Artists!B:B)))</f>
        <v>Robert Motherwell</v>
      </c>
      <c r="E319">
        <v>1947</v>
      </c>
      <c r="F319" cm="1">
        <f t="array" ref="F319">_xlfn.REGEXEXTRACT(E319,"\d{4}")*1</f>
        <v>1947</v>
      </c>
      <c r="G319" t="s">
        <v>1034</v>
      </c>
      <c r="H319" t="s">
        <v>2000</v>
      </c>
      <c r="I319" t="s">
        <v>878</v>
      </c>
      <c r="J319" t="s">
        <v>879</v>
      </c>
      <c r="K319" s="1">
        <v>20878</v>
      </c>
      <c r="L319" t="s">
        <v>2001</v>
      </c>
      <c r="M319" t="s">
        <v>2002</v>
      </c>
      <c r="N319" t="s">
        <v>6384</v>
      </c>
    </row>
    <row r="320" spans="1:14" x14ac:dyDescent="0.25">
      <c r="A320">
        <v>78454</v>
      </c>
      <c r="B320" t="s">
        <v>2003</v>
      </c>
      <c r="C320">
        <v>1053</v>
      </c>
      <c r="D320" t="str" cm="1">
        <f t="array" ref="D320">_xlfn.TEXTJOIN(",",TRUE,_xlfn.XLOOKUP(_xlfn.TEXTSPLIT(C320,",")*1,_xlfn._TRO_TRAILING(Artists!A:A),_xlfn._TRO_TRAILING(Artists!B:B)))</f>
        <v>Paul Cézanne</v>
      </c>
      <c r="E320" t="s">
        <v>1721</v>
      </c>
      <c r="F320" cm="1">
        <f t="array" ref="F320">_xlfn.REGEXEXTRACT(E320,"\d{4}")*1</f>
        <v>1897</v>
      </c>
      <c r="G320" t="s">
        <v>1034</v>
      </c>
      <c r="H320" t="s">
        <v>2004</v>
      </c>
      <c r="I320" t="s">
        <v>878</v>
      </c>
      <c r="J320" t="s">
        <v>879</v>
      </c>
      <c r="K320" s="1">
        <v>12685</v>
      </c>
      <c r="L320" t="s">
        <v>2005</v>
      </c>
      <c r="M320" t="s">
        <v>2006</v>
      </c>
      <c r="N320" t="s">
        <v>6373</v>
      </c>
    </row>
    <row r="321" spans="1:14" x14ac:dyDescent="0.25">
      <c r="A321">
        <v>78469</v>
      </c>
      <c r="B321" t="s">
        <v>2007</v>
      </c>
      <c r="C321">
        <v>1053</v>
      </c>
      <c r="D321" t="str" cm="1">
        <f t="array" ref="D321">_xlfn.TEXTJOIN(",",TRUE,_xlfn.XLOOKUP(_xlfn.TEXTSPLIT(C321,",")*1,_xlfn._TRO_TRAILING(Artists!A:A),_xlfn._TRO_TRAILING(Artists!B:B)))</f>
        <v>Paul Cézanne</v>
      </c>
      <c r="E321" t="s">
        <v>2008</v>
      </c>
      <c r="F321" cm="1">
        <f t="array" ref="F321">_xlfn.REGEXEXTRACT(E321,"\d{4}")*1</f>
        <v>1902</v>
      </c>
      <c r="G321" t="s">
        <v>1034</v>
      </c>
      <c r="H321" t="s">
        <v>2009</v>
      </c>
      <c r="I321" t="s">
        <v>878</v>
      </c>
      <c r="J321" t="s">
        <v>879</v>
      </c>
      <c r="K321" s="1">
        <v>12685</v>
      </c>
      <c r="L321" t="s">
        <v>2010</v>
      </c>
      <c r="M321" t="s">
        <v>2011</v>
      </c>
      <c r="N321" t="s">
        <v>6373</v>
      </c>
    </row>
    <row r="322" spans="1:14" x14ac:dyDescent="0.25">
      <c r="A322">
        <v>78485</v>
      </c>
      <c r="B322" t="s">
        <v>2012</v>
      </c>
      <c r="C322">
        <v>5047</v>
      </c>
      <c r="D322" t="str" cm="1">
        <f t="array" ref="D322">_xlfn.TEXTJOIN(",",TRUE,_xlfn.XLOOKUP(_xlfn.TEXTSPLIT(C322,",")*1,_xlfn._TRO_TRAILING(Artists!A:A),_xlfn._TRO_TRAILING(Artists!B:B)))</f>
        <v>Mark Rothko</v>
      </c>
      <c r="E322">
        <v>1958</v>
      </c>
      <c r="F322" cm="1">
        <f t="array" ref="F322">_xlfn.REGEXEXTRACT(E322,"\d{4}")*1</f>
        <v>1958</v>
      </c>
      <c r="G322" t="s">
        <v>1034</v>
      </c>
      <c r="H322" t="s">
        <v>2013</v>
      </c>
      <c r="I322" t="s">
        <v>878</v>
      </c>
      <c r="J322" t="s">
        <v>879</v>
      </c>
      <c r="K322" s="1">
        <v>21611</v>
      </c>
      <c r="L322" t="s">
        <v>2014</v>
      </c>
      <c r="M322" t="s">
        <v>2015</v>
      </c>
      <c r="N322" t="s">
        <v>6403</v>
      </c>
    </row>
    <row r="323" spans="1:14" x14ac:dyDescent="0.25">
      <c r="A323">
        <v>78486</v>
      </c>
      <c r="B323" t="s">
        <v>1070</v>
      </c>
      <c r="C323">
        <v>1053</v>
      </c>
      <c r="D323" t="str" cm="1">
        <f t="array" ref="D323">_xlfn.TEXTJOIN(",",TRUE,_xlfn.XLOOKUP(_xlfn.TEXTSPLIT(C323,",")*1,_xlfn._TRO_TRAILING(Artists!A:A),_xlfn._TRO_TRAILING(Artists!B:B)))</f>
        <v>Paul Cézanne</v>
      </c>
      <c r="E323" t="s">
        <v>2016</v>
      </c>
      <c r="F323" cm="1">
        <f t="array" ref="F323">_xlfn.REGEXEXTRACT(E323,"\d{4}")*1</f>
        <v>1895</v>
      </c>
      <c r="G323" t="s">
        <v>1034</v>
      </c>
      <c r="H323" t="s">
        <v>2017</v>
      </c>
      <c r="I323" t="s">
        <v>878</v>
      </c>
      <c r="J323" t="s">
        <v>879</v>
      </c>
      <c r="K323" s="1">
        <v>12685</v>
      </c>
      <c r="L323" t="s">
        <v>2018</v>
      </c>
      <c r="M323" t="s">
        <v>2019</v>
      </c>
      <c r="N323" t="s">
        <v>6373</v>
      </c>
    </row>
    <row r="324" spans="1:14" x14ac:dyDescent="0.25">
      <c r="A324">
        <v>78497</v>
      </c>
      <c r="B324" t="s">
        <v>878</v>
      </c>
      <c r="C324">
        <v>5538</v>
      </c>
      <c r="D324" t="str" cm="1">
        <f t="array" ref="D324">_xlfn.TEXTJOIN(",",TRUE,_xlfn.XLOOKUP(_xlfn.TEXTSPLIT(C324,",")*1,_xlfn._TRO_TRAILING(Artists!A:A),_xlfn._TRO_TRAILING(Artists!B:B)))</f>
        <v>Pierre Soulages</v>
      </c>
      <c r="E324" s="2">
        <v>1956</v>
      </c>
      <c r="F324" cm="1">
        <f t="array" ref="F324">_xlfn.REGEXEXTRACT(E324,"\d{4}")*1</f>
        <v>1956</v>
      </c>
      <c r="G324" t="s">
        <v>1034</v>
      </c>
      <c r="H324" t="s">
        <v>2020</v>
      </c>
      <c r="I324" t="s">
        <v>878</v>
      </c>
      <c r="J324" t="s">
        <v>879</v>
      </c>
      <c r="K324" s="1">
        <v>21611</v>
      </c>
      <c r="L324" t="s">
        <v>2021</v>
      </c>
      <c r="M324" t="s">
        <v>2022</v>
      </c>
      <c r="N324" t="s">
        <v>6400</v>
      </c>
    </row>
    <row r="325" spans="1:14" x14ac:dyDescent="0.25">
      <c r="A325">
        <v>78507</v>
      </c>
      <c r="B325" t="s">
        <v>2023</v>
      </c>
      <c r="C325">
        <v>429</v>
      </c>
      <c r="D325" t="str" cm="1">
        <f t="array" ref="D325">_xlfn.TEXTJOIN(",",TRUE,_xlfn.XLOOKUP(_xlfn.TEXTSPLIT(C325,",")*1,_xlfn._TRO_TRAILING(Artists!A:A),_xlfn._TRO_TRAILING(Artists!B:B)))</f>
        <v>Max Beckmann</v>
      </c>
      <c r="E325" t="s">
        <v>2024</v>
      </c>
      <c r="F325" cm="1">
        <f t="array" ref="F325">_xlfn.REGEXEXTRACT(E325,"\d{4}")*1</f>
        <v>1920</v>
      </c>
      <c r="G325" t="s">
        <v>1034</v>
      </c>
      <c r="H325" t="s">
        <v>2025</v>
      </c>
      <c r="I325" t="s">
        <v>878</v>
      </c>
      <c r="J325" t="s">
        <v>879</v>
      </c>
      <c r="K325" s="1">
        <v>12939</v>
      </c>
      <c r="L325" t="s">
        <v>2026</v>
      </c>
      <c r="M325" t="s">
        <v>2027</v>
      </c>
      <c r="N325" t="s">
        <v>6391</v>
      </c>
    </row>
    <row r="326" spans="1:14" x14ac:dyDescent="0.25">
      <c r="A326">
        <v>78512</v>
      </c>
      <c r="B326" t="s">
        <v>1912</v>
      </c>
      <c r="C326">
        <v>5719</v>
      </c>
      <c r="D326" t="str" cm="1">
        <f t="array" ref="D326">_xlfn.TEXTJOIN(",",TRUE,_xlfn.XLOOKUP(_xlfn.TEXTSPLIT(C326,",")*1,_xlfn._TRO_TRAILING(Artists!A:A),_xlfn._TRO_TRAILING(Artists!B:B)))</f>
        <v>Kumi Sugaï</v>
      </c>
      <c r="E326">
        <v>1958</v>
      </c>
      <c r="F326" cm="1">
        <f t="array" ref="F326">_xlfn.REGEXEXTRACT(E326,"\d{4}")*1</f>
        <v>1958</v>
      </c>
      <c r="G326" t="s">
        <v>1034</v>
      </c>
      <c r="H326" t="s">
        <v>2028</v>
      </c>
      <c r="I326" t="s">
        <v>878</v>
      </c>
      <c r="J326" t="s">
        <v>879</v>
      </c>
      <c r="K326" s="1">
        <v>21611</v>
      </c>
      <c r="L326" t="s">
        <v>2029</v>
      </c>
      <c r="M326" t="s">
        <v>2030</v>
      </c>
      <c r="N326" t="s">
        <v>6378</v>
      </c>
    </row>
    <row r="327" spans="1:14" x14ac:dyDescent="0.25">
      <c r="A327">
        <v>78526</v>
      </c>
      <c r="B327" t="s">
        <v>2031</v>
      </c>
      <c r="C327">
        <v>3418</v>
      </c>
      <c r="D327" t="str" cm="1">
        <f t="array" ref="D327">_xlfn.TEXTJOIN(",",TRUE,_xlfn.XLOOKUP(_xlfn.TEXTSPLIT(C327,",")*1,_xlfn._TRO_TRAILING(Artists!A:A),_xlfn._TRO_TRAILING(Artists!B:B)))</f>
        <v>Jacob Lawrence</v>
      </c>
      <c r="E327" t="s">
        <v>2032</v>
      </c>
      <c r="F327" cm="1">
        <f t="array" ref="F327">_xlfn.REGEXEXTRACT(E327,"\d{4}")*1</f>
        <v>1940</v>
      </c>
      <c r="G327" t="s">
        <v>2033</v>
      </c>
      <c r="H327" t="s">
        <v>47</v>
      </c>
      <c r="I327" t="s">
        <v>878</v>
      </c>
      <c r="J327" t="s">
        <v>879</v>
      </c>
      <c r="K327" s="1">
        <v>15368</v>
      </c>
      <c r="L327" t="s">
        <v>2034</v>
      </c>
      <c r="M327" t="s">
        <v>2035</v>
      </c>
      <c r="N327" t="s">
        <v>6404</v>
      </c>
    </row>
    <row r="328" spans="1:14" x14ac:dyDescent="0.25">
      <c r="A328">
        <v>78528</v>
      </c>
      <c r="B328" t="s">
        <v>2036</v>
      </c>
      <c r="C328">
        <v>3418</v>
      </c>
      <c r="D328" t="str" cm="1">
        <f t="array" ref="D328">_xlfn.TEXTJOIN(",",TRUE,_xlfn.XLOOKUP(_xlfn.TEXTSPLIT(C328,",")*1,_xlfn._TRO_TRAILING(Artists!A:A),_xlfn._TRO_TRAILING(Artists!B:B)))</f>
        <v>Jacob Lawrence</v>
      </c>
      <c r="E328" t="s">
        <v>2032</v>
      </c>
      <c r="F328" cm="1">
        <f t="array" ref="F328">_xlfn.REGEXEXTRACT(E328,"\d{4}")*1</f>
        <v>1940</v>
      </c>
      <c r="G328" t="s">
        <v>2033</v>
      </c>
      <c r="H328" t="s">
        <v>899</v>
      </c>
      <c r="I328" t="s">
        <v>878</v>
      </c>
      <c r="J328" t="s">
        <v>879</v>
      </c>
      <c r="K328" s="1">
        <v>15368</v>
      </c>
      <c r="L328" t="s">
        <v>2037</v>
      </c>
      <c r="M328" t="s">
        <v>2038</v>
      </c>
      <c r="N328" t="s">
        <v>6404</v>
      </c>
    </row>
    <row r="329" spans="1:14" x14ac:dyDescent="0.25">
      <c r="A329">
        <v>78529</v>
      </c>
      <c r="B329" t="s">
        <v>2039</v>
      </c>
      <c r="C329">
        <v>3418</v>
      </c>
      <c r="D329" t="str" cm="1">
        <f t="array" ref="D329">_xlfn.TEXTJOIN(",",TRUE,_xlfn.XLOOKUP(_xlfn.TEXTSPLIT(C329,",")*1,_xlfn._TRO_TRAILING(Artists!A:A),_xlfn._TRO_TRAILING(Artists!B:B)))</f>
        <v>Jacob Lawrence</v>
      </c>
      <c r="E329" t="s">
        <v>2032</v>
      </c>
      <c r="F329" cm="1">
        <f t="array" ref="F329">_xlfn.REGEXEXTRACT(E329,"\d{4}")*1</f>
        <v>1940</v>
      </c>
      <c r="G329" t="s">
        <v>2033</v>
      </c>
      <c r="H329" t="s">
        <v>47</v>
      </c>
      <c r="I329" t="s">
        <v>878</v>
      </c>
      <c r="J329" t="s">
        <v>879</v>
      </c>
      <c r="K329" s="1">
        <v>15368</v>
      </c>
      <c r="L329" t="s">
        <v>2040</v>
      </c>
      <c r="M329" t="s">
        <v>2041</v>
      </c>
      <c r="N329" t="s">
        <v>6404</v>
      </c>
    </row>
    <row r="330" spans="1:14" x14ac:dyDescent="0.25">
      <c r="A330">
        <v>78530</v>
      </c>
      <c r="B330" t="s">
        <v>2042</v>
      </c>
      <c r="C330">
        <v>3418</v>
      </c>
      <c r="D330" t="str" cm="1">
        <f t="array" ref="D330">_xlfn.TEXTJOIN(",",TRUE,_xlfn.XLOOKUP(_xlfn.TEXTSPLIT(C330,",")*1,_xlfn._TRO_TRAILING(Artists!A:A),_xlfn._TRO_TRAILING(Artists!B:B)))</f>
        <v>Jacob Lawrence</v>
      </c>
      <c r="E330" t="s">
        <v>2032</v>
      </c>
      <c r="F330" cm="1">
        <f t="array" ref="F330">_xlfn.REGEXEXTRACT(E330,"\d{4}")*1</f>
        <v>1940</v>
      </c>
      <c r="G330" t="s">
        <v>2033</v>
      </c>
      <c r="H330" t="s">
        <v>47</v>
      </c>
      <c r="I330" t="s">
        <v>878</v>
      </c>
      <c r="J330" t="s">
        <v>879</v>
      </c>
      <c r="K330" s="1">
        <v>15368</v>
      </c>
      <c r="L330" t="s">
        <v>2043</v>
      </c>
      <c r="M330" t="s">
        <v>2044</v>
      </c>
      <c r="N330" t="s">
        <v>6404</v>
      </c>
    </row>
    <row r="331" spans="1:14" x14ac:dyDescent="0.25">
      <c r="A331">
        <v>78531</v>
      </c>
      <c r="B331" t="s">
        <v>2045</v>
      </c>
      <c r="C331">
        <v>3418</v>
      </c>
      <c r="D331" t="str" cm="1">
        <f t="array" ref="D331">_xlfn.TEXTJOIN(",",TRUE,_xlfn.XLOOKUP(_xlfn.TEXTSPLIT(C331,",")*1,_xlfn._TRO_TRAILING(Artists!A:A),_xlfn._TRO_TRAILING(Artists!B:B)))</f>
        <v>Jacob Lawrence</v>
      </c>
      <c r="E331" t="s">
        <v>2032</v>
      </c>
      <c r="F331" cm="1">
        <f t="array" ref="F331">_xlfn.REGEXEXTRACT(E331,"\d{4}")*1</f>
        <v>1940</v>
      </c>
      <c r="G331" t="s">
        <v>2033</v>
      </c>
      <c r="H331" t="s">
        <v>899</v>
      </c>
      <c r="I331" t="s">
        <v>878</v>
      </c>
      <c r="J331" t="s">
        <v>879</v>
      </c>
      <c r="K331" s="1">
        <v>15368</v>
      </c>
      <c r="L331" t="s">
        <v>2046</v>
      </c>
      <c r="M331" t="s">
        <v>2047</v>
      </c>
      <c r="N331" t="s">
        <v>6404</v>
      </c>
    </row>
    <row r="332" spans="1:14" x14ac:dyDescent="0.25">
      <c r="A332">
        <v>78532</v>
      </c>
      <c r="B332" t="s">
        <v>2048</v>
      </c>
      <c r="C332">
        <v>3418</v>
      </c>
      <c r="D332" t="str" cm="1">
        <f t="array" ref="D332">_xlfn.TEXTJOIN(",",TRUE,_xlfn.XLOOKUP(_xlfn.TEXTSPLIT(C332,",")*1,_xlfn._TRO_TRAILING(Artists!A:A),_xlfn._TRO_TRAILING(Artists!B:B)))</f>
        <v>Jacob Lawrence</v>
      </c>
      <c r="E332" t="s">
        <v>2032</v>
      </c>
      <c r="F332" cm="1">
        <f t="array" ref="F332">_xlfn.REGEXEXTRACT(E332,"\d{4}")*1</f>
        <v>1940</v>
      </c>
      <c r="G332" t="s">
        <v>2033</v>
      </c>
      <c r="H332" t="s">
        <v>899</v>
      </c>
      <c r="I332" t="s">
        <v>878</v>
      </c>
      <c r="J332" t="s">
        <v>879</v>
      </c>
      <c r="K332" s="1">
        <v>15368</v>
      </c>
      <c r="L332" t="s">
        <v>2049</v>
      </c>
      <c r="M332" t="s">
        <v>2050</v>
      </c>
      <c r="N332" t="s">
        <v>6404</v>
      </c>
    </row>
    <row r="333" spans="1:14" x14ac:dyDescent="0.25">
      <c r="A333">
        <v>78533</v>
      </c>
      <c r="B333" t="s">
        <v>2051</v>
      </c>
      <c r="C333">
        <v>3418</v>
      </c>
      <c r="D333" t="str" cm="1">
        <f t="array" ref="D333">_xlfn.TEXTJOIN(",",TRUE,_xlfn.XLOOKUP(_xlfn.TEXTSPLIT(C333,",")*1,_xlfn._TRO_TRAILING(Artists!A:A),_xlfn._TRO_TRAILING(Artists!B:B)))</f>
        <v>Jacob Lawrence</v>
      </c>
      <c r="E333" t="s">
        <v>2032</v>
      </c>
      <c r="F333" cm="1">
        <f t="array" ref="F333">_xlfn.REGEXEXTRACT(E333,"\d{4}")*1</f>
        <v>1940</v>
      </c>
      <c r="G333" t="s">
        <v>2033</v>
      </c>
      <c r="H333" t="s">
        <v>47</v>
      </c>
      <c r="I333" t="s">
        <v>878</v>
      </c>
      <c r="J333" t="s">
        <v>879</v>
      </c>
      <c r="K333" s="1">
        <v>15368</v>
      </c>
      <c r="L333" t="s">
        <v>2052</v>
      </c>
      <c r="M333" t="s">
        <v>2053</v>
      </c>
      <c r="N333" t="s">
        <v>6404</v>
      </c>
    </row>
    <row r="334" spans="1:14" x14ac:dyDescent="0.25">
      <c r="A334">
        <v>78534</v>
      </c>
      <c r="B334" t="s">
        <v>2054</v>
      </c>
      <c r="C334">
        <v>3418</v>
      </c>
      <c r="D334" t="str" cm="1">
        <f t="array" ref="D334">_xlfn.TEXTJOIN(",",TRUE,_xlfn.XLOOKUP(_xlfn.TEXTSPLIT(C334,",")*1,_xlfn._TRO_TRAILING(Artists!A:A),_xlfn._TRO_TRAILING(Artists!B:B)))</f>
        <v>Jacob Lawrence</v>
      </c>
      <c r="E334" t="s">
        <v>2032</v>
      </c>
      <c r="F334" cm="1">
        <f t="array" ref="F334">_xlfn.REGEXEXTRACT(E334,"\d{4}")*1</f>
        <v>1940</v>
      </c>
      <c r="G334" t="s">
        <v>2033</v>
      </c>
      <c r="H334" t="s">
        <v>47</v>
      </c>
      <c r="I334" t="s">
        <v>878</v>
      </c>
      <c r="J334" t="s">
        <v>879</v>
      </c>
      <c r="K334" s="1">
        <v>15368</v>
      </c>
      <c r="L334" t="s">
        <v>2055</v>
      </c>
      <c r="M334" t="s">
        <v>2056</v>
      </c>
      <c r="N334" t="s">
        <v>6404</v>
      </c>
    </row>
    <row r="335" spans="1:14" x14ac:dyDescent="0.25">
      <c r="A335">
        <v>78535</v>
      </c>
      <c r="B335" t="s">
        <v>2057</v>
      </c>
      <c r="C335">
        <v>3418</v>
      </c>
      <c r="D335" t="str" cm="1">
        <f t="array" ref="D335">_xlfn.TEXTJOIN(",",TRUE,_xlfn.XLOOKUP(_xlfn.TEXTSPLIT(C335,",")*1,_xlfn._TRO_TRAILING(Artists!A:A),_xlfn._TRO_TRAILING(Artists!B:B)))</f>
        <v>Jacob Lawrence</v>
      </c>
      <c r="E335" t="s">
        <v>2032</v>
      </c>
      <c r="F335" cm="1">
        <f t="array" ref="F335">_xlfn.REGEXEXTRACT(E335,"\d{4}")*1</f>
        <v>1940</v>
      </c>
      <c r="G335" t="s">
        <v>2033</v>
      </c>
      <c r="H335" t="s">
        <v>899</v>
      </c>
      <c r="I335" t="s">
        <v>878</v>
      </c>
      <c r="J335" t="s">
        <v>879</v>
      </c>
      <c r="K335" s="1">
        <v>15368</v>
      </c>
      <c r="L335" t="s">
        <v>2058</v>
      </c>
      <c r="M335" t="s">
        <v>2059</v>
      </c>
      <c r="N335" t="s">
        <v>6404</v>
      </c>
    </row>
    <row r="336" spans="1:14" x14ac:dyDescent="0.25">
      <c r="A336">
        <v>78536</v>
      </c>
      <c r="B336" t="s">
        <v>2060</v>
      </c>
      <c r="C336">
        <v>3418</v>
      </c>
      <c r="D336" t="str" cm="1">
        <f t="array" ref="D336">_xlfn.TEXTJOIN(",",TRUE,_xlfn.XLOOKUP(_xlfn.TEXTSPLIT(C336,",")*1,_xlfn._TRO_TRAILING(Artists!A:A),_xlfn._TRO_TRAILING(Artists!B:B)))</f>
        <v>Jacob Lawrence</v>
      </c>
      <c r="E336" t="s">
        <v>2032</v>
      </c>
      <c r="F336" cm="1">
        <f t="array" ref="F336">_xlfn.REGEXEXTRACT(E336,"\d{4}")*1</f>
        <v>1940</v>
      </c>
      <c r="G336" t="s">
        <v>2033</v>
      </c>
      <c r="H336" t="s">
        <v>47</v>
      </c>
      <c r="I336" t="s">
        <v>878</v>
      </c>
      <c r="J336" t="s">
        <v>879</v>
      </c>
      <c r="K336" s="1">
        <v>15368</v>
      </c>
      <c r="L336" t="s">
        <v>2061</v>
      </c>
      <c r="M336" t="s">
        <v>2062</v>
      </c>
      <c r="N336" t="s">
        <v>6404</v>
      </c>
    </row>
    <row r="337" spans="1:14" x14ac:dyDescent="0.25">
      <c r="A337">
        <v>78537</v>
      </c>
      <c r="B337" t="s">
        <v>2063</v>
      </c>
      <c r="C337">
        <v>3418</v>
      </c>
      <c r="D337" t="str" cm="1">
        <f t="array" ref="D337">_xlfn.TEXTJOIN(",",TRUE,_xlfn.XLOOKUP(_xlfn.TEXTSPLIT(C337,",")*1,_xlfn._TRO_TRAILING(Artists!A:A),_xlfn._TRO_TRAILING(Artists!B:B)))</f>
        <v>Jacob Lawrence</v>
      </c>
      <c r="E337" t="s">
        <v>2032</v>
      </c>
      <c r="F337" cm="1">
        <f t="array" ref="F337">_xlfn.REGEXEXTRACT(E337,"\d{4}")*1</f>
        <v>1940</v>
      </c>
      <c r="G337" t="s">
        <v>2033</v>
      </c>
      <c r="H337" t="s">
        <v>47</v>
      </c>
      <c r="I337" t="s">
        <v>878</v>
      </c>
      <c r="J337" t="s">
        <v>879</v>
      </c>
      <c r="K337" s="1">
        <v>15368</v>
      </c>
      <c r="L337" t="s">
        <v>2064</v>
      </c>
      <c r="M337" t="s">
        <v>2065</v>
      </c>
      <c r="N337" t="s">
        <v>6404</v>
      </c>
    </row>
    <row r="338" spans="1:14" x14ac:dyDescent="0.25">
      <c r="A338">
        <v>78538</v>
      </c>
      <c r="B338" t="s">
        <v>2066</v>
      </c>
      <c r="C338">
        <v>3418</v>
      </c>
      <c r="D338" t="str" cm="1">
        <f t="array" ref="D338">_xlfn.TEXTJOIN(",",TRUE,_xlfn.XLOOKUP(_xlfn.TEXTSPLIT(C338,",")*1,_xlfn._TRO_TRAILING(Artists!A:A),_xlfn._TRO_TRAILING(Artists!B:B)))</f>
        <v>Jacob Lawrence</v>
      </c>
      <c r="E338" t="s">
        <v>2032</v>
      </c>
      <c r="F338" cm="1">
        <f t="array" ref="F338">_xlfn.REGEXEXTRACT(E338,"\d{4}")*1</f>
        <v>1940</v>
      </c>
      <c r="G338" t="s">
        <v>2033</v>
      </c>
      <c r="H338" t="s">
        <v>899</v>
      </c>
      <c r="I338" t="s">
        <v>878</v>
      </c>
      <c r="J338" t="s">
        <v>879</v>
      </c>
      <c r="K338" s="1">
        <v>15368</v>
      </c>
      <c r="L338" t="s">
        <v>2067</v>
      </c>
      <c r="M338" t="s">
        <v>2068</v>
      </c>
      <c r="N338" t="s">
        <v>6404</v>
      </c>
    </row>
    <row r="339" spans="1:14" x14ac:dyDescent="0.25">
      <c r="A339">
        <v>78539</v>
      </c>
      <c r="B339" t="s">
        <v>2069</v>
      </c>
      <c r="C339">
        <v>3418</v>
      </c>
      <c r="D339" t="str" cm="1">
        <f t="array" ref="D339">_xlfn.TEXTJOIN(",",TRUE,_xlfn.XLOOKUP(_xlfn.TEXTSPLIT(C339,",")*1,_xlfn._TRO_TRAILING(Artists!A:A),_xlfn._TRO_TRAILING(Artists!B:B)))</f>
        <v>Jacob Lawrence</v>
      </c>
      <c r="E339" t="s">
        <v>2032</v>
      </c>
      <c r="F339" cm="1">
        <f t="array" ref="F339">_xlfn.REGEXEXTRACT(E339,"\d{4}")*1</f>
        <v>1940</v>
      </c>
      <c r="G339" t="s">
        <v>2033</v>
      </c>
      <c r="H339" t="s">
        <v>47</v>
      </c>
      <c r="I339" t="s">
        <v>878</v>
      </c>
      <c r="J339" t="s">
        <v>879</v>
      </c>
      <c r="K339" s="1">
        <v>15368</v>
      </c>
      <c r="L339" t="s">
        <v>2070</v>
      </c>
      <c r="M339" t="s">
        <v>2071</v>
      </c>
      <c r="N339" t="s">
        <v>6404</v>
      </c>
    </row>
    <row r="340" spans="1:14" x14ac:dyDescent="0.25">
      <c r="A340">
        <v>78540</v>
      </c>
      <c r="B340" t="s">
        <v>2072</v>
      </c>
      <c r="C340">
        <v>3418</v>
      </c>
      <c r="D340" t="str" cm="1">
        <f t="array" ref="D340">_xlfn.TEXTJOIN(",",TRUE,_xlfn.XLOOKUP(_xlfn.TEXTSPLIT(C340,",")*1,_xlfn._TRO_TRAILING(Artists!A:A),_xlfn._TRO_TRAILING(Artists!B:B)))</f>
        <v>Jacob Lawrence</v>
      </c>
      <c r="E340" t="s">
        <v>2032</v>
      </c>
      <c r="F340" cm="1">
        <f t="array" ref="F340">_xlfn.REGEXEXTRACT(E340,"\d{4}")*1</f>
        <v>1940</v>
      </c>
      <c r="G340" t="s">
        <v>2033</v>
      </c>
      <c r="H340" t="s">
        <v>899</v>
      </c>
      <c r="I340" t="s">
        <v>878</v>
      </c>
      <c r="J340" t="s">
        <v>879</v>
      </c>
      <c r="K340" s="1">
        <v>15368</v>
      </c>
      <c r="L340" t="s">
        <v>2073</v>
      </c>
      <c r="M340" t="s">
        <v>2074</v>
      </c>
      <c r="N340" t="s">
        <v>6404</v>
      </c>
    </row>
    <row r="341" spans="1:14" x14ac:dyDescent="0.25">
      <c r="A341">
        <v>78541</v>
      </c>
      <c r="B341" t="s">
        <v>2075</v>
      </c>
      <c r="C341">
        <v>3418</v>
      </c>
      <c r="D341" t="str" cm="1">
        <f t="array" ref="D341">_xlfn.TEXTJOIN(",",TRUE,_xlfn.XLOOKUP(_xlfn.TEXTSPLIT(C341,",")*1,_xlfn._TRO_TRAILING(Artists!A:A),_xlfn._TRO_TRAILING(Artists!B:B)))</f>
        <v>Jacob Lawrence</v>
      </c>
      <c r="E341" t="s">
        <v>2032</v>
      </c>
      <c r="F341" cm="1">
        <f t="array" ref="F341">_xlfn.REGEXEXTRACT(E341,"\d{4}")*1</f>
        <v>1940</v>
      </c>
      <c r="G341" t="s">
        <v>2033</v>
      </c>
      <c r="H341" t="s">
        <v>47</v>
      </c>
      <c r="I341" t="s">
        <v>878</v>
      </c>
      <c r="J341" t="s">
        <v>879</v>
      </c>
      <c r="K341" s="1">
        <v>15368</v>
      </c>
      <c r="L341" t="s">
        <v>2076</v>
      </c>
      <c r="M341" t="s">
        <v>2077</v>
      </c>
      <c r="N341" t="s">
        <v>6404</v>
      </c>
    </row>
    <row r="342" spans="1:14" x14ac:dyDescent="0.25">
      <c r="A342">
        <v>78542</v>
      </c>
      <c r="B342" t="s">
        <v>2078</v>
      </c>
      <c r="C342">
        <v>3418</v>
      </c>
      <c r="D342" t="str" cm="1">
        <f t="array" ref="D342">_xlfn.TEXTJOIN(",",TRUE,_xlfn.XLOOKUP(_xlfn.TEXTSPLIT(C342,",")*1,_xlfn._TRO_TRAILING(Artists!A:A),_xlfn._TRO_TRAILING(Artists!B:B)))</f>
        <v>Jacob Lawrence</v>
      </c>
      <c r="E342" t="s">
        <v>2032</v>
      </c>
      <c r="F342" cm="1">
        <f t="array" ref="F342">_xlfn.REGEXEXTRACT(E342,"\d{4}")*1</f>
        <v>1940</v>
      </c>
      <c r="G342" t="s">
        <v>2033</v>
      </c>
      <c r="H342" t="s">
        <v>899</v>
      </c>
      <c r="I342" t="s">
        <v>878</v>
      </c>
      <c r="J342" t="s">
        <v>879</v>
      </c>
      <c r="K342" s="1">
        <v>15368</v>
      </c>
      <c r="L342" t="s">
        <v>2079</v>
      </c>
      <c r="M342" t="s">
        <v>2080</v>
      </c>
      <c r="N342" t="s">
        <v>6404</v>
      </c>
    </row>
    <row r="343" spans="1:14" x14ac:dyDescent="0.25">
      <c r="A343">
        <v>78543</v>
      </c>
      <c r="B343" t="s">
        <v>2081</v>
      </c>
      <c r="C343">
        <v>3418</v>
      </c>
      <c r="D343" t="str" cm="1">
        <f t="array" ref="D343">_xlfn.TEXTJOIN(",",TRUE,_xlfn.XLOOKUP(_xlfn.TEXTSPLIT(C343,",")*1,_xlfn._TRO_TRAILING(Artists!A:A),_xlfn._TRO_TRAILING(Artists!B:B)))</f>
        <v>Jacob Lawrence</v>
      </c>
      <c r="E343" t="s">
        <v>2032</v>
      </c>
      <c r="F343" cm="1">
        <f t="array" ref="F343">_xlfn.REGEXEXTRACT(E343,"\d{4}")*1</f>
        <v>1940</v>
      </c>
      <c r="G343" t="s">
        <v>2033</v>
      </c>
      <c r="H343" t="s">
        <v>899</v>
      </c>
      <c r="I343" t="s">
        <v>878</v>
      </c>
      <c r="J343" t="s">
        <v>879</v>
      </c>
      <c r="K343" s="1">
        <v>15368</v>
      </c>
      <c r="L343" t="s">
        <v>2082</v>
      </c>
      <c r="M343" t="s">
        <v>2083</v>
      </c>
      <c r="N343" t="s">
        <v>6404</v>
      </c>
    </row>
    <row r="344" spans="1:14" x14ac:dyDescent="0.25">
      <c r="A344">
        <v>78544</v>
      </c>
      <c r="B344" t="s">
        <v>2084</v>
      </c>
      <c r="C344">
        <v>3418</v>
      </c>
      <c r="D344" t="str" cm="1">
        <f t="array" ref="D344">_xlfn.TEXTJOIN(",",TRUE,_xlfn.XLOOKUP(_xlfn.TEXTSPLIT(C344,",")*1,_xlfn._TRO_TRAILING(Artists!A:A),_xlfn._TRO_TRAILING(Artists!B:B)))</f>
        <v>Jacob Lawrence</v>
      </c>
      <c r="E344" t="s">
        <v>2032</v>
      </c>
      <c r="F344" cm="1">
        <f t="array" ref="F344">_xlfn.REGEXEXTRACT(E344,"\d{4}")*1</f>
        <v>1940</v>
      </c>
      <c r="G344" t="s">
        <v>2033</v>
      </c>
      <c r="H344" t="s">
        <v>899</v>
      </c>
      <c r="I344" t="s">
        <v>878</v>
      </c>
      <c r="J344" t="s">
        <v>879</v>
      </c>
      <c r="K344" s="1">
        <v>15368</v>
      </c>
      <c r="L344" t="s">
        <v>2085</v>
      </c>
      <c r="M344" t="s">
        <v>2086</v>
      </c>
      <c r="N344" t="s">
        <v>6404</v>
      </c>
    </row>
    <row r="345" spans="1:14" x14ac:dyDescent="0.25">
      <c r="A345">
        <v>78545</v>
      </c>
      <c r="B345" t="s">
        <v>2087</v>
      </c>
      <c r="C345">
        <v>3418</v>
      </c>
      <c r="D345" t="str" cm="1">
        <f t="array" ref="D345">_xlfn.TEXTJOIN(",",TRUE,_xlfn.XLOOKUP(_xlfn.TEXTSPLIT(C345,",")*1,_xlfn._TRO_TRAILING(Artists!A:A),_xlfn._TRO_TRAILING(Artists!B:B)))</f>
        <v>Jacob Lawrence</v>
      </c>
      <c r="E345" t="s">
        <v>2032</v>
      </c>
      <c r="F345" cm="1">
        <f t="array" ref="F345">_xlfn.REGEXEXTRACT(E345,"\d{4}")*1</f>
        <v>1940</v>
      </c>
      <c r="G345" t="s">
        <v>2033</v>
      </c>
      <c r="H345" t="s">
        <v>47</v>
      </c>
      <c r="I345" t="s">
        <v>878</v>
      </c>
      <c r="J345" t="s">
        <v>879</v>
      </c>
      <c r="K345" s="1">
        <v>15368</v>
      </c>
      <c r="L345" t="s">
        <v>2088</v>
      </c>
      <c r="M345" t="s">
        <v>2089</v>
      </c>
      <c r="N345" t="s">
        <v>6404</v>
      </c>
    </row>
    <row r="346" spans="1:14" x14ac:dyDescent="0.25">
      <c r="A346">
        <v>78546</v>
      </c>
      <c r="B346" t="s">
        <v>2090</v>
      </c>
      <c r="C346">
        <v>3418</v>
      </c>
      <c r="D346" t="str" cm="1">
        <f t="array" ref="D346">_xlfn.TEXTJOIN(",",TRUE,_xlfn.XLOOKUP(_xlfn.TEXTSPLIT(C346,",")*1,_xlfn._TRO_TRAILING(Artists!A:A),_xlfn._TRO_TRAILING(Artists!B:B)))</f>
        <v>Jacob Lawrence</v>
      </c>
      <c r="E346" t="s">
        <v>2032</v>
      </c>
      <c r="F346" cm="1">
        <f t="array" ref="F346">_xlfn.REGEXEXTRACT(E346,"\d{4}")*1</f>
        <v>1940</v>
      </c>
      <c r="G346" t="s">
        <v>2033</v>
      </c>
      <c r="H346" t="s">
        <v>899</v>
      </c>
      <c r="I346" t="s">
        <v>878</v>
      </c>
      <c r="J346" t="s">
        <v>879</v>
      </c>
      <c r="K346" s="1">
        <v>15368</v>
      </c>
      <c r="L346" t="s">
        <v>2091</v>
      </c>
      <c r="M346" t="s">
        <v>2092</v>
      </c>
      <c r="N346" t="s">
        <v>6404</v>
      </c>
    </row>
    <row r="347" spans="1:14" x14ac:dyDescent="0.25">
      <c r="A347">
        <v>78547</v>
      </c>
      <c r="B347" t="s">
        <v>2093</v>
      </c>
      <c r="C347">
        <v>3418</v>
      </c>
      <c r="D347" t="str" cm="1">
        <f t="array" ref="D347">_xlfn.TEXTJOIN(",",TRUE,_xlfn.XLOOKUP(_xlfn.TEXTSPLIT(C347,",")*1,_xlfn._TRO_TRAILING(Artists!A:A),_xlfn._TRO_TRAILING(Artists!B:B)))</f>
        <v>Jacob Lawrence</v>
      </c>
      <c r="E347" t="s">
        <v>2032</v>
      </c>
      <c r="F347" cm="1">
        <f t="array" ref="F347">_xlfn.REGEXEXTRACT(E347,"\d{4}")*1</f>
        <v>1940</v>
      </c>
      <c r="G347" t="s">
        <v>2033</v>
      </c>
      <c r="H347" t="s">
        <v>47</v>
      </c>
      <c r="I347" t="s">
        <v>878</v>
      </c>
      <c r="J347" t="s">
        <v>879</v>
      </c>
      <c r="K347" s="1">
        <v>15368</v>
      </c>
      <c r="L347" t="s">
        <v>2094</v>
      </c>
      <c r="M347" t="s">
        <v>2095</v>
      </c>
      <c r="N347" t="s">
        <v>6404</v>
      </c>
    </row>
    <row r="348" spans="1:14" x14ac:dyDescent="0.25">
      <c r="A348">
        <v>78548</v>
      </c>
      <c r="B348" t="s">
        <v>2096</v>
      </c>
      <c r="C348">
        <v>3418</v>
      </c>
      <c r="D348" t="str" cm="1">
        <f t="array" ref="D348">_xlfn.TEXTJOIN(",",TRUE,_xlfn.XLOOKUP(_xlfn.TEXTSPLIT(C348,",")*1,_xlfn._TRO_TRAILING(Artists!A:A),_xlfn._TRO_TRAILING(Artists!B:B)))</f>
        <v>Jacob Lawrence</v>
      </c>
      <c r="E348" t="s">
        <v>2032</v>
      </c>
      <c r="F348" cm="1">
        <f t="array" ref="F348">_xlfn.REGEXEXTRACT(E348,"\d{4}")*1</f>
        <v>1940</v>
      </c>
      <c r="G348" t="s">
        <v>2033</v>
      </c>
      <c r="H348" t="s">
        <v>47</v>
      </c>
      <c r="I348" t="s">
        <v>878</v>
      </c>
      <c r="J348" t="s">
        <v>879</v>
      </c>
      <c r="K348" s="1">
        <v>15368</v>
      </c>
      <c r="L348" t="s">
        <v>2097</v>
      </c>
      <c r="M348" t="s">
        <v>2098</v>
      </c>
      <c r="N348" t="s">
        <v>6404</v>
      </c>
    </row>
    <row r="349" spans="1:14" x14ac:dyDescent="0.25">
      <c r="A349">
        <v>78549</v>
      </c>
      <c r="B349" t="s">
        <v>2099</v>
      </c>
      <c r="C349">
        <v>3418</v>
      </c>
      <c r="D349" t="str" cm="1">
        <f t="array" ref="D349">_xlfn.TEXTJOIN(",",TRUE,_xlfn.XLOOKUP(_xlfn.TEXTSPLIT(C349,",")*1,_xlfn._TRO_TRAILING(Artists!A:A),_xlfn._TRO_TRAILING(Artists!B:B)))</f>
        <v>Jacob Lawrence</v>
      </c>
      <c r="E349" t="s">
        <v>2032</v>
      </c>
      <c r="F349" cm="1">
        <f t="array" ref="F349">_xlfn.REGEXEXTRACT(E349,"\d{4}")*1</f>
        <v>1940</v>
      </c>
      <c r="G349" t="s">
        <v>2033</v>
      </c>
      <c r="H349" t="s">
        <v>899</v>
      </c>
      <c r="I349" t="s">
        <v>878</v>
      </c>
      <c r="J349" t="s">
        <v>879</v>
      </c>
      <c r="K349" s="1">
        <v>15368</v>
      </c>
      <c r="L349" t="s">
        <v>2100</v>
      </c>
      <c r="M349" t="s">
        <v>2101</v>
      </c>
      <c r="N349" t="s">
        <v>6404</v>
      </c>
    </row>
    <row r="350" spans="1:14" x14ac:dyDescent="0.25">
      <c r="A350">
        <v>78550</v>
      </c>
      <c r="B350" t="s">
        <v>2102</v>
      </c>
      <c r="C350">
        <v>3418</v>
      </c>
      <c r="D350" t="str" cm="1">
        <f t="array" ref="D350">_xlfn.TEXTJOIN(",",TRUE,_xlfn.XLOOKUP(_xlfn.TEXTSPLIT(C350,",")*1,_xlfn._TRO_TRAILING(Artists!A:A),_xlfn._TRO_TRAILING(Artists!B:B)))</f>
        <v>Jacob Lawrence</v>
      </c>
      <c r="E350" t="s">
        <v>2032</v>
      </c>
      <c r="F350" cm="1">
        <f t="array" ref="F350">_xlfn.REGEXEXTRACT(E350,"\d{4}")*1</f>
        <v>1940</v>
      </c>
      <c r="G350" t="s">
        <v>2033</v>
      </c>
      <c r="H350" t="s">
        <v>47</v>
      </c>
      <c r="I350" t="s">
        <v>878</v>
      </c>
      <c r="J350" t="s">
        <v>879</v>
      </c>
      <c r="K350" s="1">
        <v>15368</v>
      </c>
      <c r="L350" t="s">
        <v>2103</v>
      </c>
      <c r="M350" t="s">
        <v>2104</v>
      </c>
      <c r="N350" t="s">
        <v>6404</v>
      </c>
    </row>
    <row r="351" spans="1:14" x14ac:dyDescent="0.25">
      <c r="A351">
        <v>78551</v>
      </c>
      <c r="B351" t="s">
        <v>2105</v>
      </c>
      <c r="C351">
        <v>3418</v>
      </c>
      <c r="D351" t="str" cm="1">
        <f t="array" ref="D351">_xlfn.TEXTJOIN(",",TRUE,_xlfn.XLOOKUP(_xlfn.TEXTSPLIT(C351,",")*1,_xlfn._TRO_TRAILING(Artists!A:A),_xlfn._TRO_TRAILING(Artists!B:B)))</f>
        <v>Jacob Lawrence</v>
      </c>
      <c r="E351" t="s">
        <v>2032</v>
      </c>
      <c r="F351" cm="1">
        <f t="array" ref="F351">_xlfn.REGEXEXTRACT(E351,"\d{4}")*1</f>
        <v>1940</v>
      </c>
      <c r="G351" t="s">
        <v>2033</v>
      </c>
      <c r="H351" t="s">
        <v>899</v>
      </c>
      <c r="I351" t="s">
        <v>878</v>
      </c>
      <c r="J351" t="s">
        <v>879</v>
      </c>
      <c r="K351" s="1">
        <v>15368</v>
      </c>
      <c r="L351" t="s">
        <v>2106</v>
      </c>
      <c r="M351" t="s">
        <v>2107</v>
      </c>
      <c r="N351" t="s">
        <v>6404</v>
      </c>
    </row>
    <row r="352" spans="1:14" x14ac:dyDescent="0.25">
      <c r="A352">
        <v>78552</v>
      </c>
      <c r="B352" t="s">
        <v>2108</v>
      </c>
      <c r="C352">
        <v>3418</v>
      </c>
      <c r="D352" t="str" cm="1">
        <f t="array" ref="D352">_xlfn.TEXTJOIN(",",TRUE,_xlfn.XLOOKUP(_xlfn.TEXTSPLIT(C352,",")*1,_xlfn._TRO_TRAILING(Artists!A:A),_xlfn._TRO_TRAILING(Artists!B:B)))</f>
        <v>Jacob Lawrence</v>
      </c>
      <c r="E352" t="s">
        <v>2032</v>
      </c>
      <c r="F352" cm="1">
        <f t="array" ref="F352">_xlfn.REGEXEXTRACT(E352,"\d{4}")*1</f>
        <v>1940</v>
      </c>
      <c r="G352" t="s">
        <v>2033</v>
      </c>
      <c r="H352" t="s">
        <v>47</v>
      </c>
      <c r="I352" t="s">
        <v>878</v>
      </c>
      <c r="J352" t="s">
        <v>879</v>
      </c>
      <c r="K352" s="1">
        <v>15368</v>
      </c>
      <c r="L352" t="s">
        <v>2109</v>
      </c>
      <c r="M352" t="s">
        <v>2110</v>
      </c>
      <c r="N352" t="s">
        <v>6404</v>
      </c>
    </row>
    <row r="353" spans="1:14" x14ac:dyDescent="0.25">
      <c r="A353">
        <v>78553</v>
      </c>
      <c r="B353" t="s">
        <v>2111</v>
      </c>
      <c r="C353">
        <v>3418</v>
      </c>
      <c r="D353" t="str" cm="1">
        <f t="array" ref="D353">_xlfn.TEXTJOIN(",",TRUE,_xlfn.XLOOKUP(_xlfn.TEXTSPLIT(C353,",")*1,_xlfn._TRO_TRAILING(Artists!A:A),_xlfn._TRO_TRAILING(Artists!B:B)))</f>
        <v>Jacob Lawrence</v>
      </c>
      <c r="E353" t="s">
        <v>2032</v>
      </c>
      <c r="F353" cm="1">
        <f t="array" ref="F353">_xlfn.REGEXEXTRACT(E353,"\d{4}")*1</f>
        <v>1940</v>
      </c>
      <c r="G353" t="s">
        <v>2033</v>
      </c>
      <c r="H353" t="s">
        <v>47</v>
      </c>
      <c r="I353" t="s">
        <v>878</v>
      </c>
      <c r="J353" t="s">
        <v>879</v>
      </c>
      <c r="K353" s="1">
        <v>15368</v>
      </c>
      <c r="L353" t="s">
        <v>2112</v>
      </c>
      <c r="M353" t="s">
        <v>2113</v>
      </c>
      <c r="N353" t="s">
        <v>6404</v>
      </c>
    </row>
    <row r="354" spans="1:14" x14ac:dyDescent="0.25">
      <c r="A354">
        <v>78554</v>
      </c>
      <c r="B354" t="s">
        <v>2114</v>
      </c>
      <c r="C354">
        <v>3418</v>
      </c>
      <c r="D354" t="str" cm="1">
        <f t="array" ref="D354">_xlfn.TEXTJOIN(",",TRUE,_xlfn.XLOOKUP(_xlfn.TEXTSPLIT(C354,",")*1,_xlfn._TRO_TRAILING(Artists!A:A),_xlfn._TRO_TRAILING(Artists!B:B)))</f>
        <v>Jacob Lawrence</v>
      </c>
      <c r="E354" t="s">
        <v>2032</v>
      </c>
      <c r="F354" cm="1">
        <f t="array" ref="F354">_xlfn.REGEXEXTRACT(E354,"\d{4}")*1</f>
        <v>1940</v>
      </c>
      <c r="G354" t="s">
        <v>2033</v>
      </c>
      <c r="H354" t="s">
        <v>899</v>
      </c>
      <c r="I354" t="s">
        <v>878</v>
      </c>
      <c r="J354" t="s">
        <v>879</v>
      </c>
      <c r="K354" s="1">
        <v>15368</v>
      </c>
      <c r="L354" t="s">
        <v>2115</v>
      </c>
      <c r="M354" t="s">
        <v>2116</v>
      </c>
      <c r="N354" t="s">
        <v>6404</v>
      </c>
    </row>
    <row r="355" spans="1:14" x14ac:dyDescent="0.25">
      <c r="A355">
        <v>78555</v>
      </c>
      <c r="B355" t="s">
        <v>2117</v>
      </c>
      <c r="C355">
        <v>3418</v>
      </c>
      <c r="D355" t="str" cm="1">
        <f t="array" ref="D355">_xlfn.TEXTJOIN(",",TRUE,_xlfn.XLOOKUP(_xlfn.TEXTSPLIT(C355,",")*1,_xlfn._TRO_TRAILING(Artists!A:A),_xlfn._TRO_TRAILING(Artists!B:B)))</f>
        <v>Jacob Lawrence</v>
      </c>
      <c r="E355" t="s">
        <v>2032</v>
      </c>
      <c r="F355" cm="1">
        <f t="array" ref="F355">_xlfn.REGEXEXTRACT(E355,"\d{4}")*1</f>
        <v>1940</v>
      </c>
      <c r="G355" t="s">
        <v>2033</v>
      </c>
      <c r="H355" t="s">
        <v>899</v>
      </c>
      <c r="I355" t="s">
        <v>878</v>
      </c>
      <c r="J355" t="s">
        <v>879</v>
      </c>
      <c r="K355" s="1">
        <v>15368</v>
      </c>
      <c r="L355" t="s">
        <v>2118</v>
      </c>
      <c r="M355" t="s">
        <v>2119</v>
      </c>
      <c r="N355" t="s">
        <v>6404</v>
      </c>
    </row>
    <row r="356" spans="1:14" x14ac:dyDescent="0.25">
      <c r="A356">
        <v>78556</v>
      </c>
      <c r="B356" t="s">
        <v>2120</v>
      </c>
      <c r="C356">
        <v>3418</v>
      </c>
      <c r="D356" t="str" cm="1">
        <f t="array" ref="D356">_xlfn.TEXTJOIN(",",TRUE,_xlfn.XLOOKUP(_xlfn.TEXTSPLIT(C356,",")*1,_xlfn._TRO_TRAILING(Artists!A:A),_xlfn._TRO_TRAILING(Artists!B:B)))</f>
        <v>Jacob Lawrence</v>
      </c>
      <c r="E356" t="s">
        <v>2032</v>
      </c>
      <c r="F356" cm="1">
        <f t="array" ref="F356">_xlfn.REGEXEXTRACT(E356,"\d{4}")*1</f>
        <v>1940</v>
      </c>
      <c r="G356" t="s">
        <v>2033</v>
      </c>
      <c r="H356" t="s">
        <v>899</v>
      </c>
      <c r="I356" t="s">
        <v>878</v>
      </c>
      <c r="J356" t="s">
        <v>879</v>
      </c>
      <c r="K356" s="1">
        <v>15368</v>
      </c>
      <c r="L356" t="s">
        <v>2121</v>
      </c>
      <c r="M356" t="s">
        <v>2122</v>
      </c>
      <c r="N356" t="s">
        <v>6404</v>
      </c>
    </row>
    <row r="357" spans="1:14" x14ac:dyDescent="0.25">
      <c r="A357">
        <v>78559</v>
      </c>
      <c r="B357" t="s">
        <v>2123</v>
      </c>
      <c r="C357">
        <v>4253</v>
      </c>
      <c r="D357" t="str" cm="1">
        <f t="array" ref="D357">_xlfn.TEXTJOIN(",",TRUE,_xlfn.XLOOKUP(_xlfn.TEXTSPLIT(C357,",")*1,_xlfn._TRO_TRAILING(Artists!A:A),_xlfn._TRO_TRAILING(Artists!B:B)))</f>
        <v>Alice Neel</v>
      </c>
      <c r="E357">
        <v>1935</v>
      </c>
      <c r="F357" cm="1">
        <f t="array" ref="F357">_xlfn.REGEXEXTRACT(E357,"\d{4}")*1</f>
        <v>1935</v>
      </c>
      <c r="G357" t="s">
        <v>1034</v>
      </c>
      <c r="H357" t="s">
        <v>2124</v>
      </c>
      <c r="I357" t="s">
        <v>878</v>
      </c>
      <c r="J357" t="s">
        <v>879</v>
      </c>
      <c r="K357" s="1">
        <v>32180</v>
      </c>
      <c r="L357" t="s">
        <v>2125</v>
      </c>
      <c r="M357" t="s">
        <v>2126</v>
      </c>
      <c r="N357" t="s">
        <v>6377</v>
      </c>
    </row>
    <row r="358" spans="1:14" x14ac:dyDescent="0.25">
      <c r="A358">
        <v>78565</v>
      </c>
      <c r="B358" t="s">
        <v>1594</v>
      </c>
      <c r="C358">
        <v>1402</v>
      </c>
      <c r="D358" t="str" cm="1">
        <f t="array" ref="D358">_xlfn.TEXTJOIN(",",TRUE,_xlfn.XLOOKUP(_xlfn.TEXTSPLIT(C358,",")*1,_xlfn._TRO_TRAILING(Artists!A:A),_xlfn._TRO_TRAILING(Artists!B:B)))</f>
        <v>Arthur B. Davies</v>
      </c>
      <c r="E358">
        <v>1925</v>
      </c>
      <c r="F358" cm="1">
        <f t="array" ref="F358">_xlfn.REGEXEXTRACT(E358,"\d{4}")*1</f>
        <v>1925</v>
      </c>
      <c r="G358" t="s">
        <v>1034</v>
      </c>
      <c r="H358" t="s">
        <v>2128</v>
      </c>
      <c r="I358" t="s">
        <v>878</v>
      </c>
      <c r="J358" t="s">
        <v>879</v>
      </c>
      <c r="K358" s="1">
        <v>12685</v>
      </c>
      <c r="L358" t="s">
        <v>2129</v>
      </c>
      <c r="M358" t="s">
        <v>2130</v>
      </c>
      <c r="N358" t="s">
        <v>6373</v>
      </c>
    </row>
    <row r="359" spans="1:14" x14ac:dyDescent="0.25">
      <c r="A359">
        <v>78571</v>
      </c>
      <c r="B359" t="s">
        <v>2131</v>
      </c>
      <c r="C359">
        <v>1402</v>
      </c>
      <c r="D359" t="str" cm="1">
        <f t="array" ref="D359">_xlfn.TEXTJOIN(",",TRUE,_xlfn.XLOOKUP(_xlfn.TEXTSPLIT(C359,",")*1,_xlfn._TRO_TRAILING(Artists!A:A),_xlfn._TRO_TRAILING(Artists!B:B)))</f>
        <v>Arthur B. Davies</v>
      </c>
      <c r="E359">
        <v>1918</v>
      </c>
      <c r="F359" cm="1">
        <f t="array" ref="F359">_xlfn.REGEXEXTRACT(E359,"\d{4}")*1</f>
        <v>1918</v>
      </c>
      <c r="G359" t="s">
        <v>1034</v>
      </c>
      <c r="H359" t="s">
        <v>2132</v>
      </c>
      <c r="I359" t="s">
        <v>878</v>
      </c>
      <c r="J359" t="s">
        <v>879</v>
      </c>
      <c r="K359" s="1">
        <v>12685</v>
      </c>
      <c r="L359" t="s">
        <v>2133</v>
      </c>
      <c r="M359" t="s">
        <v>2134</v>
      </c>
      <c r="N359" t="s">
        <v>6373</v>
      </c>
    </row>
    <row r="360" spans="1:14" x14ac:dyDescent="0.25">
      <c r="A360">
        <v>78586</v>
      </c>
      <c r="B360" t="s">
        <v>2135</v>
      </c>
      <c r="C360">
        <v>3389</v>
      </c>
      <c r="D360" t="str" cm="1">
        <f t="array" ref="D360">_xlfn.TEXTJOIN(",",TRUE,_xlfn.XLOOKUP(_xlfn.TEXTSPLIT(C360,",")*1,_xlfn._TRO_TRAILING(Artists!A:A),_xlfn._TRO_TRAILING(Artists!B:B)))</f>
        <v>Mikhail Larionov</v>
      </c>
      <c r="E360" t="s">
        <v>2136</v>
      </c>
      <c r="F360" cm="1">
        <f t="array" ref="F360">_xlfn.REGEXEXTRACT(E360,"\d{4}")*1</f>
        <v>1912</v>
      </c>
      <c r="G360" t="s">
        <v>1034</v>
      </c>
      <c r="H360" t="s">
        <v>2137</v>
      </c>
      <c r="I360" t="s">
        <v>878</v>
      </c>
      <c r="J360" t="s">
        <v>879</v>
      </c>
      <c r="K360" s="1">
        <v>13255</v>
      </c>
      <c r="L360" t="s">
        <v>2138</v>
      </c>
      <c r="M360" t="s">
        <v>2139</v>
      </c>
      <c r="N360" t="s">
        <v>6401</v>
      </c>
    </row>
    <row r="361" spans="1:14" x14ac:dyDescent="0.25">
      <c r="A361">
        <v>78594</v>
      </c>
      <c r="B361" t="s">
        <v>1893</v>
      </c>
      <c r="C361">
        <v>5047</v>
      </c>
      <c r="D361" t="str" cm="1">
        <f t="array" ref="D361">_xlfn.TEXTJOIN(",",TRUE,_xlfn.XLOOKUP(_xlfn.TEXTSPLIT(C361,",")*1,_xlfn._TRO_TRAILING(Artists!A:A),_xlfn._TRO_TRAILING(Artists!B:B)))</f>
        <v>Mark Rothko</v>
      </c>
      <c r="E361">
        <v>1950</v>
      </c>
      <c r="F361" cm="1">
        <f t="array" ref="F361">_xlfn.REGEXEXTRACT(E361,"\d{4}")*1</f>
        <v>1950</v>
      </c>
      <c r="G361" t="s">
        <v>1034</v>
      </c>
      <c r="H361" t="s">
        <v>2140</v>
      </c>
      <c r="I361" t="s">
        <v>878</v>
      </c>
      <c r="J361" t="s">
        <v>879</v>
      </c>
      <c r="K361" s="1">
        <v>19066</v>
      </c>
      <c r="L361" t="s">
        <v>2141</v>
      </c>
      <c r="M361" t="s">
        <v>2142</v>
      </c>
      <c r="N361" t="s">
        <v>6403</v>
      </c>
    </row>
    <row r="362" spans="1:14" x14ac:dyDescent="0.25">
      <c r="A362">
        <v>78616</v>
      </c>
      <c r="B362" t="s">
        <v>2143</v>
      </c>
      <c r="C362">
        <v>2098</v>
      </c>
      <c r="D362" t="str" cm="1">
        <f t="array" ref="D362">_xlfn.TEXTJOIN(",",TRUE,_xlfn.XLOOKUP(_xlfn.TEXTSPLIT(C362,",")*1,_xlfn._TRO_TRAILING(Artists!A:A),_xlfn._TRO_TRAILING(Artists!B:B)))</f>
        <v>Paul Gauguin</v>
      </c>
      <c r="E362">
        <v>1888</v>
      </c>
      <c r="F362" cm="1">
        <f t="array" ref="F362">_xlfn.REGEXEXTRACT(E362,"\d{4}")*1</f>
        <v>1888</v>
      </c>
      <c r="G362" t="s">
        <v>1927</v>
      </c>
      <c r="H362" t="s">
        <v>2144</v>
      </c>
      <c r="I362" t="s">
        <v>878</v>
      </c>
      <c r="J362" t="s">
        <v>879</v>
      </c>
      <c r="K362" s="1">
        <v>19134</v>
      </c>
      <c r="L362" t="s">
        <v>2145</v>
      </c>
      <c r="M362" t="s">
        <v>2146</v>
      </c>
      <c r="N362" t="s">
        <v>6367</v>
      </c>
    </row>
    <row r="363" spans="1:14" x14ac:dyDescent="0.25">
      <c r="A363">
        <v>78619</v>
      </c>
      <c r="B363" t="s">
        <v>2147</v>
      </c>
      <c r="C363">
        <v>2374</v>
      </c>
      <c r="D363" t="str" cm="1">
        <f t="array" ref="D363">_xlfn.TEXTJOIN(",",TRUE,_xlfn.XLOOKUP(_xlfn.TEXTSPLIT(C363,",")*1,_xlfn._TRO_TRAILING(Artists!A:A),_xlfn._TRO_TRAILING(Artists!B:B)))</f>
        <v>George Grosz</v>
      </c>
      <c r="E363">
        <v>1927</v>
      </c>
      <c r="F363" cm="1">
        <f t="array" ref="F363">_xlfn.REGEXEXTRACT(E363,"\d{4}")*1</f>
        <v>1927</v>
      </c>
      <c r="G363" t="s">
        <v>1034</v>
      </c>
      <c r="H363" t="s">
        <v>2148</v>
      </c>
      <c r="I363" t="s">
        <v>878</v>
      </c>
      <c r="J363" t="s">
        <v>879</v>
      </c>
      <c r="K363" s="1">
        <v>19134</v>
      </c>
      <c r="L363" t="s">
        <v>2149</v>
      </c>
      <c r="M363" t="s">
        <v>2150</v>
      </c>
      <c r="N363" t="s">
        <v>6391</v>
      </c>
    </row>
    <row r="364" spans="1:14" x14ac:dyDescent="0.25">
      <c r="A364">
        <v>78620</v>
      </c>
      <c r="B364" t="s">
        <v>2151</v>
      </c>
      <c r="C364">
        <v>6624</v>
      </c>
      <c r="D364" t="str" cm="1">
        <f t="array" ref="D364">_xlfn.TEXTJOIN(",",TRUE,_xlfn.XLOOKUP(_xlfn.TEXTSPLIT(C364,",")*1,_xlfn._TRO_TRAILING(Artists!A:A),_xlfn._TRO_TRAILING(Artists!B:B)))</f>
        <v>Fernand Léger</v>
      </c>
      <c r="E364">
        <v>1924</v>
      </c>
      <c r="F364" cm="1">
        <f t="array" ref="F364">_xlfn.REGEXEXTRACT(E364,"\d{4}")*1</f>
        <v>1924</v>
      </c>
      <c r="G364" t="s">
        <v>1034</v>
      </c>
      <c r="H364" t="s">
        <v>2152</v>
      </c>
      <c r="I364" t="s">
        <v>878</v>
      </c>
      <c r="J364" t="s">
        <v>879</v>
      </c>
      <c r="K364" s="1">
        <v>23782</v>
      </c>
      <c r="L364" t="s">
        <v>2153</v>
      </c>
      <c r="M364" t="s">
        <v>2154</v>
      </c>
      <c r="N364" t="s">
        <v>6369</v>
      </c>
    </row>
    <row r="365" spans="1:14" x14ac:dyDescent="0.25">
      <c r="A365">
        <v>78630</v>
      </c>
      <c r="B365" t="s">
        <v>2155</v>
      </c>
      <c r="C365">
        <v>4609</v>
      </c>
      <c r="D365" t="str" cm="1">
        <f t="array" ref="D365">_xlfn.TEXTJOIN(",",TRUE,_xlfn.XLOOKUP(_xlfn.TEXTSPLIT(C365,",")*1,_xlfn._TRO_TRAILING(Artists!A:A),_xlfn._TRO_TRAILING(Artists!B:B)))</f>
        <v>Pablo Picasso</v>
      </c>
      <c r="E365" t="s">
        <v>2156</v>
      </c>
      <c r="F365" cm="1">
        <f t="array" ref="F365">_xlfn.REGEXEXTRACT(E365,"\d{4}")*1</f>
        <v>1921</v>
      </c>
      <c r="G365" t="s">
        <v>1034</v>
      </c>
      <c r="H365" t="s">
        <v>2157</v>
      </c>
      <c r="I365" t="s">
        <v>878</v>
      </c>
      <c r="J365" t="s">
        <v>879</v>
      </c>
      <c r="K365" s="1">
        <v>17981</v>
      </c>
      <c r="L365" t="s">
        <v>2158</v>
      </c>
      <c r="M365" t="s">
        <v>2159</v>
      </c>
      <c r="N365" t="s">
        <v>6369</v>
      </c>
    </row>
    <row r="366" spans="1:14" x14ac:dyDescent="0.25">
      <c r="A366">
        <v>78639</v>
      </c>
      <c r="B366" t="s">
        <v>1038</v>
      </c>
      <c r="C366">
        <v>2419</v>
      </c>
      <c r="D366" t="str" cm="1">
        <f t="array" ref="D366">_xlfn.TEXTJOIN(",",TRUE,_xlfn.XLOOKUP(_xlfn.TEXTSPLIT(C366,",")*1,_xlfn._TRO_TRAILING(Artists!A:A),_xlfn._TRO_TRAILING(Artists!B:B)))</f>
        <v>Philip Guston</v>
      </c>
      <c r="E366">
        <v>1978</v>
      </c>
      <c r="F366" cm="1">
        <f t="array" ref="F366">_xlfn.REGEXEXTRACT(E366,"\d{4}")*1</f>
        <v>1978</v>
      </c>
      <c r="G366" t="s">
        <v>1034</v>
      </c>
      <c r="H366" t="s">
        <v>2160</v>
      </c>
      <c r="I366" t="s">
        <v>878</v>
      </c>
      <c r="J366" t="s">
        <v>879</v>
      </c>
      <c r="K366" s="1">
        <v>29683</v>
      </c>
      <c r="L366" t="s">
        <v>2161</v>
      </c>
      <c r="M366" t="s">
        <v>2162</v>
      </c>
      <c r="N366" t="s">
        <v>6364</v>
      </c>
    </row>
    <row r="367" spans="1:14" x14ac:dyDescent="0.25">
      <c r="A367">
        <v>78644</v>
      </c>
      <c r="B367" t="s">
        <v>2164</v>
      </c>
      <c r="C367">
        <v>3030</v>
      </c>
      <c r="D367" t="str" cm="1">
        <f t="array" ref="D367">_xlfn.TEXTJOIN(",",TRUE,_xlfn.XLOOKUP(_xlfn.TEXTSPLIT(C367,",")*1,_xlfn._TRO_TRAILING(Artists!A:A),_xlfn._TRO_TRAILING(Artists!B:B)))</f>
        <v>On Kawara</v>
      </c>
      <c r="E367">
        <v>1979</v>
      </c>
      <c r="F367" cm="1">
        <f t="array" ref="F367">_xlfn.REGEXEXTRACT(E367,"\d{4}")*1</f>
        <v>1979</v>
      </c>
      <c r="G367" t="s">
        <v>2163</v>
      </c>
      <c r="H367" t="s">
        <v>2165</v>
      </c>
      <c r="I367" t="s">
        <v>878</v>
      </c>
      <c r="J367" t="s">
        <v>879</v>
      </c>
      <c r="K367" s="1">
        <v>29683</v>
      </c>
      <c r="L367" t="s">
        <v>2166</v>
      </c>
      <c r="M367" t="s">
        <v>2167</v>
      </c>
      <c r="N367" t="s">
        <v>6396</v>
      </c>
    </row>
    <row r="368" spans="1:14" x14ac:dyDescent="0.25">
      <c r="A368">
        <v>78647</v>
      </c>
      <c r="B368" t="s">
        <v>2168</v>
      </c>
      <c r="C368">
        <v>3030</v>
      </c>
      <c r="D368" t="str" cm="1">
        <f t="array" ref="D368">_xlfn.TEXTJOIN(",",TRUE,_xlfn.XLOOKUP(_xlfn.TEXTSPLIT(C368,",")*1,_xlfn._TRO_TRAILING(Artists!A:A),_xlfn._TRO_TRAILING(Artists!B:B)))</f>
        <v>On Kawara</v>
      </c>
      <c r="E368">
        <v>1979</v>
      </c>
      <c r="F368" cm="1">
        <f t="array" ref="F368">_xlfn.REGEXEXTRACT(E368,"\d{4}")*1</f>
        <v>1979</v>
      </c>
      <c r="G368" t="s">
        <v>2163</v>
      </c>
      <c r="H368" t="s">
        <v>2169</v>
      </c>
      <c r="I368" t="s">
        <v>878</v>
      </c>
      <c r="J368" t="s">
        <v>879</v>
      </c>
      <c r="K368" s="1">
        <v>29683</v>
      </c>
      <c r="L368" t="s">
        <v>2170</v>
      </c>
      <c r="M368" t="s">
        <v>2171</v>
      </c>
      <c r="N368" t="s">
        <v>6396</v>
      </c>
    </row>
    <row r="369" spans="1:14" x14ac:dyDescent="0.25">
      <c r="A369">
        <v>78656</v>
      </c>
      <c r="B369" t="s">
        <v>2172</v>
      </c>
      <c r="C369">
        <v>4360</v>
      </c>
      <c r="D369" t="str" cm="1">
        <f t="array" ref="D369">_xlfn.TEXTJOIN(",",TRUE,_xlfn.XLOOKUP(_xlfn.TEXTSPLIT(C369,",")*1,_xlfn._TRO_TRAILING(Artists!A:A),_xlfn._TRO_TRAILING(Artists!B:B)))</f>
        <v>Georgia O'Keeffe</v>
      </c>
      <c r="E369">
        <v>1919</v>
      </c>
      <c r="F369" cm="1">
        <f t="array" ref="F369">_xlfn.REGEXEXTRACT(E369,"\d{4}")*1</f>
        <v>1919</v>
      </c>
      <c r="G369" t="s">
        <v>1034</v>
      </c>
      <c r="H369" t="s">
        <v>2173</v>
      </c>
      <c r="I369" t="s">
        <v>878</v>
      </c>
      <c r="J369" t="s">
        <v>879</v>
      </c>
      <c r="K369" s="1">
        <v>34736</v>
      </c>
      <c r="L369" t="s">
        <v>2174</v>
      </c>
      <c r="M369" t="s">
        <v>2175</v>
      </c>
      <c r="N369" t="s">
        <v>6375</v>
      </c>
    </row>
    <row r="370" spans="1:14" x14ac:dyDescent="0.25">
      <c r="A370">
        <v>78658</v>
      </c>
      <c r="B370" t="s">
        <v>2176</v>
      </c>
      <c r="C370">
        <v>2521</v>
      </c>
      <c r="D370" t="str" cm="1">
        <f t="array" ref="D370">_xlfn.TEXTJOIN(",",TRUE,_xlfn.XLOOKUP(_xlfn.TEXTSPLIT(C370,",")*1,_xlfn._TRO_TRAILING(Artists!A:A),_xlfn._TRO_TRAILING(Artists!B:B)))</f>
        <v>Marsden Hartley</v>
      </c>
      <c r="E370">
        <v>1942</v>
      </c>
      <c r="F370" cm="1">
        <f t="array" ref="F370">_xlfn.REGEXEXTRACT(E370,"\d{4}")*1</f>
        <v>1942</v>
      </c>
      <c r="G370" t="s">
        <v>811</v>
      </c>
      <c r="H370" t="s">
        <v>53</v>
      </c>
      <c r="I370" t="s">
        <v>878</v>
      </c>
      <c r="J370" t="s">
        <v>879</v>
      </c>
      <c r="K370" s="1">
        <v>15755</v>
      </c>
      <c r="L370" t="s">
        <v>2177</v>
      </c>
      <c r="M370" t="s">
        <v>2178</v>
      </c>
      <c r="N370" t="s">
        <v>6375</v>
      </c>
    </row>
    <row r="371" spans="1:14" x14ac:dyDescent="0.25">
      <c r="A371">
        <v>78682</v>
      </c>
      <c r="B371" t="s">
        <v>2180</v>
      </c>
      <c r="C371">
        <v>4057</v>
      </c>
      <c r="D371" t="str" cm="1">
        <f t="array" ref="D371">_xlfn.TEXTJOIN(",",TRUE,_xlfn.XLOOKUP(_xlfn.TEXTSPLIT(C371,",")*1,_xlfn._TRO_TRAILING(Artists!A:A),_xlfn._TRO_TRAILING(Artists!B:B)))</f>
        <v>Piet Mondrian</v>
      </c>
      <c r="E371" t="s">
        <v>951</v>
      </c>
      <c r="F371" cm="1">
        <f t="array" ref="F371">_xlfn.REGEXEXTRACT(E371,"\d{4}")*1</f>
        <v>1942</v>
      </c>
      <c r="G371" t="s">
        <v>1034</v>
      </c>
      <c r="H371" t="s">
        <v>2181</v>
      </c>
      <c r="I371" t="s">
        <v>878</v>
      </c>
      <c r="J371" t="s">
        <v>879</v>
      </c>
      <c r="K371" s="1">
        <v>15838</v>
      </c>
      <c r="L371" t="s">
        <v>2182</v>
      </c>
      <c r="M371" t="s">
        <v>2183</v>
      </c>
      <c r="N371" t="s">
        <v>6399</v>
      </c>
    </row>
    <row r="372" spans="1:14" x14ac:dyDescent="0.25">
      <c r="A372">
        <v>78699</v>
      </c>
      <c r="B372" t="s">
        <v>2185</v>
      </c>
      <c r="C372">
        <v>4675</v>
      </c>
      <c r="D372" t="str" cm="1">
        <f t="array" ref="D372">_xlfn.TEXTJOIN(",",TRUE,_xlfn.XLOOKUP(_xlfn.TEXTSPLIT(C372,",")*1,_xlfn._TRO_TRAILING(Artists!A:A),_xlfn._TRO_TRAILING(Artists!B:B)))</f>
        <v>Jackson Pollock</v>
      </c>
      <c r="E372">
        <v>1948</v>
      </c>
      <c r="F372" cm="1">
        <f t="array" ref="F372">_xlfn.REGEXEXTRACT(E372,"\d{4}")*1</f>
        <v>1948</v>
      </c>
      <c r="G372" t="s">
        <v>1964</v>
      </c>
      <c r="H372" t="s">
        <v>2186</v>
      </c>
      <c r="I372" t="s">
        <v>878</v>
      </c>
      <c r="J372" t="s">
        <v>879</v>
      </c>
      <c r="K372" s="1">
        <v>18290</v>
      </c>
      <c r="L372" t="s">
        <v>2187</v>
      </c>
      <c r="M372" t="s">
        <v>2188</v>
      </c>
      <c r="N372" t="s">
        <v>6400</v>
      </c>
    </row>
    <row r="373" spans="1:14" x14ac:dyDescent="0.25">
      <c r="A373">
        <v>78718</v>
      </c>
      <c r="B373" t="s">
        <v>2189</v>
      </c>
      <c r="C373">
        <v>4609</v>
      </c>
      <c r="D373" t="str" cm="1">
        <f t="array" ref="D373">_xlfn.TEXTJOIN(",",TRUE,_xlfn.XLOOKUP(_xlfn.TEXTSPLIT(C373,",")*1,_xlfn._TRO_TRAILING(Artists!A:A),_xlfn._TRO_TRAILING(Artists!B:B)))</f>
        <v>Pablo Picasso</v>
      </c>
      <c r="E373" t="s">
        <v>2190</v>
      </c>
      <c r="F373" cm="1">
        <f t="array" ref="F373">_xlfn.REGEXEXTRACT(E373,"\d{4}")*1</f>
        <v>1909</v>
      </c>
      <c r="G373" t="s">
        <v>1034</v>
      </c>
      <c r="H373" t="s">
        <v>2191</v>
      </c>
      <c r="I373" t="s">
        <v>878</v>
      </c>
      <c r="J373" t="s">
        <v>879</v>
      </c>
      <c r="K373" s="1">
        <v>33336</v>
      </c>
      <c r="L373" t="s">
        <v>2192</v>
      </c>
      <c r="M373" t="s">
        <v>2193</v>
      </c>
      <c r="N373" t="s">
        <v>6401</v>
      </c>
    </row>
    <row r="374" spans="1:14" x14ac:dyDescent="0.25">
      <c r="A374">
        <v>78735</v>
      </c>
      <c r="B374" t="s">
        <v>2195</v>
      </c>
      <c r="C374">
        <v>3832</v>
      </c>
      <c r="D374" t="str" cm="1">
        <f t="array" ref="D374">_xlfn.TEXTJOIN(",",TRUE,_xlfn.XLOOKUP(_xlfn.TEXTSPLIT(C374,",")*1,_xlfn._TRO_TRAILING(Artists!A:A),_xlfn._TRO_TRAILING(Artists!B:B)))</f>
        <v>Henri Matisse</v>
      </c>
      <c r="E374" t="s">
        <v>2196</v>
      </c>
      <c r="F374" cm="1">
        <f t="array" ref="F374">_xlfn.REGEXEXTRACT(E374,"\d{4}")*1</f>
        <v>1918</v>
      </c>
      <c r="G374" t="s">
        <v>1034</v>
      </c>
      <c r="H374" t="s">
        <v>2197</v>
      </c>
      <c r="I374" t="s">
        <v>878</v>
      </c>
      <c r="J374" t="s">
        <v>879</v>
      </c>
      <c r="K374" s="1">
        <v>12685</v>
      </c>
      <c r="L374" t="s">
        <v>2198</v>
      </c>
      <c r="M374" t="s">
        <v>2199</v>
      </c>
      <c r="N374" t="s">
        <v>6373</v>
      </c>
    </row>
    <row r="375" spans="1:14" x14ac:dyDescent="0.25">
      <c r="A375">
        <v>78736</v>
      </c>
      <c r="B375" t="s">
        <v>2200</v>
      </c>
      <c r="C375">
        <v>1106</v>
      </c>
      <c r="D375" t="str" cm="1">
        <f t="array" ref="D375">_xlfn.TEXTJOIN(",",TRUE,_xlfn.XLOOKUP(_xlfn.TEXTSPLIT(C375,",")*1,_xlfn._TRO_TRAILING(Artists!A:A),_xlfn._TRO_TRAILING(Artists!B:B)))</f>
        <v>Giorgio de Chirico</v>
      </c>
      <c r="E375" t="s">
        <v>2201</v>
      </c>
      <c r="F375" cm="1">
        <f t="array" ref="F375">_xlfn.REGEXEXTRACT(E375,"\d{4}")*1</f>
        <v>1913</v>
      </c>
      <c r="G375" t="s">
        <v>1034</v>
      </c>
      <c r="H375" t="s">
        <v>2202</v>
      </c>
      <c r="I375" t="s">
        <v>878</v>
      </c>
      <c r="J375" t="s">
        <v>879</v>
      </c>
      <c r="K375" s="1">
        <v>18377</v>
      </c>
      <c r="L375" t="s">
        <v>2203</v>
      </c>
      <c r="M375" t="s">
        <v>2204</v>
      </c>
      <c r="N375" t="s">
        <v>6386</v>
      </c>
    </row>
    <row r="376" spans="1:14" x14ac:dyDescent="0.25">
      <c r="A376">
        <v>78737</v>
      </c>
      <c r="B376" t="s">
        <v>2205</v>
      </c>
      <c r="C376">
        <v>4038</v>
      </c>
      <c r="D376" t="str" cm="1">
        <f t="array" ref="D376">_xlfn.TEXTJOIN(",",TRUE,_xlfn.XLOOKUP(_xlfn.TEXTSPLIT(C376,",")*1,_xlfn._TRO_TRAILING(Artists!A:A),_xlfn._TRO_TRAILING(Artists!B:B)))</f>
        <v>Amedeo Modigliani</v>
      </c>
      <c r="E376">
        <v>1917</v>
      </c>
      <c r="F376" cm="1">
        <f t="array" ref="F376">_xlfn.REGEXEXTRACT(E376,"\d{4}")*1</f>
        <v>1917</v>
      </c>
      <c r="G376" t="s">
        <v>1034</v>
      </c>
      <c r="H376" t="s">
        <v>2206</v>
      </c>
      <c r="I376" t="s">
        <v>878</v>
      </c>
      <c r="J376" t="s">
        <v>879</v>
      </c>
      <c r="K376" s="1">
        <v>12685</v>
      </c>
      <c r="L376" t="s">
        <v>2207</v>
      </c>
      <c r="M376" t="s">
        <v>2208</v>
      </c>
      <c r="N376" t="s">
        <v>6373</v>
      </c>
    </row>
    <row r="377" spans="1:14" x14ac:dyDescent="0.25">
      <c r="A377">
        <v>78738</v>
      </c>
      <c r="B377" t="s">
        <v>2209</v>
      </c>
      <c r="C377">
        <v>1106</v>
      </c>
      <c r="D377" t="str" cm="1">
        <f t="array" ref="D377">_xlfn.TEXTJOIN(",",TRUE,_xlfn.XLOOKUP(_xlfn.TEXTSPLIT(C377,",")*1,_xlfn._TRO_TRAILING(Artists!A:A),_xlfn._TRO_TRAILING(Artists!B:B)))</f>
        <v>Giorgio de Chirico</v>
      </c>
      <c r="E377" t="s">
        <v>2210</v>
      </c>
      <c r="F377" cm="1">
        <f t="array" ref="F377">_xlfn.REGEXEXTRACT(E377,"\d{4}")*1</f>
        <v>1912</v>
      </c>
      <c r="G377" t="s">
        <v>1034</v>
      </c>
      <c r="H377" t="s">
        <v>2211</v>
      </c>
      <c r="I377" t="s">
        <v>878</v>
      </c>
      <c r="J377" t="s">
        <v>879</v>
      </c>
      <c r="K377" s="1">
        <v>13501</v>
      </c>
      <c r="L377" t="s">
        <v>2212</v>
      </c>
      <c r="M377" t="s">
        <v>2213</v>
      </c>
      <c r="N377" t="s">
        <v>6386</v>
      </c>
    </row>
    <row r="378" spans="1:14" x14ac:dyDescent="0.25">
      <c r="A378">
        <v>78740</v>
      </c>
      <c r="B378" t="s">
        <v>2214</v>
      </c>
      <c r="C378">
        <v>2252</v>
      </c>
      <c r="D378" t="str" cm="1">
        <f t="array" ref="D378">_xlfn.TEXTJOIN(",",TRUE,_xlfn.XLOOKUP(_xlfn.TEXTSPLIT(C378,",")*1,_xlfn._TRO_TRAILING(Artists!A:A),_xlfn._TRO_TRAILING(Artists!B:B)))</f>
        <v>Arshile Gorky</v>
      </c>
      <c r="E378">
        <v>1947</v>
      </c>
      <c r="F378" cm="1">
        <f t="array" ref="F378">_xlfn.REGEXEXTRACT(E378,"\d{4}")*1</f>
        <v>1947</v>
      </c>
      <c r="G378" t="s">
        <v>1034</v>
      </c>
      <c r="H378" t="s">
        <v>2215</v>
      </c>
      <c r="I378" t="s">
        <v>878</v>
      </c>
      <c r="J378" t="s">
        <v>879</v>
      </c>
      <c r="K378" s="1">
        <v>18377</v>
      </c>
      <c r="L378" t="s">
        <v>2216</v>
      </c>
      <c r="M378" t="s">
        <v>2217</v>
      </c>
      <c r="N378" t="s">
        <v>6405</v>
      </c>
    </row>
    <row r="379" spans="1:14" x14ac:dyDescent="0.25">
      <c r="A379">
        <v>78748</v>
      </c>
      <c r="B379" t="s">
        <v>2218</v>
      </c>
      <c r="C379">
        <v>4609</v>
      </c>
      <c r="D379" t="str" cm="1">
        <f t="array" ref="D379">_xlfn.TEXTJOIN(",",TRUE,_xlfn.XLOOKUP(_xlfn.TEXTSPLIT(C379,",")*1,_xlfn._TRO_TRAILING(Artists!A:A),_xlfn._TRO_TRAILING(Artists!B:B)))</f>
        <v>Pablo Picasso</v>
      </c>
      <c r="E379" t="s">
        <v>2219</v>
      </c>
      <c r="F379" cm="1">
        <f t="array" ref="F379">_xlfn.REGEXEXTRACT(E379,"\d{4}")*1</f>
        <v>1914</v>
      </c>
      <c r="G379" t="s">
        <v>1034</v>
      </c>
      <c r="H379" t="s">
        <v>2220</v>
      </c>
      <c r="I379" t="s">
        <v>878</v>
      </c>
      <c r="J379" t="s">
        <v>879</v>
      </c>
      <c r="K379" s="1">
        <v>12685</v>
      </c>
      <c r="L379" t="s">
        <v>2221</v>
      </c>
      <c r="M379" t="s">
        <v>2222</v>
      </c>
      <c r="N379" t="s">
        <v>6373</v>
      </c>
    </row>
    <row r="380" spans="1:14" x14ac:dyDescent="0.25">
      <c r="A380">
        <v>78752</v>
      </c>
      <c r="B380" t="s">
        <v>2223</v>
      </c>
      <c r="C380">
        <v>4609</v>
      </c>
      <c r="D380" t="str" cm="1">
        <f t="array" ref="D380">_xlfn.TEXTJOIN(",",TRUE,_xlfn.XLOOKUP(_xlfn.TEXTSPLIT(C380,",")*1,_xlfn._TRO_TRAILING(Artists!A:A),_xlfn._TRO_TRAILING(Artists!B:B)))</f>
        <v>Pablo Picasso</v>
      </c>
      <c r="E380" t="s">
        <v>2224</v>
      </c>
      <c r="F380" cm="1">
        <f t="array" ref="F380">_xlfn.REGEXEXTRACT(E380,"\d{4}")*1</f>
        <v>1944</v>
      </c>
      <c r="G380" t="s">
        <v>1973</v>
      </c>
      <c r="H380" t="s">
        <v>2225</v>
      </c>
      <c r="I380" t="s">
        <v>878</v>
      </c>
      <c r="J380" t="s">
        <v>879</v>
      </c>
      <c r="K380" s="1">
        <v>26001</v>
      </c>
      <c r="L380" t="s">
        <v>2226</v>
      </c>
      <c r="M380" t="s">
        <v>2227</v>
      </c>
      <c r="N380" t="s">
        <v>6377</v>
      </c>
    </row>
    <row r="381" spans="1:14" x14ac:dyDescent="0.25">
      <c r="A381">
        <v>78756</v>
      </c>
      <c r="B381" t="s">
        <v>2228</v>
      </c>
      <c r="C381">
        <v>4016</v>
      </c>
      <c r="D381" t="str" cm="1">
        <f t="array" ref="D381">_xlfn.TEXTJOIN(",",TRUE,_xlfn.XLOOKUP(_xlfn.TEXTSPLIT(C381,",")*1,_xlfn._TRO_TRAILING(Artists!A:A),_xlfn._TRO_TRAILING(Artists!B:B)))</f>
        <v>Joan Miró</v>
      </c>
      <c r="E381" t="s">
        <v>2229</v>
      </c>
      <c r="F381" cm="1">
        <f t="array" ref="F381">_xlfn.REGEXEXTRACT(E381,"\d{4}")*1</f>
        <v>1923</v>
      </c>
      <c r="G381" t="s">
        <v>1034</v>
      </c>
      <c r="H381" t="s">
        <v>2230</v>
      </c>
      <c r="I381" t="s">
        <v>878</v>
      </c>
      <c r="J381" t="s">
        <v>879</v>
      </c>
      <c r="K381" s="1">
        <v>13511</v>
      </c>
      <c r="L381" t="s">
        <v>2231</v>
      </c>
      <c r="M381" t="s">
        <v>2232</v>
      </c>
      <c r="N381" t="s">
        <v>6386</v>
      </c>
    </row>
    <row r="382" spans="1:14" x14ac:dyDescent="0.25">
      <c r="A382">
        <v>78762</v>
      </c>
      <c r="B382" t="s">
        <v>2233</v>
      </c>
      <c r="C382">
        <v>534</v>
      </c>
      <c r="D382" t="str" cm="1">
        <f t="array" ref="D382">_xlfn.TEXTJOIN(",",TRUE,_xlfn.XLOOKUP(_xlfn.TEXTSPLIT(C382,",")*1,_xlfn._TRO_TRAILING(Artists!A:A),_xlfn._TRO_TRAILING(Artists!B:B)))</f>
        <v>Forrest Bess</v>
      </c>
      <c r="E382">
        <v>1949</v>
      </c>
      <c r="F382" cm="1">
        <f t="array" ref="F382">_xlfn.REGEXEXTRACT(E382,"\d{4}")*1</f>
        <v>1949</v>
      </c>
      <c r="G382" t="s">
        <v>2235</v>
      </c>
      <c r="H382" t="s">
        <v>2236</v>
      </c>
      <c r="I382" t="s">
        <v>878</v>
      </c>
      <c r="J382" t="s">
        <v>879</v>
      </c>
      <c r="K382" s="1">
        <v>30047</v>
      </c>
      <c r="L382" t="s">
        <v>2237</v>
      </c>
      <c r="M382" t="s">
        <v>2238</v>
      </c>
      <c r="N382" t="s">
        <v>6376</v>
      </c>
    </row>
    <row r="383" spans="1:14" x14ac:dyDescent="0.25">
      <c r="A383">
        <v>78784</v>
      </c>
      <c r="B383" t="s">
        <v>2239</v>
      </c>
      <c r="C383">
        <v>2963</v>
      </c>
      <c r="D383" t="str" cm="1">
        <f t="array" ref="D383">_xlfn.TEXTJOIN(",",TRUE,_xlfn.XLOOKUP(_xlfn.TEXTSPLIT(C383,",")*1,_xlfn._TRO_TRAILING(Artists!A:A),_xlfn._TRO_TRAILING(Artists!B:B)))</f>
        <v>Frida Kahlo</v>
      </c>
      <c r="E383">
        <v>1936</v>
      </c>
      <c r="F383" cm="1">
        <f t="array" ref="F383">_xlfn.REGEXEXTRACT(E383,"\d{4}")*1</f>
        <v>1936</v>
      </c>
      <c r="G383" t="s">
        <v>2240</v>
      </c>
      <c r="H383" t="s">
        <v>2241</v>
      </c>
      <c r="I383" t="s">
        <v>878</v>
      </c>
      <c r="J383" t="s">
        <v>879</v>
      </c>
      <c r="K383" s="1">
        <v>27828</v>
      </c>
      <c r="L383" t="s">
        <v>2242</v>
      </c>
      <c r="M383" t="s">
        <v>2243</v>
      </c>
      <c r="N383" t="s">
        <v>6376</v>
      </c>
    </row>
    <row r="384" spans="1:14" x14ac:dyDescent="0.25">
      <c r="A384">
        <v>78787</v>
      </c>
      <c r="B384" t="s">
        <v>2244</v>
      </c>
      <c r="C384">
        <v>744</v>
      </c>
      <c r="D384" t="str" cm="1">
        <f t="array" ref="D384">_xlfn.TEXTJOIN(",",TRUE,_xlfn.XLOOKUP(_xlfn.TEXTSPLIT(C384,",")*1,_xlfn._TRO_TRAILING(Artists!A:A),_xlfn._TRO_TRAILING(Artists!B:B)))</f>
        <v>Georges Braque</v>
      </c>
      <c r="E384" t="s">
        <v>2245</v>
      </c>
      <c r="F384" cm="1">
        <f t="array" ref="F384">_xlfn.REGEXEXTRACT(E384,"\d{4}")*1</f>
        <v>1908</v>
      </c>
      <c r="G384" t="s">
        <v>1034</v>
      </c>
      <c r="H384" t="s">
        <v>1113</v>
      </c>
      <c r="I384" t="s">
        <v>878</v>
      </c>
      <c r="J384" t="s">
        <v>879</v>
      </c>
      <c r="K384" s="1">
        <v>15847</v>
      </c>
      <c r="L384" t="s">
        <v>2246</v>
      </c>
      <c r="M384" t="s">
        <v>2247</v>
      </c>
      <c r="N384" t="s">
        <v>6401</v>
      </c>
    </row>
    <row r="385" spans="1:14" x14ac:dyDescent="0.25">
      <c r="A385">
        <v>78805</v>
      </c>
      <c r="B385" t="s">
        <v>1662</v>
      </c>
      <c r="C385">
        <v>2923</v>
      </c>
      <c r="D385" t="str" cm="1">
        <f t="array" ref="D385">_xlfn.TEXTJOIN(",",TRUE,_xlfn.XLOOKUP(_xlfn.TEXTSPLIT(C385,",")*1,_xlfn._TRO_TRAILING(Artists!A:A),_xlfn._TRO_TRAILING(Artists!B:B)))</f>
        <v>Jasper Johns</v>
      </c>
      <c r="E385" t="s">
        <v>2249</v>
      </c>
      <c r="F385" cm="1">
        <f t="array" ref="F385">_xlfn.REGEXEXTRACT(E385,"\d{4}")*1</f>
        <v>1954</v>
      </c>
      <c r="G385" t="s">
        <v>2250</v>
      </c>
      <c r="H385" t="s">
        <v>2251</v>
      </c>
      <c r="I385" t="s">
        <v>878</v>
      </c>
      <c r="J385" t="s">
        <v>879</v>
      </c>
      <c r="K385" s="1">
        <v>26708</v>
      </c>
      <c r="L385" t="s">
        <v>2252</v>
      </c>
      <c r="M385" t="s">
        <v>2253</v>
      </c>
      <c r="N385" t="s">
        <v>6398</v>
      </c>
    </row>
    <row r="386" spans="1:14" x14ac:dyDescent="0.25">
      <c r="A386">
        <v>78841</v>
      </c>
      <c r="B386" t="s">
        <v>2254</v>
      </c>
      <c r="C386">
        <v>412</v>
      </c>
      <c r="D386" t="str" cm="1">
        <f t="array" ref="D386">_xlfn.TEXTJOIN(",",TRUE,_xlfn.XLOOKUP(_xlfn.TEXTSPLIT(C386,",")*1,_xlfn._TRO_TRAILING(Artists!A:A),_xlfn._TRO_TRAILING(Artists!B:B)))</f>
        <v>Romare Bearden</v>
      </c>
      <c r="E386">
        <v>1959</v>
      </c>
      <c r="F386" cm="1">
        <f t="array" ref="F386">_xlfn.REGEXEXTRACT(E386,"\d{4}")*1</f>
        <v>1959</v>
      </c>
      <c r="G386" t="s">
        <v>2255</v>
      </c>
      <c r="H386" t="s">
        <v>2256</v>
      </c>
      <c r="I386" t="s">
        <v>878</v>
      </c>
      <c r="J386" t="s">
        <v>879</v>
      </c>
      <c r="K386" s="1">
        <v>22062</v>
      </c>
      <c r="L386" t="s">
        <v>2257</v>
      </c>
      <c r="M386" t="s">
        <v>2258</v>
      </c>
      <c r="N386" t="s">
        <v>6383</v>
      </c>
    </row>
    <row r="387" spans="1:14" x14ac:dyDescent="0.25">
      <c r="A387">
        <v>78848</v>
      </c>
      <c r="B387" t="s">
        <v>2259</v>
      </c>
      <c r="C387">
        <v>4975</v>
      </c>
      <c r="D387" t="str" cm="1">
        <f t="array" ref="D387">_xlfn.TEXTJOIN(",",TRUE,_xlfn.XLOOKUP(_xlfn.TEXTSPLIT(C387,",")*1,_xlfn._TRO_TRAILING(Artists!A:A),_xlfn._TRO_TRAILING(Artists!B:B)))</f>
        <v>Aleksandr Rodchenko</v>
      </c>
      <c r="E387">
        <v>1918</v>
      </c>
      <c r="F387" cm="1">
        <f t="array" ref="F387">_xlfn.REGEXEXTRACT(E387,"\d{4}")*1</f>
        <v>1918</v>
      </c>
      <c r="G387" t="s">
        <v>2260</v>
      </c>
      <c r="H387" t="s">
        <v>2261</v>
      </c>
      <c r="I387" t="s">
        <v>878</v>
      </c>
      <c r="J387" t="s">
        <v>879</v>
      </c>
      <c r="K387" s="1">
        <v>13501</v>
      </c>
      <c r="L387" t="s">
        <v>2262</v>
      </c>
      <c r="M387" t="s">
        <v>2263</v>
      </c>
      <c r="N387" t="s">
        <v>6406</v>
      </c>
    </row>
    <row r="388" spans="1:14" x14ac:dyDescent="0.25">
      <c r="A388">
        <v>78886</v>
      </c>
      <c r="B388" t="s">
        <v>2265</v>
      </c>
      <c r="C388">
        <v>5178</v>
      </c>
      <c r="D388" t="str" cm="1">
        <f t="array" ref="D388">_xlfn.TEXTJOIN(",",TRUE,_xlfn.XLOOKUP(_xlfn.TEXTSPLIT(C388,",")*1,_xlfn._TRO_TRAILING(Artists!A:A),_xlfn._TRO_TRAILING(Artists!B:B)))</f>
        <v>Peter Saul</v>
      </c>
      <c r="E388">
        <v>1963</v>
      </c>
      <c r="F388" cm="1">
        <f t="array" ref="F388">_xlfn.REGEXEXTRACT(E388,"\d{4}")*1</f>
        <v>1963</v>
      </c>
      <c r="G388" t="s">
        <v>1034</v>
      </c>
      <c r="H388" t="s">
        <v>2266</v>
      </c>
      <c r="I388" t="s">
        <v>878</v>
      </c>
      <c r="J388" t="s">
        <v>879</v>
      </c>
      <c r="K388" s="1">
        <v>36291</v>
      </c>
      <c r="L388" t="s">
        <v>2267</v>
      </c>
      <c r="M388" t="s">
        <v>2268</v>
      </c>
      <c r="N388" t="s">
        <v>6394</v>
      </c>
    </row>
    <row r="389" spans="1:14" x14ac:dyDescent="0.25">
      <c r="A389">
        <v>78908</v>
      </c>
      <c r="B389" t="s">
        <v>2269</v>
      </c>
      <c r="C389">
        <v>3832</v>
      </c>
      <c r="D389" t="str" cm="1">
        <f t="array" ref="D389">_xlfn.TEXTJOIN(",",TRUE,_xlfn.XLOOKUP(_xlfn.TEXTSPLIT(C389,",")*1,_xlfn._TRO_TRAILING(Artists!A:A),_xlfn._TRO_TRAILING(Artists!B:B)))</f>
        <v>Henri Matisse</v>
      </c>
      <c r="E389" t="s">
        <v>2270</v>
      </c>
      <c r="F389" cm="1">
        <f t="array" ref="F389">_xlfn.REGEXEXTRACT(E389,"\d{4}")*1</f>
        <v>1916</v>
      </c>
      <c r="G389" t="s">
        <v>1034</v>
      </c>
      <c r="H389" t="s">
        <v>2271</v>
      </c>
      <c r="I389" t="s">
        <v>878</v>
      </c>
      <c r="J389" t="s">
        <v>879</v>
      </c>
      <c r="K389" s="1">
        <v>16929</v>
      </c>
      <c r="L389" t="s">
        <v>2272</v>
      </c>
      <c r="M389" t="s">
        <v>2273</v>
      </c>
      <c r="N389" t="s">
        <v>6395</v>
      </c>
    </row>
    <row r="390" spans="1:14" x14ac:dyDescent="0.25">
      <c r="A390">
        <v>78912</v>
      </c>
      <c r="B390" t="s">
        <v>2274</v>
      </c>
      <c r="C390">
        <v>5358</v>
      </c>
      <c r="D390" t="str" cm="1">
        <f t="array" ref="D390">_xlfn.TEXTJOIN(",",TRUE,_xlfn.XLOOKUP(_xlfn.TEXTSPLIT(C390,",")*1,_xlfn._TRO_TRAILING(Artists!A:A),_xlfn._TRO_TRAILING(Artists!B:B)))</f>
        <v>Georges-Pierre Seurat</v>
      </c>
      <c r="E390">
        <v>1888</v>
      </c>
      <c r="F390" cm="1">
        <f t="array" ref="F390">_xlfn.REGEXEXTRACT(E390,"\d{4}")*1</f>
        <v>1888</v>
      </c>
      <c r="G390" t="s">
        <v>1034</v>
      </c>
      <c r="H390" t="s">
        <v>2275</v>
      </c>
      <c r="I390" t="s">
        <v>878</v>
      </c>
      <c r="J390" t="s">
        <v>879</v>
      </c>
      <c r="K390" s="1">
        <v>12685</v>
      </c>
      <c r="L390" t="s">
        <v>2276</v>
      </c>
      <c r="M390" t="s">
        <v>2277</v>
      </c>
      <c r="N390" t="s">
        <v>6373</v>
      </c>
    </row>
    <row r="391" spans="1:14" x14ac:dyDescent="0.25">
      <c r="A391">
        <v>78928</v>
      </c>
      <c r="B391" t="s">
        <v>2279</v>
      </c>
      <c r="C391">
        <v>1753</v>
      </c>
      <c r="D391" t="str" cm="1">
        <f t="array" ref="D391">_xlfn.TEXTJOIN(",",TRUE,_xlfn.XLOOKUP(_xlfn.TEXTSPLIT(C391,",")*1,_xlfn._TRO_TRAILING(Artists!A:A),_xlfn._TRO_TRAILING(Artists!B:B)))</f>
        <v>Erol (Erol Akyavas)</v>
      </c>
      <c r="E391" t="s">
        <v>2281</v>
      </c>
      <c r="F391" cm="1">
        <f t="array" ref="F391">_xlfn.REGEXEXTRACT(E391,"\d{4}")*1</f>
        <v>1959</v>
      </c>
      <c r="G391" t="s">
        <v>1034</v>
      </c>
      <c r="H391" t="s">
        <v>2282</v>
      </c>
      <c r="I391" t="s">
        <v>878</v>
      </c>
      <c r="J391" t="s">
        <v>879</v>
      </c>
      <c r="K391" s="1">
        <v>22417</v>
      </c>
      <c r="L391" t="s">
        <v>2283</v>
      </c>
      <c r="M391" t="s">
        <v>2284</v>
      </c>
      <c r="N391" t="s">
        <v>6378</v>
      </c>
    </row>
    <row r="392" spans="1:14" x14ac:dyDescent="0.25">
      <c r="A392">
        <v>78930</v>
      </c>
      <c r="B392" t="s">
        <v>2285</v>
      </c>
      <c r="C392">
        <v>2349</v>
      </c>
      <c r="D392" t="str" cm="1">
        <f t="array" ref="D392">_xlfn.TEXTJOIN(",",TRUE,_xlfn.XLOOKUP(_xlfn.TEXTSPLIT(C392,",")*1,_xlfn._TRO_TRAILING(Artists!A:A),_xlfn._TRO_TRAILING(Artists!B:B)))</f>
        <v>Juan Gris</v>
      </c>
      <c r="E392">
        <v>1912</v>
      </c>
      <c r="F392" cm="1">
        <f t="array" ref="F392">_xlfn.REGEXEXTRACT(E392,"\d{4}")*1</f>
        <v>1912</v>
      </c>
      <c r="G392" t="s">
        <v>1034</v>
      </c>
      <c r="H392" t="s">
        <v>2286</v>
      </c>
      <c r="I392" t="s">
        <v>878</v>
      </c>
      <c r="J392" t="s">
        <v>879</v>
      </c>
      <c r="K392" s="1">
        <v>17335</v>
      </c>
      <c r="L392" t="s">
        <v>2287</v>
      </c>
      <c r="M392" t="s">
        <v>2288</v>
      </c>
      <c r="N392" t="s">
        <v>6401</v>
      </c>
    </row>
    <row r="393" spans="1:14" x14ac:dyDescent="0.25">
      <c r="A393">
        <v>78933</v>
      </c>
      <c r="B393" t="s">
        <v>1832</v>
      </c>
      <c r="C393">
        <v>2349</v>
      </c>
      <c r="D393" t="str" cm="1">
        <f t="array" ref="D393">_xlfn.TEXTJOIN(",",TRUE,_xlfn.XLOOKUP(_xlfn.TEXTSPLIT(C393,",")*1,_xlfn._TRO_TRAILING(Artists!A:A),_xlfn._TRO_TRAILING(Artists!B:B)))</f>
        <v>Juan Gris</v>
      </c>
      <c r="E393" s="3">
        <v>1913</v>
      </c>
      <c r="F393" cm="1">
        <f t="array" ref="F393">_xlfn.REGEXEXTRACT(E393,"\d{4}")*1</f>
        <v>1913</v>
      </c>
      <c r="G393" t="s">
        <v>1034</v>
      </c>
      <c r="H393" t="s">
        <v>665</v>
      </c>
      <c r="I393" t="s">
        <v>878</v>
      </c>
      <c r="J393" t="s">
        <v>879</v>
      </c>
      <c r="K393" s="1">
        <v>17335</v>
      </c>
      <c r="L393" t="s">
        <v>2289</v>
      </c>
      <c r="M393" t="s">
        <v>2290</v>
      </c>
      <c r="N393" t="s">
        <v>6401</v>
      </c>
    </row>
    <row r="394" spans="1:14" x14ac:dyDescent="0.25">
      <c r="A394">
        <v>78946</v>
      </c>
      <c r="B394" t="s">
        <v>2291</v>
      </c>
      <c r="C394">
        <v>3982</v>
      </c>
      <c r="D394" t="str" cm="1">
        <f t="array" ref="D394">_xlfn.TEXTJOIN(",",TRUE,_xlfn.XLOOKUP(_xlfn.TEXTSPLIT(C394,",")*1,_xlfn._TRO_TRAILING(Artists!A:A),_xlfn._TRO_TRAILING(Artists!B:B)))</f>
        <v>Manolo Millares</v>
      </c>
      <c r="E394">
        <v>1957</v>
      </c>
      <c r="F394" cm="1">
        <f t="array" ref="F394">_xlfn.REGEXEXTRACT(E394,"\d{4}")*1</f>
        <v>1957</v>
      </c>
      <c r="G394" t="s">
        <v>2293</v>
      </c>
      <c r="H394" t="s">
        <v>2294</v>
      </c>
      <c r="I394" t="s">
        <v>878</v>
      </c>
      <c r="J394" t="s">
        <v>879</v>
      </c>
      <c r="K394" s="1">
        <v>21487</v>
      </c>
      <c r="L394" t="s">
        <v>2295</v>
      </c>
      <c r="M394" t="s">
        <v>2296</v>
      </c>
      <c r="N394" t="s">
        <v>6400</v>
      </c>
    </row>
    <row r="395" spans="1:14" x14ac:dyDescent="0.25">
      <c r="A395">
        <v>78973</v>
      </c>
      <c r="B395" t="s">
        <v>2297</v>
      </c>
      <c r="C395">
        <v>4635</v>
      </c>
      <c r="D395" t="str" cm="1">
        <f t="array" ref="D395">_xlfn.TEXTJOIN(",",TRUE,_xlfn.XLOOKUP(_xlfn.TEXTSPLIT(C395,",")*1,_xlfn._TRO_TRAILING(Artists!A:A),_xlfn._TRO_TRAILING(Artists!B:B)))</f>
        <v>Horace Pippin</v>
      </c>
      <c r="E395">
        <v>1942</v>
      </c>
      <c r="F395" cm="1">
        <f t="array" ref="F395">_xlfn.REGEXEXTRACT(E395,"\d{4}")*1</f>
        <v>1942</v>
      </c>
      <c r="G395" t="s">
        <v>1034</v>
      </c>
      <c r="H395" t="s">
        <v>2299</v>
      </c>
      <c r="I395" t="s">
        <v>878</v>
      </c>
      <c r="J395" t="s">
        <v>879</v>
      </c>
      <c r="K395" s="1">
        <v>28192</v>
      </c>
      <c r="L395" t="s">
        <v>2300</v>
      </c>
      <c r="M395" t="s">
        <v>2301</v>
      </c>
      <c r="N395" t="s">
        <v>6402</v>
      </c>
    </row>
    <row r="396" spans="1:14" x14ac:dyDescent="0.25">
      <c r="A396">
        <v>78984</v>
      </c>
      <c r="B396" t="s">
        <v>2302</v>
      </c>
      <c r="C396">
        <v>1055</v>
      </c>
      <c r="D396" t="str" cm="1">
        <f t="array" ref="D396">_xlfn.TEXTJOIN(",",TRUE,_xlfn.XLOOKUP(_xlfn.TEXTSPLIT(C396,",")*1,_xlfn._TRO_TRAILING(Artists!A:A),_xlfn._TRO_TRAILING(Artists!B:B)))</f>
        <v>Marc Chagall</v>
      </c>
      <c r="E396">
        <v>1911</v>
      </c>
      <c r="F396" cm="1">
        <f t="array" ref="F396">_xlfn.REGEXEXTRACT(E396,"\d{4}")*1</f>
        <v>1911</v>
      </c>
      <c r="G396" t="s">
        <v>1034</v>
      </c>
      <c r="H396" t="s">
        <v>2303</v>
      </c>
      <c r="I396" t="s">
        <v>878</v>
      </c>
      <c r="J396" t="s">
        <v>879</v>
      </c>
      <c r="K396" s="1">
        <v>16601</v>
      </c>
      <c r="L396" t="s">
        <v>2304</v>
      </c>
      <c r="M396" t="s">
        <v>2305</v>
      </c>
      <c r="N396" t="s">
        <v>6401</v>
      </c>
    </row>
    <row r="397" spans="1:14" x14ac:dyDescent="0.25">
      <c r="A397">
        <v>78986</v>
      </c>
      <c r="B397" t="s">
        <v>2306</v>
      </c>
      <c r="C397">
        <v>4609</v>
      </c>
      <c r="D397" t="str" cm="1">
        <f t="array" ref="D397">_xlfn.TEXTJOIN(",",TRUE,_xlfn.XLOOKUP(_xlfn.TEXTSPLIT(C397,",")*1,_xlfn._TRO_TRAILING(Artists!A:A),_xlfn._TRO_TRAILING(Artists!B:B)))</f>
        <v>Pablo Picasso</v>
      </c>
      <c r="E397" t="s">
        <v>2307</v>
      </c>
      <c r="F397" cm="1">
        <f t="array" ref="F397">_xlfn.REGEXEXTRACT(E397,"\d{4}")*1</f>
        <v>1909</v>
      </c>
      <c r="G397" t="s">
        <v>1034</v>
      </c>
      <c r="H397" t="s">
        <v>2308</v>
      </c>
      <c r="I397" t="s">
        <v>878</v>
      </c>
      <c r="J397" t="s">
        <v>879</v>
      </c>
      <c r="K397" s="1">
        <v>18772</v>
      </c>
      <c r="L397" t="s">
        <v>2309</v>
      </c>
      <c r="M397" t="s">
        <v>2310</v>
      </c>
      <c r="N397" t="s">
        <v>6401</v>
      </c>
    </row>
    <row r="398" spans="1:14" x14ac:dyDescent="0.25">
      <c r="A398">
        <v>78993</v>
      </c>
      <c r="B398" t="s">
        <v>2311</v>
      </c>
      <c r="C398">
        <v>1634</v>
      </c>
      <c r="D398" t="str" cm="1">
        <f t="array" ref="D398">_xlfn.TEXTJOIN(",",TRUE,_xlfn.XLOOKUP(_xlfn.TEXTSPLIT(C398,",")*1,_xlfn._TRO_TRAILING(Artists!A:A),_xlfn._TRO_TRAILING(Artists!B:B)))</f>
        <v>Marcel Duchamp</v>
      </c>
      <c r="E398" t="s">
        <v>2312</v>
      </c>
      <c r="F398" cm="1">
        <f t="array" ref="F398">_xlfn.REGEXEXTRACT(E398,"\d{4}")*1</f>
        <v>1918</v>
      </c>
      <c r="G398" t="s">
        <v>2313</v>
      </c>
      <c r="H398" t="s">
        <v>2314</v>
      </c>
      <c r="I398" t="s">
        <v>2248</v>
      </c>
      <c r="J398" t="s">
        <v>879</v>
      </c>
      <c r="K398" s="1">
        <v>19456</v>
      </c>
      <c r="L398" t="s">
        <v>2315</v>
      </c>
      <c r="M398" t="s">
        <v>2316</v>
      </c>
      <c r="N398" t="s">
        <v>6385</v>
      </c>
    </row>
    <row r="399" spans="1:14" x14ac:dyDescent="0.25">
      <c r="A399">
        <v>79002</v>
      </c>
      <c r="B399" t="s">
        <v>2317</v>
      </c>
      <c r="C399">
        <v>4057</v>
      </c>
      <c r="D399" t="str" cm="1">
        <f t="array" ref="D399">_xlfn.TEXTJOIN(",",TRUE,_xlfn.XLOOKUP(_xlfn.TEXTSPLIT(C399,",")*1,_xlfn._TRO_TRAILING(Artists!A:A),_xlfn._TRO_TRAILING(Artists!B:B)))</f>
        <v>Piet Mondrian</v>
      </c>
      <c r="E399">
        <v>1921</v>
      </c>
      <c r="F399" cm="1">
        <f t="array" ref="F399">_xlfn.REGEXEXTRACT(E399,"\d{4}")*1</f>
        <v>1921</v>
      </c>
      <c r="G399" t="s">
        <v>1034</v>
      </c>
      <c r="H399" t="s">
        <v>2318</v>
      </c>
      <c r="I399" t="s">
        <v>878</v>
      </c>
      <c r="J399" t="s">
        <v>879</v>
      </c>
      <c r="K399" s="1">
        <v>21102</v>
      </c>
      <c r="L399" t="s">
        <v>2319</v>
      </c>
      <c r="M399" t="s">
        <v>2320</v>
      </c>
      <c r="N399" t="s">
        <v>6369</v>
      </c>
    </row>
    <row r="400" spans="1:14" x14ac:dyDescent="0.25">
      <c r="A400">
        <v>79018</v>
      </c>
      <c r="B400" t="s">
        <v>2321</v>
      </c>
      <c r="C400">
        <v>1364</v>
      </c>
      <c r="D400" t="str" cm="1">
        <f t="array" ref="D400">_xlfn.TEXTJOIN(",",TRUE,_xlfn.XLOOKUP(_xlfn.TEXTSPLIT(C400,",")*1,_xlfn._TRO_TRAILING(Artists!A:A),_xlfn._TRO_TRAILING(Artists!B:B)))</f>
        <v>Salvador Dalí</v>
      </c>
      <c r="E400">
        <v>1931</v>
      </c>
      <c r="F400" cm="1">
        <f t="array" ref="F400">_xlfn.REGEXEXTRACT(E400,"\d{4}")*1</f>
        <v>1931</v>
      </c>
      <c r="G400" t="s">
        <v>1034</v>
      </c>
      <c r="H400" t="s">
        <v>2322</v>
      </c>
      <c r="I400" t="s">
        <v>878</v>
      </c>
      <c r="J400" t="s">
        <v>879</v>
      </c>
      <c r="K400" s="1">
        <v>12773</v>
      </c>
      <c r="L400" t="s">
        <v>2323</v>
      </c>
      <c r="M400" t="s">
        <v>2324</v>
      </c>
      <c r="N400" t="s">
        <v>6386</v>
      </c>
    </row>
    <row r="401" spans="1:14" x14ac:dyDescent="0.25">
      <c r="A401">
        <v>79028</v>
      </c>
      <c r="B401" t="s">
        <v>2325</v>
      </c>
      <c r="C401">
        <v>4458</v>
      </c>
      <c r="D401" t="str" cm="1">
        <f t="array" ref="D401">_xlfn.TEXTJOIN(",",TRUE,_xlfn.XLOOKUP(_xlfn.TEXTSPLIT(C401,",")*1,_xlfn._TRO_TRAILING(Artists!A:A),_xlfn._TRO_TRAILING(Artists!B:B)))</f>
        <v>Amédée Ozenfant</v>
      </c>
      <c r="E401">
        <v>1925</v>
      </c>
      <c r="F401" cm="1">
        <f t="array" ref="F401">_xlfn.REGEXEXTRACT(E401,"\d{4}")*1</f>
        <v>1925</v>
      </c>
      <c r="G401" t="s">
        <v>1034</v>
      </c>
      <c r="H401" t="s">
        <v>2326</v>
      </c>
      <c r="I401" t="s">
        <v>878</v>
      </c>
      <c r="J401" t="s">
        <v>879</v>
      </c>
      <c r="K401" s="1">
        <v>16788</v>
      </c>
      <c r="L401" t="s">
        <v>2327</v>
      </c>
      <c r="M401" t="s">
        <v>2328</v>
      </c>
      <c r="N401" t="s">
        <v>6369</v>
      </c>
    </row>
    <row r="402" spans="1:14" x14ac:dyDescent="0.25">
      <c r="A402">
        <v>79032</v>
      </c>
      <c r="B402" t="s">
        <v>1907</v>
      </c>
      <c r="C402">
        <v>5383</v>
      </c>
      <c r="D402" t="str" cm="1">
        <f t="array" ref="D402">_xlfn.TEXTJOIN(",",TRUE,_xlfn.XLOOKUP(_xlfn.TEXTSPLIT(C402,",")*1,_xlfn._TRO_TRAILING(Artists!A:A),_xlfn._TRO_TRAILING(Artists!B:B)))</f>
        <v>Charles Sheeler</v>
      </c>
      <c r="E402">
        <v>1930</v>
      </c>
      <c r="F402" cm="1">
        <f t="array" ref="F402">_xlfn.REGEXEXTRACT(E402,"\d{4}")*1</f>
        <v>1930</v>
      </c>
      <c r="G402" t="s">
        <v>1034</v>
      </c>
      <c r="H402" t="s">
        <v>2329</v>
      </c>
      <c r="I402" t="s">
        <v>878</v>
      </c>
      <c r="J402" t="s">
        <v>879</v>
      </c>
      <c r="K402" s="1">
        <v>12772</v>
      </c>
      <c r="L402" t="s">
        <v>2330</v>
      </c>
      <c r="M402" t="s">
        <v>2331</v>
      </c>
      <c r="N402" t="s">
        <v>6361</v>
      </c>
    </row>
    <row r="403" spans="1:14" x14ac:dyDescent="0.25">
      <c r="A403">
        <v>79039</v>
      </c>
      <c r="B403" t="s">
        <v>2332</v>
      </c>
      <c r="C403">
        <v>6624</v>
      </c>
      <c r="D403" t="str" cm="1">
        <f t="array" ref="D403">_xlfn.TEXTJOIN(",",TRUE,_xlfn.XLOOKUP(_xlfn.TEXTSPLIT(C403,",")*1,_xlfn._TRO_TRAILING(Artists!A:A),_xlfn._TRO_TRAILING(Artists!B:B)))</f>
        <v>Fernand Léger</v>
      </c>
      <c r="E403">
        <v>1918</v>
      </c>
      <c r="F403" cm="1">
        <f t="array" ref="F403">_xlfn.REGEXEXTRACT(E403,"\d{4}")*1</f>
        <v>1918</v>
      </c>
      <c r="G403" t="s">
        <v>1034</v>
      </c>
      <c r="H403" t="s">
        <v>2333</v>
      </c>
      <c r="I403" t="s">
        <v>878</v>
      </c>
      <c r="J403" t="s">
        <v>879</v>
      </c>
      <c r="K403" s="1">
        <v>19456</v>
      </c>
      <c r="L403" t="s">
        <v>2334</v>
      </c>
      <c r="M403" t="s">
        <v>2335</v>
      </c>
      <c r="N403" t="s">
        <v>6401</v>
      </c>
    </row>
    <row r="404" spans="1:14" x14ac:dyDescent="0.25">
      <c r="A404">
        <v>79048</v>
      </c>
      <c r="B404" t="s">
        <v>2336</v>
      </c>
      <c r="C404">
        <v>744</v>
      </c>
      <c r="D404" t="str" cm="1">
        <f t="array" ref="D404">_xlfn.TEXTJOIN(",",TRUE,_xlfn.XLOOKUP(_xlfn.TEXTSPLIT(C404,",")*1,_xlfn._TRO_TRAILING(Artists!A:A),_xlfn._TRO_TRAILING(Artists!B:B)))</f>
        <v>Georges Braque</v>
      </c>
      <c r="E404" t="s">
        <v>2337</v>
      </c>
      <c r="F404" cm="1">
        <f t="array" ref="F404">_xlfn.REGEXEXTRACT(E404,"\d{4}")*1</f>
        <v>1911</v>
      </c>
      <c r="G404" t="s">
        <v>1034</v>
      </c>
      <c r="H404" t="s">
        <v>2338</v>
      </c>
      <c r="I404" t="s">
        <v>878</v>
      </c>
      <c r="J404" t="s">
        <v>879</v>
      </c>
      <c r="K404" s="1">
        <v>16788</v>
      </c>
      <c r="L404" t="s">
        <v>2339</v>
      </c>
      <c r="M404" t="s">
        <v>2340</v>
      </c>
      <c r="N404" t="s">
        <v>6401</v>
      </c>
    </row>
    <row r="405" spans="1:14" x14ac:dyDescent="0.25">
      <c r="A405">
        <v>79059</v>
      </c>
      <c r="B405" t="s">
        <v>2341</v>
      </c>
      <c r="C405">
        <v>4057</v>
      </c>
      <c r="D405" t="str" cm="1">
        <f t="array" ref="D405">_xlfn.TEXTJOIN(",",TRUE,_xlfn.XLOOKUP(_xlfn.TEXTSPLIT(C405,",")*1,_xlfn._TRO_TRAILING(Artists!A:A),_xlfn._TRO_TRAILING(Artists!B:B)))</f>
        <v>Piet Mondrian</v>
      </c>
      <c r="E405">
        <v>1926</v>
      </c>
      <c r="F405" cm="1">
        <f t="array" ref="F405">_xlfn.REGEXEXTRACT(E405,"\d{4}")*1</f>
        <v>1926</v>
      </c>
      <c r="G405" t="s">
        <v>1034</v>
      </c>
      <c r="H405" t="s">
        <v>2342</v>
      </c>
      <c r="I405" t="s">
        <v>878</v>
      </c>
      <c r="J405" t="s">
        <v>879</v>
      </c>
      <c r="K405" s="1">
        <v>19456</v>
      </c>
      <c r="L405" t="s">
        <v>2343</v>
      </c>
      <c r="M405" t="s">
        <v>2344</v>
      </c>
      <c r="N405" t="s">
        <v>6399</v>
      </c>
    </row>
    <row r="406" spans="1:14" x14ac:dyDescent="0.25">
      <c r="A406">
        <v>79078</v>
      </c>
      <c r="B406" t="s">
        <v>2345</v>
      </c>
      <c r="C406">
        <v>6624</v>
      </c>
      <c r="D406" t="str" cm="1">
        <f t="array" ref="D406">_xlfn.TEXTJOIN(",",TRUE,_xlfn.XLOOKUP(_xlfn.TEXTSPLIT(C406,",")*1,_xlfn._TRO_TRAILING(Artists!A:A),_xlfn._TRO_TRAILING(Artists!B:B)))</f>
        <v>Fernand Léger</v>
      </c>
      <c r="E406" t="s">
        <v>1142</v>
      </c>
      <c r="F406" cm="1">
        <f t="array" ref="F406">_xlfn.REGEXEXTRACT(E406,"\d{4}")*1</f>
        <v>1921</v>
      </c>
      <c r="G406" t="s">
        <v>1034</v>
      </c>
      <c r="H406" t="s">
        <v>2346</v>
      </c>
      <c r="I406" t="s">
        <v>878</v>
      </c>
      <c r="J406" t="s">
        <v>879</v>
      </c>
      <c r="K406" s="1">
        <v>15418</v>
      </c>
      <c r="L406" t="s">
        <v>2347</v>
      </c>
      <c r="M406" t="s">
        <v>2348</v>
      </c>
      <c r="N406" t="s">
        <v>6369</v>
      </c>
    </row>
    <row r="407" spans="1:14" x14ac:dyDescent="0.25">
      <c r="A407">
        <v>79083</v>
      </c>
      <c r="B407" t="s">
        <v>2350</v>
      </c>
      <c r="C407">
        <v>3758</v>
      </c>
      <c r="D407" t="str" cm="1">
        <f t="array" ref="D407">_xlfn.TEXTJOIN(",",TRUE,_xlfn.XLOOKUP(_xlfn.TEXTSPLIT(C407,",")*1,_xlfn._TRO_TRAILING(Artists!A:A),_xlfn._TRO_TRAILING(Artists!B:B)))</f>
        <v>Brice Marden</v>
      </c>
      <c r="E407">
        <v>1971</v>
      </c>
      <c r="F407" cm="1">
        <f t="array" ref="F407">_xlfn.REGEXEXTRACT(E407,"\d{4}")*1</f>
        <v>1971</v>
      </c>
      <c r="G407" t="s">
        <v>2351</v>
      </c>
      <c r="H407" t="s">
        <v>2352</v>
      </c>
      <c r="I407" t="s">
        <v>878</v>
      </c>
      <c r="J407" t="s">
        <v>879</v>
      </c>
      <c r="K407" s="1">
        <v>35164</v>
      </c>
      <c r="L407" t="s">
        <v>2353</v>
      </c>
      <c r="M407" t="s">
        <v>2354</v>
      </c>
      <c r="N407" t="s">
        <v>6380</v>
      </c>
    </row>
    <row r="408" spans="1:14" x14ac:dyDescent="0.25">
      <c r="A408">
        <v>79086</v>
      </c>
      <c r="B408" t="s">
        <v>2355</v>
      </c>
      <c r="C408">
        <v>1053</v>
      </c>
      <c r="D408" t="str" cm="1">
        <f t="array" ref="D408">_xlfn.TEXTJOIN(",",TRUE,_xlfn.XLOOKUP(_xlfn.TEXTSPLIT(C408,",")*1,_xlfn._TRO_TRAILING(Artists!A:A),_xlfn._TRO_TRAILING(Artists!B:B)))</f>
        <v>Paul Cézanne</v>
      </c>
      <c r="E408" t="s">
        <v>2356</v>
      </c>
      <c r="F408" cm="1">
        <f t="array" ref="F408">_xlfn.REGEXEXTRACT(E408,"\d{4}")*1</f>
        <v>1888</v>
      </c>
      <c r="G408" t="s">
        <v>1034</v>
      </c>
      <c r="H408" t="s">
        <v>2357</v>
      </c>
      <c r="I408" t="s">
        <v>878</v>
      </c>
      <c r="J408" t="s">
        <v>879</v>
      </c>
      <c r="K408" s="1">
        <v>20372</v>
      </c>
      <c r="L408" t="s">
        <v>2358</v>
      </c>
      <c r="M408" t="s">
        <v>2359</v>
      </c>
      <c r="N408" t="s">
        <v>6367</v>
      </c>
    </row>
    <row r="409" spans="1:14" x14ac:dyDescent="0.25">
      <c r="A409">
        <v>79105</v>
      </c>
      <c r="B409" t="s">
        <v>2361</v>
      </c>
      <c r="C409">
        <v>2206</v>
      </c>
      <c r="D409" t="str" cm="1">
        <f t="array" ref="D409">_xlfn.TEXTJOIN(",",TRUE,_xlfn.XLOOKUP(_xlfn.TEXTSPLIT(C409,",")*1,_xlfn._TRO_TRAILING(Artists!A:A),_xlfn._TRO_TRAILING(Artists!B:B)))</f>
        <v>Vincent van Gogh</v>
      </c>
      <c r="E409" t="s">
        <v>2362</v>
      </c>
      <c r="F409" cm="1">
        <f t="array" ref="F409">_xlfn.REGEXEXTRACT(E409,"\d{4}")*1</f>
        <v>1889</v>
      </c>
      <c r="G409" t="s">
        <v>1034</v>
      </c>
      <c r="H409" t="s">
        <v>2363</v>
      </c>
      <c r="I409" t="s">
        <v>878</v>
      </c>
      <c r="J409" t="s">
        <v>879</v>
      </c>
      <c r="K409" s="1">
        <v>32791</v>
      </c>
      <c r="L409" t="s">
        <v>2364</v>
      </c>
      <c r="M409" t="s">
        <v>2365</v>
      </c>
      <c r="N409" t="s">
        <v>6366</v>
      </c>
    </row>
    <row r="410" spans="1:14" x14ac:dyDescent="0.25">
      <c r="A410">
        <v>79124</v>
      </c>
      <c r="B410" t="s">
        <v>2366</v>
      </c>
      <c r="C410">
        <v>3832</v>
      </c>
      <c r="D410" t="str" cm="1">
        <f t="array" ref="D410">_xlfn.TEXTJOIN(",",TRUE,_xlfn.XLOOKUP(_xlfn.TEXTSPLIT(C410,",")*1,_xlfn._TRO_TRAILING(Artists!A:A),_xlfn._TRO_TRAILING(Artists!B:B)))</f>
        <v>Henri Matisse</v>
      </c>
      <c r="E410" t="s">
        <v>2367</v>
      </c>
      <c r="F410" cm="1">
        <f t="array" ref="F410">_xlfn.REGEXEXTRACT(E410,"\d{4}")*1</f>
        <v>1909</v>
      </c>
      <c r="G410" t="s">
        <v>1034</v>
      </c>
      <c r="H410" t="s">
        <v>2368</v>
      </c>
      <c r="I410" t="s">
        <v>878</v>
      </c>
      <c r="J410" t="s">
        <v>879</v>
      </c>
      <c r="K410" s="1">
        <v>23110</v>
      </c>
      <c r="L410" t="s">
        <v>2369</v>
      </c>
      <c r="M410" t="s">
        <v>2370</v>
      </c>
      <c r="N410" t="s">
        <v>6395</v>
      </c>
    </row>
    <row r="411" spans="1:14" x14ac:dyDescent="0.25">
      <c r="A411">
        <v>79130</v>
      </c>
      <c r="B411" t="s">
        <v>2371</v>
      </c>
      <c r="C411">
        <v>5641</v>
      </c>
      <c r="D411" t="str" cm="1">
        <f t="array" ref="D411">_xlfn.TEXTJOIN(",",TRUE,_xlfn.XLOOKUP(_xlfn.TEXTSPLIT(C411,",")*1,_xlfn._TRO_TRAILING(Artists!A:A),_xlfn._TRO_TRAILING(Artists!B:B)))</f>
        <v>Joseph Stella</v>
      </c>
      <c r="E411" t="s">
        <v>521</v>
      </c>
      <c r="F411" cm="1">
        <f t="array" ref="F411">_xlfn.REGEXEXTRACT(E411,"\d{4}")*1</f>
        <v>1928</v>
      </c>
      <c r="G411" t="s">
        <v>1034</v>
      </c>
      <c r="H411" t="s">
        <v>634</v>
      </c>
      <c r="I411" t="s">
        <v>878</v>
      </c>
      <c r="J411" t="s">
        <v>879</v>
      </c>
      <c r="K411" s="1">
        <v>24209</v>
      </c>
      <c r="L411" t="s">
        <v>2372</v>
      </c>
      <c r="M411" t="s">
        <v>2373</v>
      </c>
      <c r="N411" t="s">
        <v>6375</v>
      </c>
    </row>
    <row r="412" spans="1:14" x14ac:dyDescent="0.25">
      <c r="A412">
        <v>79146</v>
      </c>
      <c r="B412" t="s">
        <v>2374</v>
      </c>
      <c r="C412">
        <v>5454</v>
      </c>
      <c r="D412" t="str" cm="1">
        <f t="array" ref="D412">_xlfn.TEXTJOIN(",",TRUE,_xlfn.XLOOKUP(_xlfn.TEXTSPLIT(C412,",")*1,_xlfn._TRO_TRAILING(Artists!A:A),_xlfn._TRO_TRAILING(Artists!B:B)))</f>
        <v>David Alfaro Siqueiros</v>
      </c>
      <c r="E412">
        <v>1936</v>
      </c>
      <c r="F412" cm="1">
        <f t="array" ref="F412">_xlfn.REGEXEXTRACT(E412,"\d{4}")*1</f>
        <v>1936</v>
      </c>
      <c r="G412" t="s">
        <v>2375</v>
      </c>
      <c r="H412" t="s">
        <v>2376</v>
      </c>
      <c r="I412" t="s">
        <v>878</v>
      </c>
      <c r="J412" t="s">
        <v>879</v>
      </c>
      <c r="K412" s="1">
        <v>13646</v>
      </c>
      <c r="L412" t="s">
        <v>2377</v>
      </c>
      <c r="M412" t="s">
        <v>2378</v>
      </c>
      <c r="N412" t="s">
        <v>6377</v>
      </c>
    </row>
    <row r="413" spans="1:14" x14ac:dyDescent="0.25">
      <c r="A413">
        <v>79174</v>
      </c>
      <c r="B413" t="s">
        <v>2379</v>
      </c>
      <c r="C413">
        <v>1074</v>
      </c>
      <c r="D413" t="str" cm="1">
        <f t="array" ref="D413">_xlfn.TEXTJOIN(",",TRUE,_xlfn.XLOOKUP(_xlfn.TEXTSPLIT(C413,",")*1,_xlfn._TRO_TRAILING(Artists!A:A),_xlfn._TRO_TRAILING(Artists!B:B)))</f>
        <v>Jean Charlot</v>
      </c>
      <c r="E413">
        <v>1924</v>
      </c>
      <c r="F413" cm="1">
        <f t="array" ref="F413">_xlfn.REGEXEXTRACT(E413,"\d{4}")*1</f>
        <v>1924</v>
      </c>
      <c r="G413" t="s">
        <v>1034</v>
      </c>
      <c r="H413" t="s">
        <v>55</v>
      </c>
      <c r="I413" t="s">
        <v>878</v>
      </c>
      <c r="J413" t="s">
        <v>879</v>
      </c>
      <c r="K413" s="1">
        <v>13852</v>
      </c>
      <c r="L413" t="s">
        <v>2380</v>
      </c>
      <c r="M413" t="s">
        <v>2381</v>
      </c>
      <c r="N413" t="s">
        <v>6375</v>
      </c>
    </row>
    <row r="414" spans="1:14" x14ac:dyDescent="0.25">
      <c r="A414">
        <v>79181</v>
      </c>
      <c r="B414" t="s">
        <v>2382</v>
      </c>
      <c r="C414">
        <v>3325</v>
      </c>
      <c r="D414" t="str" cm="1">
        <f t="array" ref="D414">_xlfn.TEXTJOIN(",",TRUE,_xlfn.XLOOKUP(_xlfn.TEXTSPLIT(C414,",")*1,_xlfn._TRO_TRAILING(Artists!A:A),_xlfn._TRO_TRAILING(Artists!B:B)))</f>
        <v>Roger de La Fresnaye</v>
      </c>
      <c r="E414">
        <v>1913</v>
      </c>
      <c r="F414" cm="1">
        <f t="array" ref="F414">_xlfn.REGEXEXTRACT(E414,"\d{4}")*1</f>
        <v>1913</v>
      </c>
      <c r="G414" t="s">
        <v>1034</v>
      </c>
      <c r="H414" t="s">
        <v>2383</v>
      </c>
      <c r="I414" t="s">
        <v>878</v>
      </c>
      <c r="J414" t="s">
        <v>879</v>
      </c>
      <c r="K414" s="1">
        <v>17456</v>
      </c>
      <c r="L414" t="s">
        <v>2384</v>
      </c>
      <c r="M414" t="s">
        <v>2385</v>
      </c>
      <c r="N414" t="s">
        <v>6365</v>
      </c>
    </row>
    <row r="415" spans="1:14" x14ac:dyDescent="0.25">
      <c r="A415">
        <v>79183</v>
      </c>
      <c r="B415" t="s">
        <v>2386</v>
      </c>
      <c r="C415">
        <v>4048</v>
      </c>
      <c r="D415" t="str" cm="1">
        <f t="array" ref="D415">_xlfn.TEXTJOIN(",",TRUE,_xlfn.XLOOKUP(_xlfn.TEXTSPLIT(C415,",")*1,_xlfn._TRO_TRAILING(Artists!A:A),_xlfn._TRO_TRAILING(Artists!B:B)))</f>
        <v>László Moholy-Nagy</v>
      </c>
      <c r="E415">
        <v>1936</v>
      </c>
      <c r="F415" cm="1">
        <f t="array" ref="F415">_xlfn.REGEXEXTRACT(E415,"\d{4}")*1</f>
        <v>1936</v>
      </c>
      <c r="G415" t="s">
        <v>2387</v>
      </c>
      <c r="H415" t="s">
        <v>2388</v>
      </c>
      <c r="I415" t="s">
        <v>878</v>
      </c>
      <c r="J415" t="s">
        <v>879</v>
      </c>
      <c r="K415" s="1">
        <v>17456</v>
      </c>
      <c r="L415" t="s">
        <v>2389</v>
      </c>
      <c r="M415" t="s">
        <v>2390</v>
      </c>
      <c r="N415" t="s">
        <v>6385</v>
      </c>
    </row>
    <row r="416" spans="1:14" x14ac:dyDescent="0.25">
      <c r="A416">
        <v>79187</v>
      </c>
      <c r="B416" t="s">
        <v>2391</v>
      </c>
      <c r="C416">
        <v>3832</v>
      </c>
      <c r="D416" t="str" cm="1">
        <f t="array" ref="D416">_xlfn.TEXTJOIN(",",TRUE,_xlfn.XLOOKUP(_xlfn.TEXTSPLIT(C416,",")*1,_xlfn._TRO_TRAILING(Artists!A:A),_xlfn._TRO_TRAILING(Artists!B:B)))</f>
        <v>Henri Matisse</v>
      </c>
      <c r="E416" t="s">
        <v>2392</v>
      </c>
      <c r="F416" cm="1">
        <f t="array" ref="F416">_xlfn.REGEXEXTRACT(E416,"\d{4}")*1</f>
        <v>1952</v>
      </c>
      <c r="G416" t="s">
        <v>2393</v>
      </c>
      <c r="H416" t="s">
        <v>2394</v>
      </c>
      <c r="I416" t="s">
        <v>878</v>
      </c>
      <c r="J416" t="s">
        <v>879</v>
      </c>
      <c r="K416" s="1">
        <v>24909</v>
      </c>
      <c r="L416" t="s">
        <v>2395</v>
      </c>
      <c r="M416" t="s">
        <v>2396</v>
      </c>
      <c r="N416" t="s">
        <v>6372</v>
      </c>
    </row>
    <row r="417" spans="1:14" x14ac:dyDescent="0.25">
      <c r="A417">
        <v>79211</v>
      </c>
      <c r="B417" t="s">
        <v>2398</v>
      </c>
      <c r="C417">
        <v>5293</v>
      </c>
      <c r="D417" t="str" cm="1">
        <f t="array" ref="D417">_xlfn.TEXTJOIN(",",TRUE,_xlfn.XLOOKUP(_xlfn.TEXTSPLIT(C417,",")*1,_xlfn._TRO_TRAILING(Artists!A:A),_xlfn._TRO_TRAILING(Artists!B:B)))</f>
        <v>Kurt Schwitters</v>
      </c>
      <c r="E417">
        <v>1919</v>
      </c>
      <c r="F417" cm="1">
        <f t="array" ref="F417">_xlfn.REGEXEXTRACT(E417,"\d{4}")*1</f>
        <v>1919</v>
      </c>
      <c r="G417" t="s">
        <v>2399</v>
      </c>
      <c r="H417" t="s">
        <v>2400</v>
      </c>
      <c r="I417" t="s">
        <v>2248</v>
      </c>
      <c r="J417" t="s">
        <v>879</v>
      </c>
      <c r="K417" s="1">
        <v>24936</v>
      </c>
      <c r="L417" t="s">
        <v>2401</v>
      </c>
      <c r="M417" t="s">
        <v>2402</v>
      </c>
      <c r="N417" t="s">
        <v>6385</v>
      </c>
    </row>
    <row r="418" spans="1:14" x14ac:dyDescent="0.25">
      <c r="A418">
        <v>79250</v>
      </c>
      <c r="B418" t="s">
        <v>2404</v>
      </c>
      <c r="C418">
        <v>4285</v>
      </c>
      <c r="D418" t="str" cm="1">
        <f t="array" ref="D418">_xlfn.TEXTJOIN(",",TRUE,_xlfn.XLOOKUP(_xlfn.TEXTSPLIT(C418,",")*1,_xlfn._TRO_TRAILING(Artists!A:A),_xlfn._TRO_TRAILING(Artists!B:B)))</f>
        <v>Barnett Newman</v>
      </c>
      <c r="E418" t="s">
        <v>346</v>
      </c>
      <c r="F418" cm="1">
        <f t="array" ref="F418">_xlfn.REGEXEXTRACT(E418,"\d{4}")*1</f>
        <v>1950</v>
      </c>
      <c r="G418" t="s">
        <v>1034</v>
      </c>
      <c r="H418" t="s">
        <v>2405</v>
      </c>
      <c r="I418" t="s">
        <v>878</v>
      </c>
      <c r="J418" t="s">
        <v>879</v>
      </c>
      <c r="K418" s="1">
        <v>26277</v>
      </c>
      <c r="L418" t="s">
        <v>2406</v>
      </c>
      <c r="M418" t="s">
        <v>2407</v>
      </c>
      <c r="N418" t="s">
        <v>6384</v>
      </c>
    </row>
    <row r="419" spans="1:14" x14ac:dyDescent="0.25">
      <c r="A419">
        <v>79251</v>
      </c>
      <c r="B419" t="s">
        <v>2408</v>
      </c>
      <c r="C419">
        <v>4675</v>
      </c>
      <c r="D419" t="str" cm="1">
        <f t="array" ref="D419">_xlfn.TEXTJOIN(",",TRUE,_xlfn.XLOOKUP(_xlfn.TEXTSPLIT(C419,",")*1,_xlfn._TRO_TRAILING(Artists!A:A),_xlfn._TRO_TRAILING(Artists!B:B)))</f>
        <v>Jackson Pollock</v>
      </c>
      <c r="E419">
        <v>1951</v>
      </c>
      <c r="F419" cm="1">
        <f t="array" ref="F419">_xlfn.REGEXEXTRACT(E419,"\d{4}")*1</f>
        <v>1951</v>
      </c>
      <c r="G419" t="s">
        <v>2409</v>
      </c>
      <c r="H419" t="s">
        <v>2410</v>
      </c>
      <c r="I419" t="s">
        <v>878</v>
      </c>
      <c r="J419" t="s">
        <v>879</v>
      </c>
      <c r="K419" s="1">
        <v>25273</v>
      </c>
      <c r="L419" t="s">
        <v>2411</v>
      </c>
      <c r="M419" t="s">
        <v>2412</v>
      </c>
      <c r="N419" t="s">
        <v>6407</v>
      </c>
    </row>
    <row r="420" spans="1:14" x14ac:dyDescent="0.25">
      <c r="A420">
        <v>79253</v>
      </c>
      <c r="B420" t="s">
        <v>2413</v>
      </c>
      <c r="C420">
        <v>4057</v>
      </c>
      <c r="D420" t="str" cm="1">
        <f t="array" ref="D420">_xlfn.TEXTJOIN(",",TRUE,_xlfn.XLOOKUP(_xlfn.TEXTSPLIT(C420,",")*1,_xlfn._TRO_TRAILING(Artists!A:A),_xlfn._TRO_TRAILING(Artists!B:B)))</f>
        <v>Piet Mondrian</v>
      </c>
      <c r="E420">
        <v>1913</v>
      </c>
      <c r="F420" cm="1">
        <f t="array" ref="F420">_xlfn.REGEXEXTRACT(E420,"\d{4}")*1</f>
        <v>1913</v>
      </c>
      <c r="G420" t="s">
        <v>1034</v>
      </c>
      <c r="H420" t="s">
        <v>2414</v>
      </c>
      <c r="I420" t="s">
        <v>878</v>
      </c>
      <c r="J420" t="s">
        <v>879</v>
      </c>
      <c r="K420" s="1">
        <v>18547</v>
      </c>
      <c r="L420" t="s">
        <v>2415</v>
      </c>
      <c r="M420" t="s">
        <v>2416</v>
      </c>
      <c r="N420" t="s">
        <v>6406</v>
      </c>
    </row>
    <row r="421" spans="1:14" x14ac:dyDescent="0.25">
      <c r="A421">
        <v>79260</v>
      </c>
      <c r="B421" t="s">
        <v>2417</v>
      </c>
      <c r="C421">
        <v>281</v>
      </c>
      <c r="D421" t="str" cm="1">
        <f t="array" ref="D421">_xlfn.TEXTJOIN(",",TRUE,_xlfn.XLOOKUP(_xlfn.TEXTSPLIT(C421,",")*1,_xlfn._TRO_TRAILING(Artists!A:A),_xlfn._TRO_TRAILING(Artists!B:B)))</f>
        <v>Jo Baer</v>
      </c>
      <c r="E421">
        <v>1968</v>
      </c>
      <c r="F421" cm="1">
        <f t="array" ref="F421">_xlfn.REGEXEXTRACT(E421,"\d{4}")*1</f>
        <v>1968</v>
      </c>
      <c r="G421" t="s">
        <v>1034</v>
      </c>
      <c r="H421" t="s">
        <v>2418</v>
      </c>
      <c r="I421" t="s">
        <v>878</v>
      </c>
      <c r="J421" t="s">
        <v>879</v>
      </c>
      <c r="K421" s="1">
        <v>30361</v>
      </c>
      <c r="L421" t="s">
        <v>2419</v>
      </c>
      <c r="M421" t="s">
        <v>2420</v>
      </c>
      <c r="N421" t="s">
        <v>6396</v>
      </c>
    </row>
    <row r="422" spans="1:14" x14ac:dyDescent="0.25">
      <c r="A422">
        <v>79267</v>
      </c>
      <c r="B422" t="s">
        <v>2421</v>
      </c>
      <c r="C422">
        <v>3692</v>
      </c>
      <c r="D422" t="str" cm="1">
        <f t="array" ref="D422">_xlfn.TEXTJOIN(",",TRUE,_xlfn.XLOOKUP(_xlfn.TEXTSPLIT(C422,",")*1,_xlfn._TRO_TRAILING(Artists!A:A),_xlfn._TRO_TRAILING(Artists!B:B)))</f>
        <v>René Magritte</v>
      </c>
      <c r="E422" t="s">
        <v>2422</v>
      </c>
      <c r="F422" cm="1">
        <f t="array" ref="F422">_xlfn.REGEXEXTRACT(E422,"\d{4}")*1</f>
        <v>1927</v>
      </c>
      <c r="G422" t="s">
        <v>1034</v>
      </c>
      <c r="H422" t="s">
        <v>2423</v>
      </c>
      <c r="I422" t="s">
        <v>878</v>
      </c>
      <c r="J422" t="s">
        <v>879</v>
      </c>
      <c r="K422" s="1">
        <v>24209</v>
      </c>
      <c r="L422" t="s">
        <v>2424</v>
      </c>
      <c r="M422" t="s">
        <v>2425</v>
      </c>
      <c r="N422" t="s">
        <v>6386</v>
      </c>
    </row>
    <row r="423" spans="1:14" x14ac:dyDescent="0.25">
      <c r="A423">
        <v>79269</v>
      </c>
      <c r="B423" t="s">
        <v>2426</v>
      </c>
      <c r="C423">
        <v>3710</v>
      </c>
      <c r="D423" t="str" cm="1">
        <f t="array" ref="D423">_xlfn.TEXTJOIN(",",TRUE,_xlfn.XLOOKUP(_xlfn.TEXTSPLIT(C423,",")*1,_xlfn._TRO_TRAILING(Artists!A:A),_xlfn._TRO_TRAILING(Artists!B:B)))</f>
        <v>Kazimir Malevich</v>
      </c>
      <c r="E423" t="s">
        <v>2427</v>
      </c>
      <c r="F423" cm="1">
        <f t="array" ref="F423">_xlfn.REGEXEXTRACT(E423,"\d{4}")*1</f>
        <v>1915</v>
      </c>
      <c r="G423" t="s">
        <v>1034</v>
      </c>
      <c r="H423" t="s">
        <v>2428</v>
      </c>
      <c r="I423" t="s">
        <v>878</v>
      </c>
      <c r="J423" t="s">
        <v>879</v>
      </c>
      <c r="K423" s="1">
        <v>13100</v>
      </c>
      <c r="L423" t="s">
        <v>2429</v>
      </c>
      <c r="M423" t="s">
        <v>2430</v>
      </c>
      <c r="N423" t="s">
        <v>6371</v>
      </c>
    </row>
    <row r="424" spans="1:14" x14ac:dyDescent="0.25">
      <c r="A424">
        <v>79277</v>
      </c>
      <c r="B424" t="s">
        <v>2431</v>
      </c>
      <c r="C424">
        <v>5056</v>
      </c>
      <c r="D424" t="str" cm="1">
        <f t="array" ref="D424">_xlfn.TEXTJOIN(",",TRUE,_xlfn.XLOOKUP(_xlfn.TEXTSPLIT(C424,",")*1,_xlfn._TRO_TRAILING(Artists!A:A),_xlfn._TRO_TRAILING(Artists!B:B)))</f>
        <v>Henri Rousseau</v>
      </c>
      <c r="E424">
        <v>1910</v>
      </c>
      <c r="F424" cm="1">
        <f t="array" ref="F424">_xlfn.REGEXEXTRACT(E424,"\d{4}")*1</f>
        <v>1910</v>
      </c>
      <c r="G424" t="s">
        <v>1034</v>
      </c>
      <c r="H424" t="s">
        <v>2432</v>
      </c>
      <c r="I424" t="s">
        <v>878</v>
      </c>
      <c r="J424" t="s">
        <v>879</v>
      </c>
      <c r="K424" s="1">
        <v>19891</v>
      </c>
      <c r="L424" t="s">
        <v>2433</v>
      </c>
      <c r="M424" t="s">
        <v>2434</v>
      </c>
      <c r="N424" t="s">
        <v>6367</v>
      </c>
    </row>
    <row r="425" spans="1:14" x14ac:dyDescent="0.25">
      <c r="A425">
        <v>79285</v>
      </c>
      <c r="B425" t="s">
        <v>2435</v>
      </c>
      <c r="C425">
        <v>272</v>
      </c>
      <c r="D425" t="str" cm="1">
        <f t="array" ref="D425">_xlfn.TEXTJOIN(",",TRUE,_xlfn.XLOOKUP(_xlfn.TEXTSPLIT(C425,",")*1,_xlfn._TRO_TRAILING(Artists!A:A),_xlfn._TRO_TRAILING(Artists!B:B)))</f>
        <v>Francis Bacon</v>
      </c>
      <c r="E425">
        <v>1953</v>
      </c>
      <c r="F425" cm="1">
        <f t="array" ref="F425">_xlfn.REGEXEXTRACT(E425,"\d{4}")*1</f>
        <v>1953</v>
      </c>
      <c r="G425" t="s">
        <v>1034</v>
      </c>
      <c r="H425" t="s">
        <v>2436</v>
      </c>
      <c r="I425" t="s">
        <v>878</v>
      </c>
      <c r="J425" t="s">
        <v>879</v>
      </c>
      <c r="K425" s="1">
        <v>20737</v>
      </c>
      <c r="L425" t="s">
        <v>2437</v>
      </c>
      <c r="M425" t="s">
        <v>2438</v>
      </c>
      <c r="N425" t="s">
        <v>6377</v>
      </c>
    </row>
    <row r="426" spans="1:14" x14ac:dyDescent="0.25">
      <c r="A426">
        <v>79289</v>
      </c>
      <c r="B426" t="s">
        <v>2439</v>
      </c>
      <c r="C426">
        <v>429</v>
      </c>
      <c r="D426" t="str" cm="1">
        <f t="array" ref="D426">_xlfn.TEXTJOIN(",",TRUE,_xlfn.XLOOKUP(_xlfn.TEXTSPLIT(C426,",")*1,_xlfn._TRO_TRAILING(Artists!A:A),_xlfn._TRO_TRAILING(Artists!B:B)))</f>
        <v>Max Beckmann</v>
      </c>
      <c r="E426" t="s">
        <v>2440</v>
      </c>
      <c r="F426" cm="1">
        <f t="array" ref="F426">_xlfn.REGEXEXTRACT(E426,"\d{4}")*1</f>
        <v>1923</v>
      </c>
      <c r="G426" t="s">
        <v>1034</v>
      </c>
      <c r="H426" t="s">
        <v>2441</v>
      </c>
      <c r="I426" t="s">
        <v>878</v>
      </c>
      <c r="J426" t="s">
        <v>879</v>
      </c>
      <c r="K426" s="1">
        <v>20737</v>
      </c>
      <c r="L426" t="s">
        <v>2442</v>
      </c>
      <c r="M426" t="s">
        <v>2443</v>
      </c>
      <c r="N426" t="s">
        <v>6391</v>
      </c>
    </row>
    <row r="427" spans="1:14" x14ac:dyDescent="0.25">
      <c r="A427">
        <v>79300</v>
      </c>
      <c r="B427" t="s">
        <v>2444</v>
      </c>
      <c r="C427">
        <v>4057</v>
      </c>
      <c r="D427" t="str" cm="1">
        <f t="array" ref="D427">_xlfn.TEXTJOIN(",",TRUE,_xlfn.XLOOKUP(_xlfn.TEXTSPLIT(C427,",")*1,_xlfn._TRO_TRAILING(Artists!A:A),_xlfn._TRO_TRAILING(Artists!B:B)))</f>
        <v>Piet Mondrian</v>
      </c>
      <c r="E427">
        <v>1920</v>
      </c>
      <c r="F427" cm="1">
        <f t="array" ref="F427">_xlfn.REGEXEXTRACT(E427,"\d{4}")*1</f>
        <v>1920</v>
      </c>
      <c r="G427" t="s">
        <v>1034</v>
      </c>
      <c r="H427" t="s">
        <v>2445</v>
      </c>
      <c r="I427" t="s">
        <v>878</v>
      </c>
      <c r="J427" t="s">
        <v>879</v>
      </c>
      <c r="K427" s="1">
        <v>17812</v>
      </c>
      <c r="L427" t="s">
        <v>2446</v>
      </c>
      <c r="M427" t="s">
        <v>2447</v>
      </c>
      <c r="N427" t="s">
        <v>6369</v>
      </c>
    </row>
    <row r="428" spans="1:14" x14ac:dyDescent="0.25">
      <c r="A428">
        <v>79321</v>
      </c>
      <c r="B428" t="s">
        <v>2448</v>
      </c>
      <c r="C428">
        <v>4016</v>
      </c>
      <c r="D428" t="str" cm="1">
        <f t="array" ref="D428">_xlfn.TEXTJOIN(",",TRUE,_xlfn.XLOOKUP(_xlfn.TEXTSPLIT(C428,",")*1,_xlfn._TRO_TRAILING(Artists!A:A),_xlfn._TRO_TRAILING(Artists!B:B)))</f>
        <v>Joan Miró</v>
      </c>
      <c r="E428" t="s">
        <v>2449</v>
      </c>
      <c r="F428" cm="1">
        <f t="array" ref="F428">_xlfn.REGEXEXTRACT(E428,"\d{4}")*1</f>
        <v>1925</v>
      </c>
      <c r="G428" t="s">
        <v>1034</v>
      </c>
      <c r="H428" t="s">
        <v>2450</v>
      </c>
      <c r="I428" t="s">
        <v>878</v>
      </c>
      <c r="J428" t="s">
        <v>879</v>
      </c>
      <c r="K428" s="1">
        <v>26575</v>
      </c>
      <c r="L428" t="s">
        <v>2451</v>
      </c>
      <c r="M428" t="s">
        <v>2452</v>
      </c>
      <c r="N428" t="s">
        <v>6386</v>
      </c>
    </row>
    <row r="429" spans="1:14" x14ac:dyDescent="0.25">
      <c r="A429">
        <v>79333</v>
      </c>
      <c r="B429" t="s">
        <v>2453</v>
      </c>
      <c r="C429">
        <v>5358</v>
      </c>
      <c r="D429" t="str" cm="1">
        <f t="array" ref="D429">_xlfn.TEXTJOIN(",",TRUE,_xlfn.XLOOKUP(_xlfn.TEXTSPLIT(C429,",")*1,_xlfn._TRO_TRAILING(Artists!A:A),_xlfn._TRO_TRAILING(Artists!B:B)))</f>
        <v>Georges-Pierre Seurat</v>
      </c>
      <c r="E429">
        <v>1886</v>
      </c>
      <c r="F429" cm="1">
        <f t="array" ref="F429">_xlfn.REGEXEXTRACT(E429,"\d{4}")*1</f>
        <v>1886</v>
      </c>
      <c r="G429" t="s">
        <v>2454</v>
      </c>
      <c r="H429" t="s">
        <v>2455</v>
      </c>
      <c r="I429" t="s">
        <v>878</v>
      </c>
      <c r="J429" t="s">
        <v>879</v>
      </c>
      <c r="K429" s="1">
        <v>21158</v>
      </c>
      <c r="L429" t="s">
        <v>2456</v>
      </c>
      <c r="M429" t="s">
        <v>2457</v>
      </c>
      <c r="N429" t="s">
        <v>6367</v>
      </c>
    </row>
    <row r="430" spans="1:14" x14ac:dyDescent="0.25">
      <c r="A430">
        <v>79343</v>
      </c>
      <c r="B430" t="s">
        <v>2459</v>
      </c>
      <c r="C430">
        <v>311</v>
      </c>
      <c r="D430" t="str" cm="1">
        <f t="array" ref="D430">_xlfn.TEXTJOIN(",",TRUE,_xlfn.XLOOKUP(_xlfn.TEXTSPLIT(C430,",")*1,_xlfn._TRO_TRAILING(Artists!A:A),_xlfn._TRO_TRAILING(Artists!B:B)))</f>
        <v>Giacomo Balla</v>
      </c>
      <c r="E430">
        <v>1912</v>
      </c>
      <c r="F430" cm="1">
        <f t="array" ref="F430">_xlfn.REGEXEXTRACT(E430,"\d{4}")*1</f>
        <v>1912</v>
      </c>
      <c r="G430" t="s">
        <v>1927</v>
      </c>
      <c r="H430" t="s">
        <v>2460</v>
      </c>
      <c r="I430" t="s">
        <v>878</v>
      </c>
      <c r="J430" t="s">
        <v>879</v>
      </c>
      <c r="K430" s="1">
        <v>18044</v>
      </c>
      <c r="L430" t="s">
        <v>2461</v>
      </c>
      <c r="M430" t="s">
        <v>2462</v>
      </c>
      <c r="N430" t="s">
        <v>6401</v>
      </c>
    </row>
    <row r="431" spans="1:14" x14ac:dyDescent="0.25">
      <c r="A431">
        <v>79354</v>
      </c>
      <c r="B431" t="s">
        <v>2463</v>
      </c>
      <c r="C431">
        <v>3115</v>
      </c>
      <c r="D431" t="str" cm="1">
        <f t="array" ref="D431">_xlfn.TEXTJOIN(",",TRUE,_xlfn.XLOOKUP(_xlfn.TEXTSPLIT(C431,",")*1,_xlfn._TRO_TRAILING(Artists!A:A),_xlfn._TRO_TRAILING(Artists!B:B)))</f>
        <v>Ernst Ludwig Kirchner</v>
      </c>
      <c r="E431">
        <v>1913</v>
      </c>
      <c r="F431" cm="1">
        <f t="array" ref="F431">_xlfn.REGEXEXTRACT(E431,"\d{4}")*1</f>
        <v>1913</v>
      </c>
      <c r="G431" t="s">
        <v>1034</v>
      </c>
      <c r="H431" t="s">
        <v>2464</v>
      </c>
      <c r="I431" t="s">
        <v>878</v>
      </c>
      <c r="J431" t="s">
        <v>879</v>
      </c>
      <c r="K431" s="1">
        <v>14348</v>
      </c>
      <c r="L431" t="s">
        <v>2465</v>
      </c>
      <c r="M431" t="s">
        <v>2466</v>
      </c>
      <c r="N431" t="s">
        <v>6366</v>
      </c>
    </row>
    <row r="432" spans="1:14" x14ac:dyDescent="0.25">
      <c r="A432">
        <v>79371</v>
      </c>
      <c r="B432" t="s">
        <v>2467</v>
      </c>
      <c r="C432">
        <v>5665</v>
      </c>
      <c r="D432" t="str" cm="1">
        <f t="array" ref="D432">_xlfn.TEXTJOIN(",",TRUE,_xlfn.XLOOKUP(_xlfn.TEXTSPLIT(C432,",")*1,_xlfn._TRO_TRAILING(Artists!A:A),_xlfn._TRO_TRAILING(Artists!B:B)))</f>
        <v>Clyfford Still</v>
      </c>
      <c r="E432">
        <v>1951</v>
      </c>
      <c r="F432" cm="1">
        <f t="array" ref="F432">_xlfn.REGEXEXTRACT(E432,"\d{4}")*1</f>
        <v>1951</v>
      </c>
      <c r="G432" t="s">
        <v>1034</v>
      </c>
      <c r="H432" t="s">
        <v>2468</v>
      </c>
      <c r="I432" t="s">
        <v>878</v>
      </c>
      <c r="J432" t="s">
        <v>879</v>
      </c>
      <c r="K432" s="1">
        <v>19997</v>
      </c>
      <c r="L432" t="s">
        <v>2469</v>
      </c>
      <c r="M432" t="s">
        <v>2470</v>
      </c>
      <c r="N432" t="s">
        <v>6400</v>
      </c>
    </row>
    <row r="433" spans="1:14" x14ac:dyDescent="0.25">
      <c r="A433">
        <v>79376</v>
      </c>
      <c r="B433" t="s">
        <v>2471</v>
      </c>
      <c r="C433">
        <v>4609</v>
      </c>
      <c r="D433" t="str" cm="1">
        <f t="array" ref="D433">_xlfn.TEXTJOIN(",",TRUE,_xlfn.XLOOKUP(_xlfn.TEXTSPLIT(C433,",")*1,_xlfn._TRO_TRAILING(Artists!A:A),_xlfn._TRO_TRAILING(Artists!B:B)))</f>
        <v>Pablo Picasso</v>
      </c>
      <c r="E433" t="s">
        <v>2472</v>
      </c>
      <c r="F433" cm="1">
        <f t="array" ref="F433">_xlfn.REGEXEXTRACT(E433,"\d{4}")*1</f>
        <v>1907</v>
      </c>
      <c r="G433" t="s">
        <v>1034</v>
      </c>
      <c r="H433" t="s">
        <v>2473</v>
      </c>
      <c r="I433" t="s">
        <v>878</v>
      </c>
      <c r="J433" t="s">
        <v>879</v>
      </c>
      <c r="K433" s="1">
        <v>30361</v>
      </c>
      <c r="L433" t="s">
        <v>2474</v>
      </c>
      <c r="M433" t="s">
        <v>2475</v>
      </c>
      <c r="N433" t="s">
        <v>6374</v>
      </c>
    </row>
    <row r="434" spans="1:14" x14ac:dyDescent="0.25">
      <c r="A434">
        <v>79388</v>
      </c>
      <c r="B434" t="s">
        <v>823</v>
      </c>
      <c r="C434">
        <v>5907</v>
      </c>
      <c r="D434" t="str" cm="1">
        <f t="array" ref="D434">_xlfn.TEXTJOIN(",",TRUE,_xlfn.XLOOKUP(_xlfn.TEXTSPLIT(C434,",")*1,_xlfn._TRO_TRAILING(Artists!A:A),_xlfn._TRO_TRAILING(Artists!B:B)))</f>
        <v>Joaquín Torres-García</v>
      </c>
      <c r="E434">
        <v>1931</v>
      </c>
      <c r="F434" cm="1">
        <f t="array" ref="F434">_xlfn.REGEXEXTRACT(E434,"\d{4}")*1</f>
        <v>1931</v>
      </c>
      <c r="G434" t="s">
        <v>1034</v>
      </c>
      <c r="H434" t="s">
        <v>2476</v>
      </c>
      <c r="I434" t="s">
        <v>878</v>
      </c>
      <c r="J434" t="s">
        <v>879</v>
      </c>
      <c r="K434" s="1">
        <v>20737</v>
      </c>
      <c r="L434" t="s">
        <v>2477</v>
      </c>
      <c r="M434" t="s">
        <v>2478</v>
      </c>
      <c r="N434" t="s">
        <v>6399</v>
      </c>
    </row>
    <row r="435" spans="1:14" x14ac:dyDescent="0.25">
      <c r="A435">
        <v>79415</v>
      </c>
      <c r="B435" t="s">
        <v>2479</v>
      </c>
      <c r="C435">
        <v>2812</v>
      </c>
      <c r="D435" t="str" cm="1">
        <f t="array" ref="D435">_xlfn.TEXTJOIN(",",TRUE,_xlfn.XLOOKUP(_xlfn.TEXTSPLIT(C435,",")*1,_xlfn._TRO_TRAILING(Artists!A:A),_xlfn._TRO_TRAILING(Artists!B:B)))</f>
        <v>Robert Indiana</v>
      </c>
      <c r="E435">
        <v>1961</v>
      </c>
      <c r="F435" cm="1">
        <f t="array" ref="F435">_xlfn.REGEXEXTRACT(E435,"\d{4}")*1</f>
        <v>1961</v>
      </c>
      <c r="G435" t="s">
        <v>1034</v>
      </c>
      <c r="H435" t="s">
        <v>2480</v>
      </c>
      <c r="I435" t="s">
        <v>878</v>
      </c>
      <c r="J435" t="s">
        <v>879</v>
      </c>
      <c r="K435" s="1">
        <v>22564</v>
      </c>
      <c r="L435" t="s">
        <v>2481</v>
      </c>
      <c r="M435" t="s">
        <v>2482</v>
      </c>
      <c r="N435" t="s">
        <v>6363</v>
      </c>
    </row>
    <row r="436" spans="1:14" x14ac:dyDescent="0.25">
      <c r="A436">
        <v>79419</v>
      </c>
      <c r="B436" t="s">
        <v>2483</v>
      </c>
      <c r="C436">
        <v>5360</v>
      </c>
      <c r="D436" t="str" cm="1">
        <f t="array" ref="D436">_xlfn.TEXTJOIN(",",TRUE,_xlfn.XLOOKUP(_xlfn.TEXTSPLIT(C436,",")*1,_xlfn._TRO_TRAILING(Artists!A:A),_xlfn._TRO_TRAILING(Artists!B:B)))</f>
        <v>Gino Severini</v>
      </c>
      <c r="E436">
        <v>1912</v>
      </c>
      <c r="F436" cm="1">
        <f t="array" ref="F436">_xlfn.REGEXEXTRACT(E436,"\d{4}")*1</f>
        <v>1912</v>
      </c>
      <c r="G436" t="s">
        <v>2484</v>
      </c>
      <c r="H436" t="s">
        <v>2485</v>
      </c>
      <c r="I436" t="s">
        <v>878</v>
      </c>
      <c r="J436" t="s">
        <v>879</v>
      </c>
      <c r="K436" s="1">
        <v>18044</v>
      </c>
      <c r="L436" t="s">
        <v>2486</v>
      </c>
      <c r="M436" t="s">
        <v>2487</v>
      </c>
      <c r="N436" t="s">
        <v>6401</v>
      </c>
    </row>
    <row r="437" spans="1:14" x14ac:dyDescent="0.25">
      <c r="A437">
        <v>79443</v>
      </c>
      <c r="B437" t="s">
        <v>2489</v>
      </c>
      <c r="C437">
        <v>6194</v>
      </c>
      <c r="D437" t="str" cm="1">
        <f t="array" ref="D437">_xlfn.TEXTJOIN(",",TRUE,_xlfn.XLOOKUP(_xlfn.TEXTSPLIT(C437,",")*1,_xlfn._TRO_TRAILING(Artists!A:A),_xlfn._TRO_TRAILING(Artists!B:B)))</f>
        <v>Édouard Vuillard</v>
      </c>
      <c r="E437" t="s">
        <v>613</v>
      </c>
      <c r="F437" cm="1">
        <f t="array" ref="F437">_xlfn.REGEXEXTRACT(E437,"\d{4}")*1</f>
        <v>1895</v>
      </c>
      <c r="G437" t="s">
        <v>1034</v>
      </c>
      <c r="H437" t="s">
        <v>2490</v>
      </c>
      <c r="I437" t="s">
        <v>878</v>
      </c>
      <c r="J437" t="s">
        <v>879</v>
      </c>
      <c r="K437" s="1">
        <v>30361</v>
      </c>
      <c r="L437" t="s">
        <v>2491</v>
      </c>
      <c r="M437" t="s">
        <v>2492</v>
      </c>
      <c r="N437" t="s">
        <v>6367</v>
      </c>
    </row>
    <row r="438" spans="1:14" x14ac:dyDescent="0.25">
      <c r="A438">
        <v>79462</v>
      </c>
      <c r="B438" t="s">
        <v>2493</v>
      </c>
      <c r="C438">
        <v>3832</v>
      </c>
      <c r="D438" t="str" cm="1">
        <f t="array" ref="D438">_xlfn.TEXTJOIN(",",TRUE,_xlfn.XLOOKUP(_xlfn.TEXTSPLIT(C438,",")*1,_xlfn._TRO_TRAILING(Artists!A:A),_xlfn._TRO_TRAILING(Artists!B:B)))</f>
        <v>Henri Matisse</v>
      </c>
      <c r="E438" t="s">
        <v>2494</v>
      </c>
      <c r="F438" cm="1">
        <f t="array" ref="F438">_xlfn.REGEXEXTRACT(E438,"\d{4}")*1</f>
        <v>1952</v>
      </c>
      <c r="G438" t="s">
        <v>2495</v>
      </c>
      <c r="H438" t="s">
        <v>2496</v>
      </c>
      <c r="I438" t="s">
        <v>878</v>
      </c>
      <c r="J438" t="s">
        <v>879</v>
      </c>
      <c r="K438" s="1">
        <v>27674</v>
      </c>
      <c r="L438" t="s">
        <v>2497</v>
      </c>
      <c r="M438" t="s">
        <v>2498</v>
      </c>
      <c r="N438" t="s">
        <v>6372</v>
      </c>
    </row>
    <row r="439" spans="1:14" x14ac:dyDescent="0.25">
      <c r="A439">
        <v>79474</v>
      </c>
      <c r="B439" t="s">
        <v>2500</v>
      </c>
      <c r="C439">
        <v>2252</v>
      </c>
      <c r="D439" t="str" cm="1">
        <f t="array" ref="D439">_xlfn.TEXTJOIN(",",TRUE,_xlfn.XLOOKUP(_xlfn.TEXTSPLIT(C439,",")*1,_xlfn._TRO_TRAILING(Artists!A:A),_xlfn._TRO_TRAILING(Artists!B:B)))</f>
        <v>Arshile Gorky</v>
      </c>
      <c r="E439">
        <v>1941</v>
      </c>
      <c r="F439" cm="1">
        <f t="array" ref="F439">_xlfn.REGEXEXTRACT(E439,"\d{4}")*1</f>
        <v>1941</v>
      </c>
      <c r="G439" t="s">
        <v>1034</v>
      </c>
      <c r="H439" t="s">
        <v>2501</v>
      </c>
      <c r="I439" t="s">
        <v>878</v>
      </c>
      <c r="J439" t="s">
        <v>879</v>
      </c>
      <c r="K439" s="1">
        <v>15523</v>
      </c>
      <c r="L439" t="s">
        <v>2502</v>
      </c>
      <c r="M439" t="s">
        <v>2503</v>
      </c>
      <c r="N439" t="s">
        <v>6405</v>
      </c>
    </row>
    <row r="440" spans="1:14" x14ac:dyDescent="0.25">
      <c r="A440">
        <v>79487</v>
      </c>
      <c r="B440" t="s">
        <v>2505</v>
      </c>
      <c r="C440">
        <v>1479</v>
      </c>
      <c r="D440" t="str" cm="1">
        <f t="array" ref="D440">_xlfn.TEXTJOIN(",",TRUE,_xlfn.XLOOKUP(_xlfn.TEXTSPLIT(C440,",")*1,_xlfn._TRO_TRAILING(Artists!A:A),_xlfn._TRO_TRAILING(Artists!B:B)))</f>
        <v>Robert Delaunay</v>
      </c>
      <c r="E440">
        <v>1912</v>
      </c>
      <c r="F440" cm="1">
        <f t="array" ref="F440">_xlfn.REGEXEXTRACT(E440,"\d{4}")*1</f>
        <v>1912</v>
      </c>
      <c r="G440" t="s">
        <v>1034</v>
      </c>
      <c r="H440" t="s">
        <v>2506</v>
      </c>
      <c r="I440" t="s">
        <v>878</v>
      </c>
      <c r="J440" t="s">
        <v>879</v>
      </c>
      <c r="K440" s="1">
        <v>31345</v>
      </c>
      <c r="L440" t="s">
        <v>2507</v>
      </c>
      <c r="M440" t="s">
        <v>2508</v>
      </c>
      <c r="N440" t="s">
        <v>6401</v>
      </c>
    </row>
    <row r="441" spans="1:14" x14ac:dyDescent="0.25">
      <c r="A441">
        <v>79492</v>
      </c>
      <c r="B441" t="s">
        <v>2509</v>
      </c>
      <c r="C441">
        <v>2252</v>
      </c>
      <c r="D441" t="str" cm="1">
        <f t="array" ref="D441">_xlfn.TEXTJOIN(",",TRUE,_xlfn.XLOOKUP(_xlfn.TEXTSPLIT(C441,",")*1,_xlfn._TRO_TRAILING(Artists!A:A),_xlfn._TRO_TRAILING(Artists!B:B)))</f>
        <v>Arshile Gorky</v>
      </c>
      <c r="E441">
        <v>1945</v>
      </c>
      <c r="F441" cm="1">
        <f t="array" ref="F441">_xlfn.REGEXEXTRACT(E441,"\d{4}")*1</f>
        <v>1945</v>
      </c>
      <c r="G441" t="s">
        <v>1034</v>
      </c>
      <c r="H441" t="s">
        <v>2510</v>
      </c>
      <c r="I441" t="s">
        <v>878</v>
      </c>
      <c r="J441" t="s">
        <v>879</v>
      </c>
      <c r="K441" s="1">
        <v>31345</v>
      </c>
      <c r="L441" t="s">
        <v>2511</v>
      </c>
      <c r="M441" t="s">
        <v>2512</v>
      </c>
      <c r="N441" t="s">
        <v>6405</v>
      </c>
    </row>
    <row r="442" spans="1:14" x14ac:dyDescent="0.25">
      <c r="A442">
        <v>79495</v>
      </c>
      <c r="B442" t="s">
        <v>2513</v>
      </c>
      <c r="C442">
        <v>3832</v>
      </c>
      <c r="D442" t="str" cm="1">
        <f t="array" ref="D442">_xlfn.TEXTJOIN(",",TRUE,_xlfn.XLOOKUP(_xlfn.TEXTSPLIT(C442,",")*1,_xlfn._TRO_TRAILING(Artists!A:A),_xlfn._TRO_TRAILING(Artists!B:B)))</f>
        <v>Henri Matisse</v>
      </c>
      <c r="E442" t="s">
        <v>2514</v>
      </c>
      <c r="F442" cm="1">
        <f t="array" ref="F442">_xlfn.REGEXEXTRACT(E442,"\d{4}")*1</f>
        <v>1912</v>
      </c>
      <c r="G442" t="s">
        <v>2515</v>
      </c>
      <c r="H442" t="s">
        <v>2516</v>
      </c>
      <c r="I442" t="s">
        <v>878</v>
      </c>
      <c r="J442" t="s">
        <v>879</v>
      </c>
      <c r="K442" s="1">
        <v>31345</v>
      </c>
      <c r="L442" t="s">
        <v>2517</v>
      </c>
      <c r="M442" t="s">
        <v>2518</v>
      </c>
      <c r="N442" t="s">
        <v>6395</v>
      </c>
    </row>
    <row r="443" spans="1:14" x14ac:dyDescent="0.25">
      <c r="A443">
        <v>79508</v>
      </c>
      <c r="B443" t="s">
        <v>2519</v>
      </c>
      <c r="C443">
        <v>3663</v>
      </c>
      <c r="D443" t="str" cm="1">
        <f t="array" ref="D443">_xlfn.TEXTJOIN(",",TRUE,_xlfn.XLOOKUP(_xlfn.TEXTSPLIT(C443,",")*1,_xlfn._TRO_TRAILING(Artists!A:A),_xlfn._TRO_TRAILING(Artists!B:B)))</f>
        <v>Stanton Macdonald-Wright</v>
      </c>
      <c r="E443">
        <v>1913</v>
      </c>
      <c r="F443" cm="1">
        <f t="array" ref="F443">_xlfn.REGEXEXTRACT(E443,"\d{4}")*1</f>
        <v>1913</v>
      </c>
      <c r="G443" t="s">
        <v>1034</v>
      </c>
      <c r="H443" t="s">
        <v>20</v>
      </c>
      <c r="I443" t="s">
        <v>878</v>
      </c>
      <c r="J443" t="s">
        <v>879</v>
      </c>
      <c r="K443" s="1">
        <v>18170</v>
      </c>
      <c r="L443" t="s">
        <v>2520</v>
      </c>
      <c r="M443" t="s">
        <v>2521</v>
      </c>
      <c r="N443" t="s">
        <v>6401</v>
      </c>
    </row>
    <row r="444" spans="1:14" x14ac:dyDescent="0.25">
      <c r="A444">
        <v>79523</v>
      </c>
      <c r="B444" t="s">
        <v>823</v>
      </c>
      <c r="C444">
        <v>3832</v>
      </c>
      <c r="D444" t="str" cm="1">
        <f t="array" ref="D444">_xlfn.TEXTJOIN(",",TRUE,_xlfn.XLOOKUP(_xlfn.TEXTSPLIT(C444,",")*1,_xlfn._TRO_TRAILING(Artists!A:A),_xlfn._TRO_TRAILING(Artists!B:B)))</f>
        <v>Henri Matisse</v>
      </c>
      <c r="E444" t="s">
        <v>2522</v>
      </c>
      <c r="F444" cm="1">
        <f t="array" ref="F444">_xlfn.REGEXEXTRACT(E444,"\d{4}")*1</f>
        <v>1915</v>
      </c>
      <c r="G444" t="s">
        <v>1034</v>
      </c>
      <c r="H444" t="s">
        <v>2523</v>
      </c>
      <c r="I444" t="s">
        <v>878</v>
      </c>
      <c r="J444" t="s">
        <v>879</v>
      </c>
      <c r="K444" s="1">
        <v>35709</v>
      </c>
      <c r="L444" t="s">
        <v>2524</v>
      </c>
      <c r="M444" t="s">
        <v>2525</v>
      </c>
      <c r="N444" t="s">
        <v>6395</v>
      </c>
    </row>
    <row r="445" spans="1:14" x14ac:dyDescent="0.25">
      <c r="A445">
        <v>79551</v>
      </c>
      <c r="B445" t="s">
        <v>2526</v>
      </c>
      <c r="C445">
        <v>4609</v>
      </c>
      <c r="D445" t="str" cm="1">
        <f t="array" ref="D445">_xlfn.TEXTJOIN(",",TRUE,_xlfn.XLOOKUP(_xlfn.TEXTSPLIT(C445,",")*1,_xlfn._TRO_TRAILING(Artists!A:A),_xlfn._TRO_TRAILING(Artists!B:B)))</f>
        <v>Pablo Picasso</v>
      </c>
      <c r="E445" t="s">
        <v>2527</v>
      </c>
      <c r="F445" cm="1">
        <f t="array" ref="F445">_xlfn.REGEXEXTRACT(E445,"\d{4}")*1</f>
        <v>1907</v>
      </c>
      <c r="G445" t="s">
        <v>1034</v>
      </c>
      <c r="H445" t="s">
        <v>2528</v>
      </c>
      <c r="I445" t="s">
        <v>878</v>
      </c>
      <c r="J445" t="s">
        <v>879</v>
      </c>
      <c r="K445" s="1">
        <v>33581</v>
      </c>
      <c r="L445" t="s">
        <v>2529</v>
      </c>
      <c r="M445" t="s">
        <v>2530</v>
      </c>
      <c r="N445" t="s">
        <v>6374</v>
      </c>
    </row>
    <row r="446" spans="1:14" x14ac:dyDescent="0.25">
      <c r="A446">
        <v>79586</v>
      </c>
      <c r="B446" t="s">
        <v>2531</v>
      </c>
      <c r="C446">
        <v>4026</v>
      </c>
      <c r="D446" t="str" cm="1">
        <f t="array" ref="D446">_xlfn.TEXTJOIN(",",TRUE,_xlfn.XLOOKUP(_xlfn.TEXTSPLIT(C446,",")*1,_xlfn._TRO_TRAILING(Artists!A:A),_xlfn._TRO_TRAILING(Artists!B:B)))</f>
        <v>Joan Mitchell</v>
      </c>
      <c r="E446">
        <v>1957</v>
      </c>
      <c r="F446" cm="1">
        <f t="array" ref="F446">_xlfn.REGEXEXTRACT(E446,"\d{4}")*1</f>
        <v>1957</v>
      </c>
      <c r="G446" t="s">
        <v>1034</v>
      </c>
      <c r="H446" t="s">
        <v>2532</v>
      </c>
      <c r="I446" t="s">
        <v>878</v>
      </c>
      <c r="J446" t="s">
        <v>879</v>
      </c>
      <c r="K446" s="1">
        <v>22628</v>
      </c>
      <c r="L446" t="s">
        <v>2533</v>
      </c>
      <c r="M446" t="s">
        <v>2534</v>
      </c>
      <c r="N446" t="s">
        <v>6408</v>
      </c>
    </row>
    <row r="447" spans="1:14" x14ac:dyDescent="0.25">
      <c r="A447">
        <v>79588</v>
      </c>
      <c r="B447" t="s">
        <v>2535</v>
      </c>
      <c r="C447">
        <v>3832</v>
      </c>
      <c r="D447" t="str" cm="1">
        <f t="array" ref="D447">_xlfn.TEXTJOIN(",",TRUE,_xlfn.XLOOKUP(_xlfn.TEXTSPLIT(C447,",")*1,_xlfn._TRO_TRAILING(Artists!A:A),_xlfn._TRO_TRAILING(Artists!B:B)))</f>
        <v>Henri Matisse</v>
      </c>
      <c r="E447" t="s">
        <v>2536</v>
      </c>
      <c r="F447" cm="1">
        <f t="array" ref="F447">_xlfn.REGEXEXTRACT(E447,"\d{4}")*1</f>
        <v>1915</v>
      </c>
      <c r="G447" t="s">
        <v>1034</v>
      </c>
      <c r="H447" t="s">
        <v>2537</v>
      </c>
      <c r="I447" t="s">
        <v>878</v>
      </c>
      <c r="J447" t="s">
        <v>879</v>
      </c>
      <c r="K447" s="1">
        <v>20259</v>
      </c>
      <c r="L447" t="s">
        <v>2538</v>
      </c>
      <c r="M447" t="s">
        <v>2539</v>
      </c>
      <c r="N447" t="s">
        <v>6395</v>
      </c>
    </row>
    <row r="448" spans="1:14" x14ac:dyDescent="0.25">
      <c r="A448">
        <v>79590</v>
      </c>
      <c r="B448" t="s">
        <v>2540</v>
      </c>
      <c r="C448">
        <v>287</v>
      </c>
      <c r="D448" t="str" cm="1">
        <f t="array" ref="D448">_xlfn.TEXTJOIN(",",TRUE,_xlfn.XLOOKUP(_xlfn.TEXTSPLIT(C448,",")*1,_xlfn._TRO_TRAILING(Artists!A:A),_xlfn._TRO_TRAILING(Artists!B:B)))</f>
        <v>Malcolm Bailey</v>
      </c>
      <c r="E448">
        <v>1969</v>
      </c>
      <c r="F448" cm="1">
        <f t="array" ref="F448">_xlfn.REGEXEXTRACT(E448,"\d{4}")*1</f>
        <v>1969</v>
      </c>
      <c r="G448" t="s">
        <v>2541</v>
      </c>
      <c r="H448" t="s">
        <v>2542</v>
      </c>
      <c r="I448" t="s">
        <v>878</v>
      </c>
      <c r="J448" t="s">
        <v>879</v>
      </c>
      <c r="K448" s="1">
        <v>25855</v>
      </c>
      <c r="L448" t="s">
        <v>2543</v>
      </c>
      <c r="M448" t="s">
        <v>2544</v>
      </c>
      <c r="N448" t="s">
        <v>6360</v>
      </c>
    </row>
    <row r="449" spans="1:14" x14ac:dyDescent="0.25">
      <c r="A449">
        <v>79611</v>
      </c>
      <c r="B449" t="s">
        <v>51</v>
      </c>
      <c r="C449">
        <v>5047</v>
      </c>
      <c r="D449" t="str" cm="1">
        <f t="array" ref="D449">_xlfn.TEXTJOIN(",",TRUE,_xlfn.XLOOKUP(_xlfn.TEXTSPLIT(C449,",")*1,_xlfn._TRO_TRAILING(Artists!A:A),_xlfn._TRO_TRAILING(Artists!B:B)))</f>
        <v>Mark Rothko</v>
      </c>
      <c r="E449" t="s">
        <v>492</v>
      </c>
      <c r="F449" cm="1">
        <f t="array" ref="F449">_xlfn.REGEXEXTRACT(E449,"\d{4}")*1</f>
        <v>1969</v>
      </c>
      <c r="G449" t="s">
        <v>2163</v>
      </c>
      <c r="H449" t="s">
        <v>2545</v>
      </c>
      <c r="I449" t="s">
        <v>878</v>
      </c>
      <c r="J449" t="s">
        <v>879</v>
      </c>
      <c r="K449" s="1">
        <v>31754</v>
      </c>
      <c r="L449" t="s">
        <v>2546</v>
      </c>
      <c r="M449" t="s">
        <v>2547</v>
      </c>
      <c r="N449" t="s">
        <v>6403</v>
      </c>
    </row>
    <row r="450" spans="1:14" x14ac:dyDescent="0.25">
      <c r="A450">
        <v>79630</v>
      </c>
      <c r="B450" t="s">
        <v>833</v>
      </c>
      <c r="C450">
        <v>3947</v>
      </c>
      <c r="D450" t="str" cm="1">
        <f t="array" ref="D450">_xlfn.TEXTJOIN(",",TRUE,_xlfn.XLOOKUP(_xlfn.TEXTSPLIT(C450,",")*1,_xlfn._TRO_TRAILING(Artists!A:A),_xlfn._TRO_TRAILING(Artists!B:B)))</f>
        <v>Jean Metzinger</v>
      </c>
      <c r="E450" t="s">
        <v>2548</v>
      </c>
      <c r="F450" cm="1">
        <f t="array" ref="F450">_xlfn.REGEXEXTRACT(E450,"\d{4}")*1</f>
        <v>1912</v>
      </c>
      <c r="G450" t="s">
        <v>1034</v>
      </c>
      <c r="H450" t="s">
        <v>2549</v>
      </c>
      <c r="I450" t="s">
        <v>878</v>
      </c>
      <c r="J450" t="s">
        <v>879</v>
      </c>
      <c r="K450" s="1">
        <v>15055</v>
      </c>
      <c r="L450" t="s">
        <v>2550</v>
      </c>
      <c r="M450" t="s">
        <v>2551</v>
      </c>
      <c r="N450" t="s">
        <v>6401</v>
      </c>
    </row>
    <row r="451" spans="1:14" x14ac:dyDescent="0.25">
      <c r="A451">
        <v>79633</v>
      </c>
      <c r="B451" t="s">
        <v>2552</v>
      </c>
      <c r="C451">
        <v>4942</v>
      </c>
      <c r="D451" t="str" cm="1">
        <f t="array" ref="D451">_xlfn.TEXTJOIN(",",TRUE,_xlfn.XLOOKUP(_xlfn.TEXTSPLIT(C451,",")*1,_xlfn._TRO_TRAILING(Artists!A:A),_xlfn._TRO_TRAILING(Artists!B:B)))</f>
        <v>Diego Rivera</v>
      </c>
      <c r="E451" t="s">
        <v>2553</v>
      </c>
      <c r="F451" cm="1">
        <f t="array" ref="F451">_xlfn.REGEXEXTRACT(E451,"\d{4}")*1</f>
        <v>1914</v>
      </c>
      <c r="G451" t="s">
        <v>1034</v>
      </c>
      <c r="H451" t="s">
        <v>2554</v>
      </c>
      <c r="I451" t="s">
        <v>878</v>
      </c>
      <c r="J451" t="s">
        <v>879</v>
      </c>
      <c r="K451" s="1">
        <v>15055</v>
      </c>
      <c r="L451" t="s">
        <v>2555</v>
      </c>
      <c r="M451" t="s">
        <v>2556</v>
      </c>
      <c r="N451" t="s">
        <v>6401</v>
      </c>
    </row>
    <row r="452" spans="1:14" x14ac:dyDescent="0.25">
      <c r="A452">
        <v>79658</v>
      </c>
      <c r="B452" t="s">
        <v>2558</v>
      </c>
      <c r="C452">
        <v>3832</v>
      </c>
      <c r="D452" t="str" cm="1">
        <f t="array" ref="D452">_xlfn.TEXTJOIN(",",TRUE,_xlfn.XLOOKUP(_xlfn.TEXTSPLIT(C452,",")*1,_xlfn._TRO_TRAILING(Artists!A:A),_xlfn._TRO_TRAILING(Artists!B:B)))</f>
        <v>Henri Matisse</v>
      </c>
      <c r="E452" t="s">
        <v>2559</v>
      </c>
      <c r="F452" cm="1">
        <f t="array" ref="F452">_xlfn.REGEXEXTRACT(E452,"\d{4}")*1</f>
        <v>1952</v>
      </c>
      <c r="G452" t="s">
        <v>2560</v>
      </c>
      <c r="H452" t="s">
        <v>2561</v>
      </c>
      <c r="I452" t="s">
        <v>878</v>
      </c>
      <c r="J452" t="s">
        <v>879</v>
      </c>
      <c r="K452" s="1">
        <v>19532</v>
      </c>
      <c r="L452" t="s">
        <v>2562</v>
      </c>
      <c r="M452" t="s">
        <v>2563</v>
      </c>
      <c r="N452" t="s">
        <v>6372</v>
      </c>
    </row>
    <row r="453" spans="1:14" x14ac:dyDescent="0.25">
      <c r="A453">
        <v>79665</v>
      </c>
      <c r="B453" t="s">
        <v>2564</v>
      </c>
      <c r="C453">
        <v>3542</v>
      </c>
      <c r="D453" t="str" cm="1">
        <f t="array" ref="D453">_xlfn.TEXTJOIN(",",TRUE,_xlfn.XLOOKUP(_xlfn.TEXTSPLIT(C453,",")*1,_xlfn._TRO_TRAILING(Artists!A:A),_xlfn._TRO_TRAILING(Artists!B:B)))</f>
        <v>Roy Lichtenstein</v>
      </c>
      <c r="E453">
        <v>1961</v>
      </c>
      <c r="F453" cm="1">
        <f t="array" ref="F453">_xlfn.REGEXEXTRACT(E453,"\d{4}")*1</f>
        <v>1961</v>
      </c>
      <c r="G453" t="s">
        <v>1034</v>
      </c>
      <c r="H453" t="s">
        <v>2565</v>
      </c>
      <c r="I453" t="s">
        <v>878</v>
      </c>
      <c r="J453" t="s">
        <v>879</v>
      </c>
      <c r="K453" s="1">
        <v>29907</v>
      </c>
      <c r="L453" t="s">
        <v>2566</v>
      </c>
      <c r="M453" t="s">
        <v>2567</v>
      </c>
      <c r="N453" t="s">
        <v>6394</v>
      </c>
    </row>
    <row r="454" spans="1:14" x14ac:dyDescent="0.25">
      <c r="A454">
        <v>79687</v>
      </c>
      <c r="B454" t="s">
        <v>2568</v>
      </c>
      <c r="C454">
        <v>5047</v>
      </c>
      <c r="D454" t="str" cm="1">
        <f t="array" ref="D454">_xlfn.TEXTJOIN(",",TRUE,_xlfn.XLOOKUP(_xlfn.TEXTSPLIT(C454,",")*1,_xlfn._TRO_TRAILING(Artists!A:A),_xlfn._TRO_TRAILING(Artists!B:B)))</f>
        <v>Mark Rothko</v>
      </c>
      <c r="E454">
        <v>1949</v>
      </c>
      <c r="F454" cm="1">
        <f t="array" ref="F454">_xlfn.REGEXEXTRACT(E454,"\d{4}")*1</f>
        <v>1949</v>
      </c>
      <c r="G454" t="s">
        <v>1034</v>
      </c>
      <c r="H454" t="s">
        <v>2569</v>
      </c>
      <c r="I454" t="s">
        <v>878</v>
      </c>
      <c r="J454" t="s">
        <v>879</v>
      </c>
      <c r="K454" s="1">
        <v>29907</v>
      </c>
      <c r="L454" t="s">
        <v>2570</v>
      </c>
      <c r="M454" t="s">
        <v>2571</v>
      </c>
      <c r="N454" t="s">
        <v>6403</v>
      </c>
    </row>
    <row r="455" spans="1:14" x14ac:dyDescent="0.25">
      <c r="A455">
        <v>79709</v>
      </c>
      <c r="B455" t="s">
        <v>51</v>
      </c>
      <c r="C455">
        <v>4823</v>
      </c>
      <c r="D455" t="str" cm="1">
        <f t="array" ref="D455">_xlfn.TEXTJOIN(",",TRUE,_xlfn.XLOOKUP(_xlfn.TEXTSPLIT(C455,",")*1,_xlfn._TRO_TRAILING(Artists!A:A),_xlfn._TRO_TRAILING(Artists!B:B)))</f>
        <v>Robert Rauschenberg</v>
      </c>
      <c r="E455" t="s">
        <v>119</v>
      </c>
      <c r="F455" cm="1">
        <f t="array" ref="F455">_xlfn.REGEXEXTRACT(E455,"\d{4}")*1</f>
        <v>1953</v>
      </c>
      <c r="G455" t="s">
        <v>2572</v>
      </c>
      <c r="H455" t="s">
        <v>2573</v>
      </c>
      <c r="I455" t="s">
        <v>878</v>
      </c>
      <c r="J455" t="s">
        <v>879</v>
      </c>
      <c r="K455" s="1">
        <v>27327</v>
      </c>
      <c r="L455" t="s">
        <v>2574</v>
      </c>
      <c r="M455" t="s">
        <v>2575</v>
      </c>
      <c r="N455" t="s">
        <v>6407</v>
      </c>
    </row>
    <row r="456" spans="1:14" x14ac:dyDescent="0.25">
      <c r="A456">
        <v>79710</v>
      </c>
      <c r="B456" t="s">
        <v>2576</v>
      </c>
      <c r="C456">
        <v>4026</v>
      </c>
      <c r="D456" t="str" cm="1">
        <f t="array" ref="D456">_xlfn.TEXTJOIN(",",TRUE,_xlfn.XLOOKUP(_xlfn.TEXTSPLIT(C456,",")*1,_xlfn._TRO_TRAILING(Artists!A:A),_xlfn._TRO_TRAILING(Artists!B:B)))</f>
        <v>Joan Mitchell</v>
      </c>
      <c r="E456" t="s">
        <v>1339</v>
      </c>
      <c r="F456" cm="1">
        <f t="array" ref="F456">_xlfn.REGEXEXTRACT(E456,"\d{4}")*1</f>
        <v>1961</v>
      </c>
      <c r="G456" t="s">
        <v>1034</v>
      </c>
      <c r="H456" t="s">
        <v>2577</v>
      </c>
      <c r="I456" t="s">
        <v>878</v>
      </c>
      <c r="J456" t="s">
        <v>879</v>
      </c>
      <c r="K456" s="1">
        <v>34618</v>
      </c>
      <c r="L456" t="s">
        <v>2578</v>
      </c>
      <c r="M456" t="s">
        <v>2579</v>
      </c>
      <c r="N456" t="s">
        <v>6407</v>
      </c>
    </row>
    <row r="457" spans="1:14" x14ac:dyDescent="0.25">
      <c r="A457">
        <v>79714</v>
      </c>
      <c r="B457" t="s">
        <v>2580</v>
      </c>
      <c r="C457">
        <v>4360</v>
      </c>
      <c r="D457" t="str" cm="1">
        <f t="array" ref="D457">_xlfn.TEXTJOIN(",",TRUE,_xlfn.XLOOKUP(_xlfn.TEXTSPLIT(C457,",")*1,_xlfn._TRO_TRAILING(Artists!A:A),_xlfn._TRO_TRAILING(Artists!B:B)))</f>
        <v>Georgia O'Keeffe</v>
      </c>
      <c r="E457">
        <v>1977</v>
      </c>
      <c r="F457" cm="1">
        <f t="array" ref="F457">_xlfn.REGEXEXTRACT(E457,"\d{4}")*1</f>
        <v>1977</v>
      </c>
      <c r="G457" t="s">
        <v>1034</v>
      </c>
      <c r="H457" t="s">
        <v>2581</v>
      </c>
      <c r="I457" t="s">
        <v>878</v>
      </c>
      <c r="J457" t="s">
        <v>879</v>
      </c>
      <c r="K457" s="1">
        <v>34618</v>
      </c>
      <c r="L457" t="s">
        <v>2582</v>
      </c>
      <c r="M457" t="s">
        <v>2583</v>
      </c>
      <c r="N457" t="s">
        <v>6409</v>
      </c>
    </row>
    <row r="458" spans="1:14" x14ac:dyDescent="0.25">
      <c r="A458">
        <v>79734</v>
      </c>
      <c r="B458" t="s">
        <v>592</v>
      </c>
      <c r="C458">
        <v>6623</v>
      </c>
      <c r="D458" t="str" cm="1">
        <f t="array" ref="D458">_xlfn.TEXTJOIN(",",TRUE,_xlfn.XLOOKUP(_xlfn.TEXTSPLIT(C458,",")*1,_xlfn._TRO_TRAILING(Artists!A:A),_xlfn._TRO_TRAILING(Artists!B:B)))</f>
        <v>David Wojnarowicz</v>
      </c>
      <c r="E458">
        <v>1987</v>
      </c>
      <c r="F458" cm="1">
        <f t="array" ref="F458">_xlfn.REGEXEXTRACT(E458,"\d{4}")*1</f>
        <v>1987</v>
      </c>
      <c r="G458" t="s">
        <v>2586</v>
      </c>
      <c r="H458" t="s">
        <v>2587</v>
      </c>
      <c r="I458" t="s">
        <v>878</v>
      </c>
      <c r="J458" t="s">
        <v>879</v>
      </c>
      <c r="K458" s="1">
        <v>33763</v>
      </c>
      <c r="L458" t="s">
        <v>2588</v>
      </c>
      <c r="M458" t="s">
        <v>2589</v>
      </c>
      <c r="N458" t="s">
        <v>6410</v>
      </c>
    </row>
    <row r="459" spans="1:14" x14ac:dyDescent="0.25">
      <c r="A459">
        <v>79737</v>
      </c>
      <c r="B459" t="s">
        <v>2590</v>
      </c>
      <c r="C459">
        <v>6246</v>
      </c>
      <c r="D459" t="str" cm="1">
        <f t="array" ref="D459">_xlfn.TEXTJOIN(",",TRUE,_xlfn.XLOOKUP(_xlfn.TEXTSPLIT(C459,",")*1,_xlfn._TRO_TRAILING(Artists!A:A),_xlfn._TRO_TRAILING(Artists!B:B)))</f>
        <v>Andy Warhol</v>
      </c>
      <c r="E459">
        <v>1962</v>
      </c>
      <c r="F459" cm="1">
        <f t="array" ref="F459">_xlfn.REGEXEXTRACT(E459,"\d{4}")*1</f>
        <v>1962</v>
      </c>
      <c r="G459" t="s">
        <v>2591</v>
      </c>
      <c r="H459" t="s">
        <v>2592</v>
      </c>
      <c r="I459" t="s">
        <v>878</v>
      </c>
      <c r="J459" t="s">
        <v>879</v>
      </c>
      <c r="K459" s="1">
        <v>22991</v>
      </c>
      <c r="L459" t="s">
        <v>2593</v>
      </c>
      <c r="M459" t="s">
        <v>2594</v>
      </c>
      <c r="N459" t="s">
        <v>6394</v>
      </c>
    </row>
    <row r="460" spans="1:14" x14ac:dyDescent="0.25">
      <c r="A460">
        <v>79741</v>
      </c>
      <c r="B460" t="s">
        <v>2595</v>
      </c>
      <c r="C460">
        <v>1243</v>
      </c>
      <c r="D460" t="str" cm="1">
        <f t="array" ref="D460">_xlfn.TEXTJOIN(",",TRUE,_xlfn.XLOOKUP(_xlfn.TEXTSPLIT(C460,",")*1,_xlfn._TRO_TRAILING(Artists!A:A),_xlfn._TRO_TRAILING(Artists!B:B)))</f>
        <v>Lovis Corinth</v>
      </c>
      <c r="E460" s="3">
        <v>1924</v>
      </c>
      <c r="F460" cm="1">
        <f t="array" ref="F460">_xlfn.REGEXEXTRACT(E460,"\d{4}")*1</f>
        <v>1924</v>
      </c>
      <c r="G460" t="s">
        <v>1034</v>
      </c>
      <c r="H460" t="s">
        <v>2596</v>
      </c>
      <c r="I460" t="s">
        <v>878</v>
      </c>
      <c r="J460" t="s">
        <v>879</v>
      </c>
      <c r="K460" s="1">
        <v>18582</v>
      </c>
      <c r="L460" t="s">
        <v>2597</v>
      </c>
      <c r="M460" t="s">
        <v>2598</v>
      </c>
      <c r="N460" t="s">
        <v>6391</v>
      </c>
    </row>
    <row r="461" spans="1:14" x14ac:dyDescent="0.25">
      <c r="A461">
        <v>79747</v>
      </c>
      <c r="B461" t="s">
        <v>2599</v>
      </c>
      <c r="C461">
        <v>3641</v>
      </c>
      <c r="D461" t="str" cm="1">
        <f t="array" ref="D461">_xlfn.TEXTJOIN(",",TRUE,_xlfn.XLOOKUP(_xlfn.TEXTSPLIT(C461,",")*1,_xlfn._TRO_TRAILING(Artists!A:A),_xlfn._TRO_TRAILING(Artists!B:B)))</f>
        <v>Jean Lurçat</v>
      </c>
      <c r="E461" t="s">
        <v>165</v>
      </c>
      <c r="F461" cm="1">
        <f t="array" ref="F461">_xlfn.REGEXEXTRACT(E461,"\d{4}")*1</f>
        <v>1925</v>
      </c>
      <c r="G461" t="s">
        <v>2584</v>
      </c>
      <c r="H461" t="s">
        <v>2600</v>
      </c>
      <c r="I461" t="s">
        <v>95</v>
      </c>
      <c r="J461" t="s">
        <v>19</v>
      </c>
      <c r="K461" s="1">
        <v>14348</v>
      </c>
      <c r="L461" t="s">
        <v>2601</v>
      </c>
      <c r="M461" t="s">
        <v>2602</v>
      </c>
      <c r="N461" t="s">
        <v>6369</v>
      </c>
    </row>
    <row r="462" spans="1:14" x14ac:dyDescent="0.25">
      <c r="A462">
        <v>79748</v>
      </c>
      <c r="B462" t="s">
        <v>2603</v>
      </c>
      <c r="C462">
        <v>2252</v>
      </c>
      <c r="D462" t="str" cm="1">
        <f t="array" ref="D462">_xlfn.TEXTJOIN(",",TRUE,_xlfn.XLOOKUP(_xlfn.TEXTSPLIT(C462,",")*1,_xlfn._TRO_TRAILING(Artists!A:A),_xlfn._TRO_TRAILING(Artists!B:B)))</f>
        <v>Arshile Gorky</v>
      </c>
      <c r="E462">
        <v>1938</v>
      </c>
      <c r="F462" cm="1">
        <f t="array" ref="F462">_xlfn.REGEXEXTRACT(E462,"\d{4}")*1</f>
        <v>1938</v>
      </c>
      <c r="G462" t="s">
        <v>1034</v>
      </c>
      <c r="H462" t="s">
        <v>2604</v>
      </c>
      <c r="I462" t="s">
        <v>878</v>
      </c>
      <c r="J462" t="s">
        <v>879</v>
      </c>
      <c r="K462" s="1">
        <v>14992</v>
      </c>
      <c r="L462" t="s">
        <v>2605</v>
      </c>
      <c r="M462" t="s">
        <v>2606</v>
      </c>
      <c r="N462" t="s">
        <v>6405</v>
      </c>
    </row>
    <row r="463" spans="1:14" x14ac:dyDescent="0.25">
      <c r="A463">
        <v>79751</v>
      </c>
      <c r="B463" t="s">
        <v>1910</v>
      </c>
      <c r="C463">
        <v>6524</v>
      </c>
      <c r="D463" t="str" cm="1">
        <f t="array" ref="D463">_xlfn.TEXTJOIN(",",TRUE,_xlfn.XLOOKUP(_xlfn.TEXTSPLIT(C463,",")*1,_xlfn._TRO_TRAILING(Artists!A:A),_xlfn._TRO_TRAILING(Artists!B:B)))</f>
        <v>Jack Youngerman</v>
      </c>
      <c r="E463">
        <v>1959</v>
      </c>
      <c r="F463" cm="1">
        <f t="array" ref="F463">_xlfn.REGEXEXTRACT(E463,"\d{4}")*1</f>
        <v>1959</v>
      </c>
      <c r="G463" t="s">
        <v>1034</v>
      </c>
      <c r="H463" t="s">
        <v>2607</v>
      </c>
      <c r="I463" t="s">
        <v>878</v>
      </c>
      <c r="J463" t="s">
        <v>879</v>
      </c>
      <c r="K463" s="1">
        <v>36445</v>
      </c>
      <c r="L463" t="s">
        <v>2608</v>
      </c>
      <c r="M463" t="s">
        <v>2609</v>
      </c>
      <c r="N463" t="s">
        <v>6363</v>
      </c>
    </row>
    <row r="464" spans="1:14" x14ac:dyDescent="0.25">
      <c r="A464">
        <v>79762</v>
      </c>
      <c r="B464" t="s">
        <v>2611</v>
      </c>
      <c r="C464">
        <v>4609</v>
      </c>
      <c r="D464" t="str" cm="1">
        <f t="array" ref="D464">_xlfn.TEXTJOIN(",",TRUE,_xlfn.XLOOKUP(_xlfn.TEXTSPLIT(C464,",")*1,_xlfn._TRO_TRAILING(Artists!A:A),_xlfn._TRO_TRAILING(Artists!B:B)))</f>
        <v>Pablo Picasso</v>
      </c>
      <c r="E464" t="s">
        <v>2156</v>
      </c>
      <c r="F464" cm="1">
        <f t="array" ref="F464">_xlfn.REGEXEXTRACT(E464,"\d{4}")*1</f>
        <v>1921</v>
      </c>
      <c r="G464" t="s">
        <v>1034</v>
      </c>
      <c r="H464" t="s">
        <v>2612</v>
      </c>
      <c r="I464" t="s">
        <v>878</v>
      </c>
      <c r="J464" t="s">
        <v>879</v>
      </c>
      <c r="K464" s="1">
        <v>19336</v>
      </c>
      <c r="L464" t="s">
        <v>2613</v>
      </c>
      <c r="M464" t="s">
        <v>2614</v>
      </c>
      <c r="N464" t="s">
        <v>6369</v>
      </c>
    </row>
    <row r="465" spans="1:14" x14ac:dyDescent="0.25">
      <c r="A465">
        <v>79766</v>
      </c>
      <c r="B465" t="s">
        <v>2615</v>
      </c>
      <c r="C465">
        <v>4609</v>
      </c>
      <c r="D465" t="str" cm="1">
        <f t="array" ref="D465">_xlfn.TEXTJOIN(",",TRUE,_xlfn.XLOOKUP(_xlfn.TEXTSPLIT(C465,",")*1,_xlfn._TRO_TRAILING(Artists!A:A),_xlfn._TRO_TRAILING(Artists!B:B)))</f>
        <v>Pablo Picasso</v>
      </c>
      <c r="E465" t="s">
        <v>2616</v>
      </c>
      <c r="F465" cm="1">
        <f t="array" ref="F465">_xlfn.REGEXEXTRACT(E465,"\d{4}")*1</f>
        <v>1907</v>
      </c>
      <c r="G465" t="s">
        <v>1034</v>
      </c>
      <c r="H465" t="s">
        <v>2617</v>
      </c>
      <c r="I465" t="s">
        <v>878</v>
      </c>
      <c r="J465" t="s">
        <v>879</v>
      </c>
      <c r="K465" s="1">
        <v>14359</v>
      </c>
      <c r="L465" t="s">
        <v>2618</v>
      </c>
      <c r="M465" t="s">
        <v>2619</v>
      </c>
      <c r="N465" t="s">
        <v>6374</v>
      </c>
    </row>
    <row r="466" spans="1:14" x14ac:dyDescent="0.25">
      <c r="A466">
        <v>79792</v>
      </c>
      <c r="B466" t="s">
        <v>2620</v>
      </c>
      <c r="C466">
        <v>3147</v>
      </c>
      <c r="D466" t="str" cm="1">
        <f t="array" ref="D466">_xlfn.TEXTJOIN(",",TRUE,_xlfn.XLOOKUP(_xlfn.TEXTSPLIT(C466,",")*1,_xlfn._TRO_TRAILING(Artists!A:A),_xlfn._TRO_TRAILING(Artists!B:B)))</f>
        <v>Gustav Klimt</v>
      </c>
      <c r="E466" t="s">
        <v>1151</v>
      </c>
      <c r="F466" cm="1">
        <f t="array" ref="F466">_xlfn.REGEXEXTRACT(E466,"\d{4}")*1</f>
        <v>1907</v>
      </c>
      <c r="G466" t="s">
        <v>2621</v>
      </c>
      <c r="H466" t="s">
        <v>56</v>
      </c>
      <c r="I466" t="s">
        <v>878</v>
      </c>
      <c r="J466" t="s">
        <v>879</v>
      </c>
      <c r="K466" s="1">
        <v>28654</v>
      </c>
      <c r="L466" t="s">
        <v>2622</v>
      </c>
      <c r="M466" t="s">
        <v>2623</v>
      </c>
      <c r="N466" t="s">
        <v>6366</v>
      </c>
    </row>
    <row r="467" spans="1:14" x14ac:dyDescent="0.25">
      <c r="A467">
        <v>79797</v>
      </c>
      <c r="B467" t="s">
        <v>2624</v>
      </c>
      <c r="C467">
        <v>3787</v>
      </c>
      <c r="D467" t="str" cm="1">
        <f t="array" ref="D467">_xlfn.TEXTJOIN(",",TRUE,_xlfn.XLOOKUP(_xlfn.TEXTSPLIT(C467,",")*1,_xlfn._TRO_TRAILING(Artists!A:A),_xlfn._TRO_TRAILING(Artists!B:B)))</f>
        <v>Agnes Martin</v>
      </c>
      <c r="E467">
        <v>1957</v>
      </c>
      <c r="F467" cm="1">
        <f t="array" ref="F467">_xlfn.REGEXEXTRACT(E467,"\d{4}")*1</f>
        <v>1957</v>
      </c>
      <c r="G467" t="s">
        <v>1034</v>
      </c>
      <c r="H467" t="s">
        <v>2625</v>
      </c>
      <c r="I467" t="s">
        <v>878</v>
      </c>
      <c r="J467" t="s">
        <v>879</v>
      </c>
      <c r="K467" s="1">
        <v>35345</v>
      </c>
      <c r="L467" t="s">
        <v>2626</v>
      </c>
      <c r="M467" t="s">
        <v>2627</v>
      </c>
      <c r="N467" t="s">
        <v>6363</v>
      </c>
    </row>
    <row r="468" spans="1:14" x14ac:dyDescent="0.25">
      <c r="A468">
        <v>79801</v>
      </c>
      <c r="B468" t="s">
        <v>2628</v>
      </c>
      <c r="C468">
        <v>1602</v>
      </c>
      <c r="D468" t="str" cm="1">
        <f t="array" ref="D468">_xlfn.TEXTJOIN(",",TRUE,_xlfn.XLOOKUP(_xlfn.TEXTSPLIT(C468,",")*1,_xlfn._TRO_TRAILING(Artists!A:A),_xlfn._TRO_TRAILING(Artists!B:B)))</f>
        <v>Arthur Dove</v>
      </c>
      <c r="E468">
        <v>1940</v>
      </c>
      <c r="F468" cm="1">
        <f t="array" ref="F468">_xlfn.REGEXEXTRACT(E468,"\d{4}")*1</f>
        <v>1940</v>
      </c>
      <c r="G468" t="s">
        <v>1034</v>
      </c>
      <c r="H468" t="s">
        <v>2629</v>
      </c>
      <c r="I468" t="s">
        <v>878</v>
      </c>
      <c r="J468" t="s">
        <v>879</v>
      </c>
      <c r="K468" s="1">
        <v>15137</v>
      </c>
      <c r="L468" t="s">
        <v>2630</v>
      </c>
      <c r="M468" t="s">
        <v>2631</v>
      </c>
      <c r="N468" t="s">
        <v>6375</v>
      </c>
    </row>
    <row r="469" spans="1:14" x14ac:dyDescent="0.25">
      <c r="A469">
        <v>79802</v>
      </c>
      <c r="B469" t="s">
        <v>2632</v>
      </c>
      <c r="C469">
        <v>2206</v>
      </c>
      <c r="D469" t="str" cm="1">
        <f t="array" ref="D469">_xlfn.TEXTJOIN(",",TRUE,_xlfn.XLOOKUP(_xlfn.TEXTSPLIT(C469,",")*1,_xlfn._TRO_TRAILING(Artists!A:A),_xlfn._TRO_TRAILING(Artists!B:B)))</f>
        <v>Vincent van Gogh</v>
      </c>
      <c r="E469" t="s">
        <v>2633</v>
      </c>
      <c r="F469" cm="1">
        <f t="array" ref="F469">_xlfn.REGEXEXTRACT(E469,"\d{4}")*1</f>
        <v>1889</v>
      </c>
      <c r="G469" t="s">
        <v>1034</v>
      </c>
      <c r="H469" t="s">
        <v>2458</v>
      </c>
      <c r="I469" t="s">
        <v>878</v>
      </c>
      <c r="J469" t="s">
        <v>879</v>
      </c>
      <c r="K469" s="1">
        <v>15137</v>
      </c>
      <c r="L469" t="s">
        <v>2634</v>
      </c>
      <c r="M469" t="s">
        <v>2635</v>
      </c>
      <c r="N469" t="s">
        <v>6373</v>
      </c>
    </row>
    <row r="470" spans="1:14" x14ac:dyDescent="0.25">
      <c r="A470">
        <v>79805</v>
      </c>
      <c r="B470" t="s">
        <v>2636</v>
      </c>
      <c r="C470">
        <v>5021</v>
      </c>
      <c r="D470" t="str" cm="1">
        <f t="array" ref="D470">_xlfn.TEXTJOIN(",",TRUE,_xlfn.XLOOKUP(_xlfn.TEXTSPLIT(C470,",")*1,_xlfn._TRO_TRAILING(Artists!A:A),_xlfn._TRO_TRAILING(Artists!B:B)))</f>
        <v>James Rosenquist</v>
      </c>
      <c r="E470" t="s">
        <v>436</v>
      </c>
      <c r="F470" cm="1">
        <f t="array" ref="F470">_xlfn.REGEXEXTRACT(E470,"\d{4}")*1</f>
        <v>1964</v>
      </c>
      <c r="G470" t="s">
        <v>2637</v>
      </c>
      <c r="H470" t="s">
        <v>2638</v>
      </c>
      <c r="I470" t="s">
        <v>878</v>
      </c>
      <c r="J470" t="s">
        <v>879</v>
      </c>
      <c r="K470" s="1">
        <v>35345</v>
      </c>
      <c r="L470" t="s">
        <v>2639</v>
      </c>
      <c r="M470" t="s">
        <v>2640</v>
      </c>
      <c r="N470" t="s">
        <v>6411</v>
      </c>
    </row>
    <row r="471" spans="1:14" x14ac:dyDescent="0.25">
      <c r="A471">
        <v>79809</v>
      </c>
      <c r="B471" t="s">
        <v>2641</v>
      </c>
      <c r="C471">
        <v>6246</v>
      </c>
      <c r="D471" t="str" cm="1">
        <f t="array" ref="D471">_xlfn.TEXTJOIN(",",TRUE,_xlfn.XLOOKUP(_xlfn.TEXTSPLIT(C471,",")*1,_xlfn._TRO_TRAILING(Artists!A:A),_xlfn._TRO_TRAILING(Artists!B:B)))</f>
        <v>Andy Warhol</v>
      </c>
      <c r="E471">
        <v>1962</v>
      </c>
      <c r="F471" cm="1">
        <f t="array" ref="F471">_xlfn.REGEXEXTRACT(E471,"\d{4}")*1</f>
        <v>1962</v>
      </c>
      <c r="G471" t="s">
        <v>2642</v>
      </c>
      <c r="H471" t="s">
        <v>2643</v>
      </c>
      <c r="I471" t="s">
        <v>878</v>
      </c>
      <c r="J471" t="s">
        <v>879</v>
      </c>
      <c r="K471" s="1">
        <v>35345</v>
      </c>
      <c r="L471" t="s">
        <v>2644</v>
      </c>
      <c r="M471" t="s">
        <v>2645</v>
      </c>
      <c r="N471" t="s">
        <v>6394</v>
      </c>
    </row>
    <row r="472" spans="1:14" x14ac:dyDescent="0.25">
      <c r="A472">
        <v>79816</v>
      </c>
      <c r="B472" t="s">
        <v>2646</v>
      </c>
      <c r="C472">
        <v>4057</v>
      </c>
      <c r="D472" t="str" cm="1">
        <f t="array" ref="D472">_xlfn.TEXTJOIN(",",TRUE,_xlfn.XLOOKUP(_xlfn.TEXTSPLIT(C472,",")*1,_xlfn._TRO_TRAILING(Artists!A:A),_xlfn._TRO_TRAILING(Artists!B:B)))</f>
        <v>Piet Mondrian</v>
      </c>
      <c r="E472" t="s">
        <v>2647</v>
      </c>
      <c r="F472" cm="1">
        <f t="array" ref="F472">_xlfn.REGEXEXTRACT(E472,"\d{4}")*1</f>
        <v>1929</v>
      </c>
      <c r="G472" t="s">
        <v>1034</v>
      </c>
      <c r="H472" t="s">
        <v>840</v>
      </c>
      <c r="I472" t="s">
        <v>878</v>
      </c>
      <c r="J472" t="s">
        <v>879</v>
      </c>
      <c r="K472" s="1">
        <v>15137</v>
      </c>
      <c r="L472" t="s">
        <v>2648</v>
      </c>
      <c r="M472" t="s">
        <v>2649</v>
      </c>
      <c r="N472" t="s">
        <v>6399</v>
      </c>
    </row>
    <row r="473" spans="1:14" x14ac:dyDescent="0.25">
      <c r="A473">
        <v>79823</v>
      </c>
      <c r="B473" t="s">
        <v>2500</v>
      </c>
      <c r="C473">
        <v>2252</v>
      </c>
      <c r="D473" t="str" cm="1">
        <f t="array" ref="D473">_xlfn.TEXTJOIN(",",TRUE,_xlfn.XLOOKUP(_xlfn.TEXTSPLIT(C473,",")*1,_xlfn._TRO_TRAILING(Artists!A:A),_xlfn._TRO_TRAILING(Artists!B:B)))</f>
        <v>Arshile Gorky</v>
      </c>
      <c r="E473" t="s">
        <v>354</v>
      </c>
      <c r="F473" cm="1">
        <f t="array" ref="F473">_xlfn.REGEXEXTRACT(E473,"\d{4}")*1</f>
        <v>1943</v>
      </c>
      <c r="G473" t="s">
        <v>1034</v>
      </c>
      <c r="H473" t="s">
        <v>2650</v>
      </c>
      <c r="I473" t="s">
        <v>878</v>
      </c>
      <c r="J473" t="s">
        <v>879</v>
      </c>
      <c r="K473" s="1">
        <v>25343</v>
      </c>
      <c r="L473" t="s">
        <v>2651</v>
      </c>
      <c r="M473" t="s">
        <v>2652</v>
      </c>
      <c r="N473" t="s">
        <v>6405</v>
      </c>
    </row>
    <row r="474" spans="1:14" x14ac:dyDescent="0.25">
      <c r="A474">
        <v>79836</v>
      </c>
      <c r="B474" t="s">
        <v>51</v>
      </c>
      <c r="C474">
        <v>3240</v>
      </c>
      <c r="D474" t="str" cm="1">
        <f t="array" ref="D474">_xlfn.TEXTJOIN(",",TRUE,_xlfn.XLOOKUP(_xlfn.TEXTSPLIT(C474,",")*1,_xlfn._TRO_TRAILING(Artists!A:A),_xlfn._TRO_TRAILING(Artists!B:B)))</f>
        <v>Lee Krasner</v>
      </c>
      <c r="E474">
        <v>1949</v>
      </c>
      <c r="F474" cm="1">
        <f t="array" ref="F474">_xlfn.REGEXEXTRACT(E474,"\d{4}")*1</f>
        <v>1949</v>
      </c>
      <c r="G474" t="s">
        <v>811</v>
      </c>
      <c r="H474" t="s">
        <v>2653</v>
      </c>
      <c r="I474" t="s">
        <v>878</v>
      </c>
      <c r="J474" t="s">
        <v>879</v>
      </c>
      <c r="K474" s="1">
        <v>25364</v>
      </c>
      <c r="L474" t="s">
        <v>2654</v>
      </c>
      <c r="M474" t="s">
        <v>2655</v>
      </c>
      <c r="N474" t="s">
        <v>6400</v>
      </c>
    </row>
    <row r="475" spans="1:14" x14ac:dyDescent="0.25">
      <c r="A475">
        <v>79839</v>
      </c>
      <c r="B475" t="s">
        <v>2656</v>
      </c>
      <c r="C475">
        <v>2349</v>
      </c>
      <c r="D475" t="str" cm="1">
        <f t="array" ref="D475">_xlfn.TEXTJOIN(",",TRUE,_xlfn.XLOOKUP(_xlfn.TEXTSPLIT(C475,",")*1,_xlfn._TRO_TRAILING(Artists!A:A),_xlfn._TRO_TRAILING(Artists!B:B)))</f>
        <v>Juan Gris</v>
      </c>
      <c r="E475">
        <v>1911</v>
      </c>
      <c r="F475" cm="1">
        <f t="array" ref="F475">_xlfn.REGEXEXTRACT(E475,"\d{4}")*1</f>
        <v>1911</v>
      </c>
      <c r="G475" t="s">
        <v>1034</v>
      </c>
      <c r="H475" t="s">
        <v>2657</v>
      </c>
      <c r="I475" t="s">
        <v>878</v>
      </c>
      <c r="J475" t="s">
        <v>879</v>
      </c>
      <c r="K475" s="1">
        <v>15137</v>
      </c>
      <c r="L475" t="s">
        <v>2658</v>
      </c>
      <c r="M475" t="s">
        <v>2659</v>
      </c>
      <c r="N475" t="s">
        <v>6401</v>
      </c>
    </row>
    <row r="476" spans="1:14" x14ac:dyDescent="0.25">
      <c r="A476">
        <v>79852</v>
      </c>
      <c r="B476" t="s">
        <v>2660</v>
      </c>
      <c r="C476">
        <v>5988</v>
      </c>
      <c r="D476" t="str" cm="1">
        <f t="array" ref="D476">_xlfn.TEXTJOIN(",",TRUE,_xlfn.XLOOKUP(_xlfn.TEXTSPLIT(C476,",")*1,_xlfn._TRO_TRAILING(Artists!A:A),_xlfn._TRO_TRAILING(Artists!B:B)))</f>
        <v>Cy Twombly</v>
      </c>
      <c r="E476" t="s">
        <v>2661</v>
      </c>
      <c r="F476" cm="1">
        <f t="array" ref="F476">_xlfn.REGEXEXTRACT(E476,"\d{4}")*1</f>
        <v>1961</v>
      </c>
      <c r="G476" t="s">
        <v>2662</v>
      </c>
      <c r="H476" t="s">
        <v>2663</v>
      </c>
      <c r="I476" t="s">
        <v>878</v>
      </c>
      <c r="J476" t="s">
        <v>879</v>
      </c>
      <c r="K476" s="1">
        <v>25364</v>
      </c>
      <c r="L476" t="s">
        <v>2664</v>
      </c>
      <c r="M476" t="s">
        <v>2665</v>
      </c>
      <c r="N476" t="s">
        <v>6398</v>
      </c>
    </row>
    <row r="477" spans="1:14" x14ac:dyDescent="0.25">
      <c r="A477">
        <v>79863</v>
      </c>
      <c r="B477" t="s">
        <v>2666</v>
      </c>
      <c r="C477">
        <v>3832</v>
      </c>
      <c r="D477" t="str" cm="1">
        <f t="array" ref="D477">_xlfn.TEXTJOIN(",",TRUE,_xlfn.XLOOKUP(_xlfn.TEXTSPLIT(C477,",")*1,_xlfn._TRO_TRAILING(Artists!A:A),_xlfn._TRO_TRAILING(Artists!B:B)))</f>
        <v>Henri Matisse</v>
      </c>
      <c r="E477" t="s">
        <v>2667</v>
      </c>
      <c r="F477" cm="1">
        <f t="array" ref="F477">_xlfn.REGEXEXTRACT(E477,"\d{4}")*1</f>
        <v>1914</v>
      </c>
      <c r="G477" t="s">
        <v>1034</v>
      </c>
      <c r="H477" t="s">
        <v>2668</v>
      </c>
      <c r="I477" t="s">
        <v>878</v>
      </c>
      <c r="J477" t="s">
        <v>879</v>
      </c>
      <c r="K477" s="1">
        <v>23543</v>
      </c>
      <c r="L477" t="s">
        <v>2669</v>
      </c>
      <c r="M477" t="s">
        <v>2670</v>
      </c>
      <c r="N477" t="s">
        <v>6395</v>
      </c>
    </row>
    <row r="478" spans="1:14" x14ac:dyDescent="0.25">
      <c r="A478">
        <v>79874</v>
      </c>
      <c r="B478" t="s">
        <v>2671</v>
      </c>
      <c r="C478">
        <v>1930</v>
      </c>
      <c r="D478" t="str" cm="1">
        <f t="array" ref="D478">_xlfn.TEXTJOIN(",",TRUE,_xlfn.XLOOKUP(_xlfn.TEXTSPLIT(C478,",")*1,_xlfn._TRO_TRAILING(Artists!A:A),_xlfn._TRO_TRAILING(Artists!B:B)))</f>
        <v>Lucio Fontana</v>
      </c>
      <c r="E478">
        <v>1960</v>
      </c>
      <c r="F478" cm="1">
        <f t="array" ref="F478">_xlfn.REGEXEXTRACT(E478,"\d{4}")*1</f>
        <v>1960</v>
      </c>
      <c r="G478" t="s">
        <v>2672</v>
      </c>
      <c r="H478" t="s">
        <v>2673</v>
      </c>
      <c r="I478" t="s">
        <v>878</v>
      </c>
      <c r="J478" t="s">
        <v>879</v>
      </c>
      <c r="K478" s="1">
        <v>25882</v>
      </c>
      <c r="L478" t="s">
        <v>2674</v>
      </c>
      <c r="M478" t="s">
        <v>2675</v>
      </c>
      <c r="N478" t="s">
        <v>6407</v>
      </c>
    </row>
    <row r="479" spans="1:14" x14ac:dyDescent="0.25">
      <c r="A479">
        <v>79922</v>
      </c>
      <c r="B479" t="s">
        <v>2677</v>
      </c>
      <c r="C479">
        <v>4058</v>
      </c>
      <c r="D479" t="str" cm="1">
        <f t="array" ref="D479">_xlfn.TEXTJOIN(",",TRUE,_xlfn.XLOOKUP(_xlfn.TEXTSPLIT(C479,",")*1,_xlfn._TRO_TRAILING(Artists!A:A),_xlfn._TRO_TRAILING(Artists!B:B)))</f>
        <v>Claude Monet</v>
      </c>
      <c r="E479" t="s">
        <v>2678</v>
      </c>
      <c r="F479" cm="1">
        <f t="array" ref="F479">_xlfn.REGEXEXTRACT(E479,"\d{4}")*1</f>
        <v>1914</v>
      </c>
      <c r="G479" t="s">
        <v>1034</v>
      </c>
      <c r="H479" t="s">
        <v>2679</v>
      </c>
      <c r="I479" t="s">
        <v>878</v>
      </c>
      <c r="J479" t="s">
        <v>879</v>
      </c>
      <c r="K479" s="1">
        <v>33945</v>
      </c>
      <c r="L479" t="s">
        <v>2680</v>
      </c>
      <c r="M479" t="s">
        <v>2681</v>
      </c>
      <c r="N479" t="s">
        <v>6412</v>
      </c>
    </row>
    <row r="480" spans="1:14" x14ac:dyDescent="0.25">
      <c r="A480">
        <v>79929</v>
      </c>
      <c r="B480" t="s">
        <v>51</v>
      </c>
      <c r="C480">
        <v>3524</v>
      </c>
      <c r="D480" t="str" cm="1">
        <f t="array" ref="D480">_xlfn.TEXTJOIN(",",TRUE,_xlfn.XLOOKUP(_xlfn.TEXTSPLIT(C480,",")*1,_xlfn._TRO_TRAILING(Artists!A:A),_xlfn._TRO_TRAILING(Artists!B:B)))</f>
        <v>Norman Lewis</v>
      </c>
      <c r="E480">
        <v>1949</v>
      </c>
      <c r="F480" cm="1">
        <f t="array" ref="F480">_xlfn.REGEXEXTRACT(E480,"\d{4}")*1</f>
        <v>1949</v>
      </c>
      <c r="G480" t="s">
        <v>1034</v>
      </c>
      <c r="H480" t="s">
        <v>2682</v>
      </c>
      <c r="I480" t="s">
        <v>878</v>
      </c>
      <c r="J480" t="s">
        <v>879</v>
      </c>
      <c r="K480" s="1">
        <v>36081</v>
      </c>
      <c r="L480" t="s">
        <v>2683</v>
      </c>
      <c r="M480" t="s">
        <v>2684</v>
      </c>
      <c r="N480" t="s">
        <v>6400</v>
      </c>
    </row>
    <row r="481" spans="1:14" x14ac:dyDescent="0.25">
      <c r="A481">
        <v>79933</v>
      </c>
      <c r="B481" t="s">
        <v>1020</v>
      </c>
      <c r="C481">
        <v>3692</v>
      </c>
      <c r="D481" t="str" cm="1">
        <f t="array" ref="D481">_xlfn.TEXTJOIN(",",TRUE,_xlfn.XLOOKUP(_xlfn.TEXTSPLIT(C481,",")*1,_xlfn._TRO_TRAILING(Artists!A:A),_xlfn._TRO_TRAILING(Artists!B:B)))</f>
        <v>René Magritte</v>
      </c>
      <c r="E481" t="s">
        <v>2685</v>
      </c>
      <c r="F481" cm="1">
        <f t="array" ref="F481">_xlfn.REGEXEXTRACT(E481,"\d{4}")*1</f>
        <v>1928</v>
      </c>
      <c r="G481" t="s">
        <v>1034</v>
      </c>
      <c r="H481" t="s">
        <v>2686</v>
      </c>
      <c r="I481" t="s">
        <v>878</v>
      </c>
      <c r="J481" t="s">
        <v>879</v>
      </c>
      <c r="K481" s="1">
        <v>36081</v>
      </c>
      <c r="L481" t="s">
        <v>2687</v>
      </c>
      <c r="M481" t="s">
        <v>2688</v>
      </c>
      <c r="N481" t="s">
        <v>6386</v>
      </c>
    </row>
    <row r="482" spans="1:14" x14ac:dyDescent="0.25">
      <c r="A482">
        <v>79944</v>
      </c>
      <c r="B482" t="s">
        <v>1111</v>
      </c>
      <c r="C482">
        <v>5657</v>
      </c>
      <c r="D482" t="str" cm="1">
        <f t="array" ref="D482">_xlfn.TEXTJOIN(",",TRUE,_xlfn.XLOOKUP(_xlfn.TEXTSPLIT(C482,",")*1,_xlfn._TRO_TRAILING(Artists!A:A),_xlfn._TRO_TRAILING(Artists!B:B)))</f>
        <v>Florine Stettheimer</v>
      </c>
      <c r="E482">
        <v>1925</v>
      </c>
      <c r="F482" cm="1">
        <f t="array" ref="F482">_xlfn.REGEXEXTRACT(E482,"\d{4}")*1</f>
        <v>1925</v>
      </c>
      <c r="G482" t="s">
        <v>1034</v>
      </c>
      <c r="H482" t="s">
        <v>2689</v>
      </c>
      <c r="I482" t="s">
        <v>878</v>
      </c>
      <c r="J482" t="s">
        <v>879</v>
      </c>
      <c r="K482" s="1">
        <v>26218</v>
      </c>
      <c r="L482" t="s">
        <v>2690</v>
      </c>
      <c r="M482" t="s">
        <v>2691</v>
      </c>
      <c r="N482" t="s">
        <v>6393</v>
      </c>
    </row>
    <row r="483" spans="1:14" x14ac:dyDescent="0.25">
      <c r="A483">
        <v>79951</v>
      </c>
      <c r="B483" t="s">
        <v>2692</v>
      </c>
      <c r="C483">
        <v>884</v>
      </c>
      <c r="D483" t="str" cm="1">
        <f t="array" ref="D483">_xlfn.TEXTJOIN(",",TRUE,_xlfn.XLOOKUP(_xlfn.TEXTSPLIT(C483,",")*1,_xlfn._TRO_TRAILING(Artists!A:A),_xlfn._TRO_TRAILING(Artists!B:B)))</f>
        <v>Alberto Burri</v>
      </c>
      <c r="E483">
        <v>1953</v>
      </c>
      <c r="F483" cm="1">
        <f t="array" ref="F483">_xlfn.REGEXEXTRACT(E483,"\d{4}")*1</f>
        <v>1953</v>
      </c>
      <c r="G483" t="s">
        <v>2693</v>
      </c>
      <c r="H483" t="s">
        <v>2694</v>
      </c>
      <c r="I483" t="s">
        <v>878</v>
      </c>
      <c r="J483" t="s">
        <v>879</v>
      </c>
      <c r="K483" s="1">
        <v>20074</v>
      </c>
      <c r="L483" t="s">
        <v>2695</v>
      </c>
      <c r="M483" t="s">
        <v>2696</v>
      </c>
      <c r="N483" t="s">
        <v>6400</v>
      </c>
    </row>
    <row r="484" spans="1:14" x14ac:dyDescent="0.25">
      <c r="A484">
        <v>79954</v>
      </c>
      <c r="B484" t="s">
        <v>916</v>
      </c>
      <c r="C484">
        <v>1993</v>
      </c>
      <c r="D484" t="str" cm="1">
        <f t="array" ref="D484">_xlfn.TEXTJOIN(",",TRUE,_xlfn.XLOOKUP(_xlfn.TEXTSPLIT(C484,",")*1,_xlfn._TRO_TRAILING(Artists!A:A),_xlfn._TRO_TRAILING(Artists!B:B)))</f>
        <v>Lucian Freud</v>
      </c>
      <c r="E484">
        <v>1949</v>
      </c>
      <c r="F484" cm="1">
        <f t="array" ref="F484">_xlfn.REGEXEXTRACT(E484,"\d{4}")*1</f>
        <v>1949</v>
      </c>
      <c r="G484" t="s">
        <v>1034</v>
      </c>
      <c r="H484" t="s">
        <v>2697</v>
      </c>
      <c r="I484" t="s">
        <v>878</v>
      </c>
      <c r="J484" t="s">
        <v>879</v>
      </c>
      <c r="K484" s="1">
        <v>20074</v>
      </c>
      <c r="L484" t="s">
        <v>2698</v>
      </c>
      <c r="M484" t="s">
        <v>2699</v>
      </c>
      <c r="N484" t="s">
        <v>6402</v>
      </c>
    </row>
    <row r="485" spans="1:14" x14ac:dyDescent="0.25">
      <c r="A485">
        <v>79955</v>
      </c>
      <c r="B485" t="s">
        <v>2700</v>
      </c>
      <c r="C485">
        <v>2374</v>
      </c>
      <c r="D485" t="str" cm="1">
        <f t="array" ref="D485">_xlfn.TEXTJOIN(",",TRUE,_xlfn.XLOOKUP(_xlfn.TEXTSPLIT(C485,",")*1,_xlfn._TRO_TRAILING(Artists!A:A),_xlfn._TRO_TRAILING(Artists!B:B)))</f>
        <v>George Grosz</v>
      </c>
      <c r="E485">
        <v>1928</v>
      </c>
      <c r="F485" cm="1">
        <f t="array" ref="F485">_xlfn.REGEXEXTRACT(E485,"\d{4}")*1</f>
        <v>1928</v>
      </c>
      <c r="G485" t="s">
        <v>1034</v>
      </c>
      <c r="H485" t="s">
        <v>2701</v>
      </c>
      <c r="I485" t="s">
        <v>878</v>
      </c>
      <c r="J485" t="s">
        <v>879</v>
      </c>
      <c r="K485" s="1">
        <v>20074</v>
      </c>
      <c r="L485" t="s">
        <v>2702</v>
      </c>
      <c r="M485" t="s">
        <v>2703</v>
      </c>
      <c r="N485" t="s">
        <v>6391</v>
      </c>
    </row>
    <row r="486" spans="1:14" x14ac:dyDescent="0.25">
      <c r="A486">
        <v>79957</v>
      </c>
      <c r="B486" t="s">
        <v>2704</v>
      </c>
      <c r="C486">
        <v>3832</v>
      </c>
      <c r="D486" t="str" cm="1">
        <f t="array" ref="D486">_xlfn.TEXTJOIN(",",TRUE,_xlfn.XLOOKUP(_xlfn.TEXTSPLIT(C486,",")*1,_xlfn._TRO_TRAILING(Artists!A:A),_xlfn._TRO_TRAILING(Artists!B:B)))</f>
        <v>Henri Matisse</v>
      </c>
      <c r="E486" t="s">
        <v>2705</v>
      </c>
      <c r="F486" cm="1">
        <f t="array" ref="F486">_xlfn.REGEXEXTRACT(E486,"\d{4}")*1</f>
        <v>1917</v>
      </c>
      <c r="G486" t="s">
        <v>1034</v>
      </c>
      <c r="H486" t="s">
        <v>2706</v>
      </c>
      <c r="I486" t="s">
        <v>878</v>
      </c>
      <c r="J486" t="s">
        <v>879</v>
      </c>
      <c r="K486" s="1">
        <v>20767</v>
      </c>
      <c r="L486" t="s">
        <v>2707</v>
      </c>
      <c r="M486" t="s">
        <v>2708</v>
      </c>
      <c r="N486" t="s">
        <v>6395</v>
      </c>
    </row>
    <row r="487" spans="1:14" x14ac:dyDescent="0.25">
      <c r="A487">
        <v>79971</v>
      </c>
      <c r="B487" t="s">
        <v>2709</v>
      </c>
      <c r="C487">
        <v>3302</v>
      </c>
      <c r="D487" t="str" cm="1">
        <f t="array" ref="D487">_xlfn.TEXTJOIN(",",TRUE,_xlfn.XLOOKUP(_xlfn.TEXTSPLIT(C487,",")*1,_xlfn._TRO_TRAILING(Artists!A:A),_xlfn._TRO_TRAILING(Artists!B:B)))</f>
        <v>František Kupka</v>
      </c>
      <c r="E487" t="s">
        <v>1144</v>
      </c>
      <c r="F487" cm="1">
        <f t="array" ref="F487">_xlfn.REGEXEXTRACT(E487,"\d{4}")*1</f>
        <v>1910</v>
      </c>
      <c r="G487" t="s">
        <v>1034</v>
      </c>
      <c r="H487" t="s">
        <v>2710</v>
      </c>
      <c r="I487" t="s">
        <v>878</v>
      </c>
      <c r="J487" t="s">
        <v>879</v>
      </c>
      <c r="K487" s="1">
        <v>20808</v>
      </c>
      <c r="L487" t="s">
        <v>2711</v>
      </c>
      <c r="M487" t="s">
        <v>2712</v>
      </c>
      <c r="N487" t="s">
        <v>6401</v>
      </c>
    </row>
    <row r="488" spans="1:14" x14ac:dyDescent="0.25">
      <c r="A488">
        <v>79974</v>
      </c>
      <c r="B488" t="s">
        <v>2713</v>
      </c>
      <c r="C488">
        <v>3302</v>
      </c>
      <c r="D488" t="str" cm="1">
        <f t="array" ref="D488">_xlfn.TEXTJOIN(",",TRUE,_xlfn.XLOOKUP(_xlfn.TEXTSPLIT(C488,",")*1,_xlfn._TRO_TRAILING(Artists!A:A),_xlfn._TRO_TRAILING(Artists!B:B)))</f>
        <v>František Kupka</v>
      </c>
      <c r="E488" t="s">
        <v>2714</v>
      </c>
      <c r="F488" cm="1">
        <f t="array" ref="F488">_xlfn.REGEXEXTRACT(E488,"\d{4}")*1</f>
        <v>1911</v>
      </c>
      <c r="G488" t="s">
        <v>1034</v>
      </c>
      <c r="H488" t="s">
        <v>2715</v>
      </c>
      <c r="I488" t="s">
        <v>878</v>
      </c>
      <c r="J488" t="s">
        <v>879</v>
      </c>
      <c r="K488" s="1">
        <v>20808</v>
      </c>
      <c r="L488" t="s">
        <v>2716</v>
      </c>
      <c r="M488" t="s">
        <v>2717</v>
      </c>
      <c r="N488" t="s">
        <v>6401</v>
      </c>
    </row>
    <row r="489" spans="1:14" x14ac:dyDescent="0.25">
      <c r="A489">
        <v>79986</v>
      </c>
      <c r="B489" t="s">
        <v>2718</v>
      </c>
      <c r="C489">
        <v>412</v>
      </c>
      <c r="D489" t="str" cm="1">
        <f t="array" ref="D489">_xlfn.TEXTJOIN(",",TRUE,_xlfn.XLOOKUP(_xlfn.TEXTSPLIT(C489,",")*1,_xlfn._TRO_TRAILING(Artists!A:A),_xlfn._TRO_TRAILING(Artists!B:B)))</f>
        <v>Romare Bearden</v>
      </c>
      <c r="E489">
        <v>1970</v>
      </c>
      <c r="F489" cm="1">
        <f t="array" ref="F489">_xlfn.REGEXEXTRACT(E489,"\d{4}")*1</f>
        <v>1970</v>
      </c>
      <c r="G489" t="s">
        <v>2719</v>
      </c>
      <c r="H489" t="s">
        <v>2720</v>
      </c>
      <c r="I489" t="s">
        <v>878</v>
      </c>
      <c r="J489" t="s">
        <v>879</v>
      </c>
      <c r="K489" s="1">
        <v>25910</v>
      </c>
      <c r="L489" t="s">
        <v>2721</v>
      </c>
      <c r="M489" t="s">
        <v>2722</v>
      </c>
      <c r="N489" t="s">
        <v>6383</v>
      </c>
    </row>
    <row r="490" spans="1:14" x14ac:dyDescent="0.25">
      <c r="A490">
        <v>79988</v>
      </c>
      <c r="B490" t="s">
        <v>2723</v>
      </c>
      <c r="C490">
        <v>617</v>
      </c>
      <c r="D490" t="str" cm="1">
        <f t="array" ref="D490">_xlfn.TEXTJOIN(",",TRUE,_xlfn.XLOOKUP(_xlfn.TEXTSPLIT(C490,",")*1,_xlfn._TRO_TRAILING(Artists!A:A),_xlfn._TRO_TRAILING(Artists!B:B)))</f>
        <v>Peter Blume</v>
      </c>
      <c r="E490" t="s">
        <v>2724</v>
      </c>
      <c r="F490" cm="1">
        <f t="array" ref="F490">_xlfn.REGEXEXTRACT(E490,"\d{4}")*1</f>
        <v>1934</v>
      </c>
      <c r="G490" t="s">
        <v>811</v>
      </c>
      <c r="H490" t="s">
        <v>2725</v>
      </c>
      <c r="I490" t="s">
        <v>878</v>
      </c>
      <c r="J490" t="s">
        <v>879</v>
      </c>
      <c r="K490" s="1">
        <v>15703</v>
      </c>
      <c r="L490" t="s">
        <v>2726</v>
      </c>
      <c r="M490" t="s">
        <v>2727</v>
      </c>
      <c r="N490" t="s">
        <v>6377</v>
      </c>
    </row>
    <row r="491" spans="1:14" x14ac:dyDescent="0.25">
      <c r="A491">
        <v>79990</v>
      </c>
      <c r="B491" t="s">
        <v>2728</v>
      </c>
      <c r="C491">
        <v>3692</v>
      </c>
      <c r="D491" t="str" cm="1">
        <f t="array" ref="D491">_xlfn.TEXTJOIN(",",TRUE,_xlfn.XLOOKUP(_xlfn.TEXTSPLIT(C491,",")*1,_xlfn._TRO_TRAILING(Artists!A:A),_xlfn._TRO_TRAILING(Artists!B:B)))</f>
        <v>René Magritte</v>
      </c>
      <c r="E491" t="s">
        <v>2729</v>
      </c>
      <c r="F491" cm="1">
        <f t="array" ref="F491">_xlfn.REGEXEXTRACT(E491,"\d{4}")*1</f>
        <v>1935</v>
      </c>
      <c r="G491" t="s">
        <v>1034</v>
      </c>
      <c r="H491" t="s">
        <v>2730</v>
      </c>
      <c r="I491" t="s">
        <v>878</v>
      </c>
      <c r="J491" t="s">
        <v>879</v>
      </c>
      <c r="K491" s="1">
        <v>20808</v>
      </c>
      <c r="L491" t="s">
        <v>2731</v>
      </c>
      <c r="M491" t="s">
        <v>2732</v>
      </c>
      <c r="N491" t="s">
        <v>6386</v>
      </c>
    </row>
    <row r="492" spans="1:14" x14ac:dyDescent="0.25">
      <c r="A492">
        <v>79994</v>
      </c>
      <c r="B492" t="s">
        <v>2733</v>
      </c>
      <c r="C492">
        <v>4609</v>
      </c>
      <c r="D492" t="str" cm="1">
        <f t="array" ref="D492">_xlfn.TEXTJOIN(",",TRUE,_xlfn.XLOOKUP(_xlfn.TEXTSPLIT(C492,",")*1,_xlfn._TRO_TRAILING(Artists!A:A),_xlfn._TRO_TRAILING(Artists!B:B)))</f>
        <v>Pablo Picasso</v>
      </c>
      <c r="E492" t="s">
        <v>2734</v>
      </c>
      <c r="F492" cm="1">
        <f t="array" ref="F492">_xlfn.REGEXEXTRACT(E492,"\d{4}")*1</f>
        <v>1905</v>
      </c>
      <c r="G492" t="s">
        <v>1034</v>
      </c>
      <c r="H492" t="s">
        <v>2735</v>
      </c>
      <c r="I492" t="s">
        <v>878</v>
      </c>
      <c r="J492" t="s">
        <v>879</v>
      </c>
      <c r="K492" s="1">
        <v>23656</v>
      </c>
      <c r="L492" t="s">
        <v>2736</v>
      </c>
      <c r="M492" t="s">
        <v>2737</v>
      </c>
      <c r="N492" t="s">
        <v>6374</v>
      </c>
    </row>
    <row r="493" spans="1:14" x14ac:dyDescent="0.25">
      <c r="A493">
        <v>79996</v>
      </c>
      <c r="B493" t="s">
        <v>1137</v>
      </c>
      <c r="C493">
        <v>4609</v>
      </c>
      <c r="D493" t="str" cm="1">
        <f t="array" ref="D493">_xlfn.TEXTJOIN(",",TRUE,_xlfn.XLOOKUP(_xlfn.TEXTSPLIT(C493,",")*1,_xlfn._TRO_TRAILING(Artists!A:A),_xlfn._TRO_TRAILING(Artists!B:B)))</f>
        <v>Pablo Picasso</v>
      </c>
      <c r="E493" t="s">
        <v>2585</v>
      </c>
      <c r="F493" cm="1">
        <f t="array" ref="F493">_xlfn.REGEXEXTRACT(E493,"\d{4}")*1</f>
        <v>1908</v>
      </c>
      <c r="G493" t="s">
        <v>1034</v>
      </c>
      <c r="H493" t="s">
        <v>2738</v>
      </c>
      <c r="I493" t="s">
        <v>878</v>
      </c>
      <c r="J493" t="s">
        <v>879</v>
      </c>
      <c r="K493" s="1">
        <v>25910</v>
      </c>
      <c r="L493" t="s">
        <v>2739</v>
      </c>
      <c r="M493" t="s">
        <v>2740</v>
      </c>
      <c r="N493" t="s">
        <v>6374</v>
      </c>
    </row>
    <row r="494" spans="1:14" x14ac:dyDescent="0.25">
      <c r="A494">
        <v>80000</v>
      </c>
      <c r="B494" t="s">
        <v>2741</v>
      </c>
      <c r="C494">
        <v>2726</v>
      </c>
      <c r="D494" t="str" cm="1">
        <f t="array" ref="D494">_xlfn.TEXTJOIN(",",TRUE,_xlfn.XLOOKUP(_xlfn.TEXTSPLIT(C494,",")*1,_xlfn._TRO_TRAILING(Artists!A:A),_xlfn._TRO_TRAILING(Artists!B:B)))</f>
        <v>Edward Hopper</v>
      </c>
      <c r="E494">
        <v>1940</v>
      </c>
      <c r="F494" cm="1">
        <f t="array" ref="F494">_xlfn.REGEXEXTRACT(E494,"\d{4}")*1</f>
        <v>1940</v>
      </c>
      <c r="G494" t="s">
        <v>1034</v>
      </c>
      <c r="H494" t="s">
        <v>2742</v>
      </c>
      <c r="I494" t="s">
        <v>878</v>
      </c>
      <c r="J494" t="s">
        <v>879</v>
      </c>
      <c r="K494" s="1">
        <v>15893</v>
      </c>
      <c r="L494" t="s">
        <v>2743</v>
      </c>
      <c r="M494" t="s">
        <v>2744</v>
      </c>
      <c r="N494" t="s">
        <v>6370</v>
      </c>
    </row>
    <row r="495" spans="1:14" x14ac:dyDescent="0.25">
      <c r="A495">
        <v>80009</v>
      </c>
      <c r="B495" t="s">
        <v>2745</v>
      </c>
      <c r="C495">
        <v>624</v>
      </c>
      <c r="D495" t="str" cm="1">
        <f t="array" ref="D495">_xlfn.TEXTJOIN(",",TRUE,_xlfn.XLOOKUP(_xlfn.TEXTSPLIT(C495,",")*1,_xlfn._TRO_TRAILING(Artists!A:A),_xlfn._TRO_TRAILING(Artists!B:B)))</f>
        <v>Umberto Boccioni</v>
      </c>
      <c r="E495">
        <v>1913</v>
      </c>
      <c r="F495" cm="1">
        <f t="array" ref="F495">_xlfn.REGEXEXTRACT(E495,"\d{4}")*1</f>
        <v>1913</v>
      </c>
      <c r="G495" t="s">
        <v>1034</v>
      </c>
      <c r="H495" t="s">
        <v>2746</v>
      </c>
      <c r="I495" t="s">
        <v>878</v>
      </c>
      <c r="J495" t="s">
        <v>879</v>
      </c>
      <c r="K495" s="1">
        <v>24763</v>
      </c>
      <c r="L495" t="s">
        <v>2747</v>
      </c>
      <c r="M495" t="s">
        <v>2748</v>
      </c>
      <c r="N495" t="s">
        <v>6401</v>
      </c>
    </row>
    <row r="496" spans="1:14" x14ac:dyDescent="0.25">
      <c r="A496">
        <v>80023</v>
      </c>
      <c r="B496" t="s">
        <v>2749</v>
      </c>
      <c r="C496">
        <v>5421</v>
      </c>
      <c r="D496" t="str" cm="1">
        <f t="array" ref="D496">_xlfn.TEXTJOIN(",",TRUE,_xlfn.XLOOKUP(_xlfn.TEXTSPLIT(C496,",")*1,_xlfn._TRO_TRAILING(Artists!A:A),_xlfn._TRO_TRAILING(Artists!B:B)))</f>
        <v>Paul Signac</v>
      </c>
      <c r="E496">
        <v>1891</v>
      </c>
      <c r="F496" cm="1">
        <f t="array" ref="F496">_xlfn.REGEXEXTRACT(E496,"\d{4}")*1</f>
        <v>1891</v>
      </c>
      <c r="G496" t="s">
        <v>1034</v>
      </c>
      <c r="H496" t="s">
        <v>2750</v>
      </c>
      <c r="I496" t="s">
        <v>878</v>
      </c>
      <c r="J496" t="s">
        <v>879</v>
      </c>
      <c r="K496" s="1">
        <v>36060</v>
      </c>
      <c r="L496" t="s">
        <v>2751</v>
      </c>
      <c r="M496" t="s">
        <v>2752</v>
      </c>
      <c r="N496" t="s">
        <v>6367</v>
      </c>
    </row>
    <row r="497" spans="1:14" x14ac:dyDescent="0.25">
      <c r="A497">
        <v>80024</v>
      </c>
      <c r="B497" t="s">
        <v>1890</v>
      </c>
      <c r="C497">
        <v>1479</v>
      </c>
      <c r="D497" t="str" cm="1">
        <f t="array" ref="D497">_xlfn.TEXTJOIN(",",TRUE,_xlfn.XLOOKUP(_xlfn.TEXTSPLIT(C497,",")*1,_xlfn._TRO_TRAILING(Artists!A:A),_xlfn._TRO_TRAILING(Artists!B:B)))</f>
        <v>Robert Delaunay</v>
      </c>
      <c r="E497" t="s">
        <v>2753</v>
      </c>
      <c r="F497" cm="1">
        <f t="array" ref="F497">_xlfn.REGEXEXTRACT(E497,"\d{4}")*1</f>
        <v>1912</v>
      </c>
      <c r="G497" t="s">
        <v>2127</v>
      </c>
      <c r="H497" t="s">
        <v>2754</v>
      </c>
      <c r="I497" t="s">
        <v>878</v>
      </c>
      <c r="J497" t="s">
        <v>879</v>
      </c>
      <c r="K497" s="1">
        <v>24763</v>
      </c>
      <c r="L497" t="s">
        <v>2755</v>
      </c>
      <c r="M497" t="s">
        <v>2756</v>
      </c>
      <c r="N497" t="s">
        <v>6401</v>
      </c>
    </row>
    <row r="498" spans="1:14" x14ac:dyDescent="0.25">
      <c r="A498">
        <v>80047</v>
      </c>
      <c r="B498" t="s">
        <v>2757</v>
      </c>
      <c r="C498">
        <v>1764</v>
      </c>
      <c r="D498" t="str" cm="1">
        <f t="array" ref="D498">_xlfn.TEXTJOIN(",",TRUE,_xlfn.XLOOKUP(_xlfn.TEXTSPLIT(C498,",")*1,_xlfn._TRO_TRAILING(Artists!A:A),_xlfn._TRO_TRAILING(Artists!B:B)))</f>
        <v>Richard Estes</v>
      </c>
      <c r="E498">
        <v>1976</v>
      </c>
      <c r="F498" cm="1">
        <f t="array" ref="F498">_xlfn.REGEXEXTRACT(E498,"\d{4}")*1</f>
        <v>1976</v>
      </c>
      <c r="G498" t="s">
        <v>1034</v>
      </c>
      <c r="H498" t="s">
        <v>2758</v>
      </c>
      <c r="I498" t="s">
        <v>878</v>
      </c>
      <c r="J498" t="s">
        <v>879</v>
      </c>
      <c r="K498" s="1">
        <v>28101</v>
      </c>
      <c r="L498" t="s">
        <v>2759</v>
      </c>
      <c r="M498" t="s">
        <v>2760</v>
      </c>
      <c r="N498" t="s">
        <v>6413</v>
      </c>
    </row>
    <row r="499" spans="1:14" x14ac:dyDescent="0.25">
      <c r="A499">
        <v>80049</v>
      </c>
      <c r="B499" t="s">
        <v>2761</v>
      </c>
      <c r="C499">
        <v>5219</v>
      </c>
      <c r="D499" t="str" cm="1">
        <f t="array" ref="D499">_xlfn.TEXTJOIN(",",TRUE,_xlfn.XLOOKUP(_xlfn.TEXTSPLIT(C499,",")*1,_xlfn._TRO_TRAILING(Artists!A:A),_xlfn._TRO_TRAILING(Artists!B:B)))</f>
        <v>Oskar Schlemmer</v>
      </c>
      <c r="E499">
        <v>1932</v>
      </c>
      <c r="F499" cm="1">
        <f t="array" ref="F499">_xlfn.REGEXEXTRACT(E499,"\d{4}")*1</f>
        <v>1932</v>
      </c>
      <c r="G499" t="s">
        <v>1034</v>
      </c>
      <c r="H499" t="s">
        <v>2762</v>
      </c>
      <c r="I499" t="s">
        <v>878</v>
      </c>
      <c r="J499" t="s">
        <v>879</v>
      </c>
      <c r="K499" s="1">
        <v>15704</v>
      </c>
      <c r="L499" t="s">
        <v>2763</v>
      </c>
      <c r="M499" t="s">
        <v>2764</v>
      </c>
      <c r="N499" t="s">
        <v>6409</v>
      </c>
    </row>
    <row r="500" spans="1:14" x14ac:dyDescent="0.25">
      <c r="A500">
        <v>80071</v>
      </c>
      <c r="B500" t="s">
        <v>51</v>
      </c>
      <c r="C500">
        <v>4143</v>
      </c>
      <c r="D500" t="str" cm="1">
        <f t="array" ref="D500">_xlfn.TEXTJOIN(",",TRUE,_xlfn.XLOOKUP(_xlfn.TEXTSPLIT(C500,",")*1,_xlfn._TRO_TRAILING(Artists!A:A),_xlfn._TRO_TRAILING(Artists!B:B)))</f>
        <v>Shuji Mukai</v>
      </c>
      <c r="E500">
        <v>1963</v>
      </c>
      <c r="F500" cm="1">
        <f t="array" ref="F500">_xlfn.REGEXEXTRACT(E500,"\d{4}")*1</f>
        <v>1963</v>
      </c>
      <c r="G500" t="s">
        <v>2766</v>
      </c>
      <c r="H500" t="s">
        <v>2767</v>
      </c>
      <c r="I500" t="s">
        <v>878</v>
      </c>
      <c r="J500" t="s">
        <v>879</v>
      </c>
      <c r="K500" s="1">
        <v>23901</v>
      </c>
      <c r="L500" t="s">
        <v>2768</v>
      </c>
      <c r="M500" t="s">
        <v>2769</v>
      </c>
      <c r="N500" t="s">
        <v>6378</v>
      </c>
    </row>
    <row r="501" spans="1:14" x14ac:dyDescent="0.25">
      <c r="A501">
        <v>80072</v>
      </c>
      <c r="B501" t="s">
        <v>2770</v>
      </c>
      <c r="C501">
        <v>2671</v>
      </c>
      <c r="D501" t="str" cm="1">
        <f t="array" ref="D501">_xlfn.TEXTJOIN(",",TRUE,_xlfn.XLOOKUP(_xlfn.TEXTSPLIT(C501,",")*1,_xlfn._TRO_TRAILING(Artists!A:A),_xlfn._TRO_TRAILING(Artists!B:B)))</f>
        <v>Morris Hirshfield</v>
      </c>
      <c r="E501">
        <v>1941</v>
      </c>
      <c r="F501" cm="1">
        <f t="array" ref="F501">_xlfn.REGEXEXTRACT(E501,"\d{4}")*1</f>
        <v>1941</v>
      </c>
      <c r="G501" t="s">
        <v>1034</v>
      </c>
      <c r="H501" t="s">
        <v>2771</v>
      </c>
      <c r="I501" t="s">
        <v>878</v>
      </c>
      <c r="J501" t="s">
        <v>879</v>
      </c>
      <c r="K501" s="1">
        <v>24763</v>
      </c>
      <c r="L501" t="s">
        <v>2772</v>
      </c>
      <c r="M501" t="s">
        <v>2773</v>
      </c>
      <c r="N501" t="s">
        <v>6402</v>
      </c>
    </row>
    <row r="502" spans="1:14" x14ac:dyDescent="0.25">
      <c r="A502">
        <v>80111</v>
      </c>
      <c r="B502" t="s">
        <v>1005</v>
      </c>
      <c r="C502">
        <v>4609</v>
      </c>
      <c r="D502" t="str" cm="1">
        <f t="array" ref="D502">_xlfn.TEXTJOIN(",",TRUE,_xlfn.XLOOKUP(_xlfn.TEXTSPLIT(C502,",")*1,_xlfn._TRO_TRAILING(Artists!A:A),_xlfn._TRO_TRAILING(Artists!B:B)))</f>
        <v>Pablo Picasso</v>
      </c>
      <c r="E502" t="s">
        <v>2775</v>
      </c>
      <c r="F502" cm="1">
        <f t="array" ref="F502">_xlfn.REGEXEXTRACT(E502,"\d{4}")*1</f>
        <v>1906</v>
      </c>
      <c r="G502" t="s">
        <v>1034</v>
      </c>
      <c r="H502" t="s">
        <v>2776</v>
      </c>
      <c r="I502" t="s">
        <v>878</v>
      </c>
      <c r="J502" t="s">
        <v>879</v>
      </c>
      <c r="K502" s="1">
        <v>21662</v>
      </c>
      <c r="L502" t="s">
        <v>2777</v>
      </c>
      <c r="M502" t="s">
        <v>2778</v>
      </c>
      <c r="N502" t="s">
        <v>6374</v>
      </c>
    </row>
    <row r="503" spans="1:14" x14ac:dyDescent="0.25">
      <c r="A503">
        <v>80121</v>
      </c>
      <c r="B503" t="s">
        <v>2779</v>
      </c>
      <c r="C503">
        <v>6624</v>
      </c>
      <c r="D503" t="str" cm="1">
        <f t="array" ref="D503">_xlfn.TEXTJOIN(",",TRUE,_xlfn.XLOOKUP(_xlfn.TEXTSPLIT(C503,",")*1,_xlfn._TRO_TRAILING(Artists!A:A),_xlfn._TRO_TRAILING(Artists!B:B)))</f>
        <v>Fernand Léger</v>
      </c>
      <c r="E503" t="s">
        <v>2780</v>
      </c>
      <c r="F503" cm="1">
        <f t="array" ref="F503">_xlfn.REGEXEXTRACT(E503,"\d{4}")*1</f>
        <v>1908</v>
      </c>
      <c r="G503" t="s">
        <v>1034</v>
      </c>
      <c r="H503" t="s">
        <v>2781</v>
      </c>
      <c r="I503" t="s">
        <v>878</v>
      </c>
      <c r="J503" t="s">
        <v>879</v>
      </c>
      <c r="K503" s="1">
        <v>24763</v>
      </c>
      <c r="L503" t="s">
        <v>2782</v>
      </c>
      <c r="M503" t="s">
        <v>2783</v>
      </c>
      <c r="N503" t="s">
        <v>6401</v>
      </c>
    </row>
    <row r="504" spans="1:14" x14ac:dyDescent="0.25">
      <c r="A504">
        <v>80131</v>
      </c>
      <c r="B504" t="s">
        <v>2784</v>
      </c>
      <c r="C504">
        <v>3663</v>
      </c>
      <c r="D504" t="str" cm="1">
        <f t="array" ref="D504">_xlfn.TEXTJOIN(",",TRUE,_xlfn.XLOOKUP(_xlfn.TEXTSPLIT(C504,",")*1,_xlfn._TRO_TRAILING(Artists!A:A),_xlfn._TRO_TRAILING(Artists!B:B)))</f>
        <v>Stanton Macdonald-Wright</v>
      </c>
      <c r="E504" t="s">
        <v>2785</v>
      </c>
      <c r="F504" cm="1">
        <f t="array" ref="F504">_xlfn.REGEXEXTRACT(E504,"\d{4}")*1</f>
        <v>1917</v>
      </c>
      <c r="G504" t="s">
        <v>1034</v>
      </c>
      <c r="H504" t="s">
        <v>2786</v>
      </c>
      <c r="I504" t="s">
        <v>878</v>
      </c>
      <c r="J504" t="s">
        <v>879</v>
      </c>
      <c r="K504" s="1">
        <v>24763</v>
      </c>
      <c r="L504" t="s">
        <v>2787</v>
      </c>
      <c r="M504" t="s">
        <v>2788</v>
      </c>
      <c r="N504" t="s">
        <v>6401</v>
      </c>
    </row>
    <row r="505" spans="1:14" x14ac:dyDescent="0.25">
      <c r="A505">
        <v>80144</v>
      </c>
      <c r="B505" t="s">
        <v>2789</v>
      </c>
      <c r="C505">
        <v>5454</v>
      </c>
      <c r="D505" t="str" cm="1">
        <f t="array" ref="D505">_xlfn.TEXTJOIN(",",TRUE,_xlfn.XLOOKUP(_xlfn.TEXTSPLIT(C505,",")*1,_xlfn._TRO_TRAILING(Artists!A:A),_xlfn._TRO_TRAILING(Artists!B:B)))</f>
        <v>David Alfaro Siqueiros</v>
      </c>
      <c r="E505">
        <v>1937</v>
      </c>
      <c r="F505" cm="1">
        <f t="array" ref="F505">_xlfn.REGEXEXTRACT(E505,"\d{4}")*1</f>
        <v>1937</v>
      </c>
      <c r="G505" t="s">
        <v>2790</v>
      </c>
      <c r="H505" t="s">
        <v>2791</v>
      </c>
      <c r="I505" t="s">
        <v>878</v>
      </c>
      <c r="J505" t="s">
        <v>879</v>
      </c>
      <c r="K505" s="1">
        <v>14587</v>
      </c>
      <c r="L505" t="s">
        <v>2792</v>
      </c>
      <c r="M505" t="s">
        <v>2793</v>
      </c>
      <c r="N505" t="s">
        <v>6377</v>
      </c>
    </row>
    <row r="506" spans="1:14" x14ac:dyDescent="0.25">
      <c r="A506">
        <v>80146</v>
      </c>
      <c r="B506" t="s">
        <v>2794</v>
      </c>
      <c r="C506">
        <v>4057</v>
      </c>
      <c r="D506" t="str" cm="1">
        <f t="array" ref="D506">_xlfn.TEXTJOIN(",",TRUE,_xlfn.XLOOKUP(_xlfn.TEXTSPLIT(C506,",")*1,_xlfn._TRO_TRAILING(Artists!A:A),_xlfn._TRO_TRAILING(Artists!B:B)))</f>
        <v>Piet Mondrian</v>
      </c>
      <c r="E506">
        <v>1914</v>
      </c>
      <c r="F506" cm="1">
        <f t="array" ref="F506">_xlfn.REGEXEXTRACT(E506,"\d{4}")*1</f>
        <v>1914</v>
      </c>
      <c r="G506" t="s">
        <v>1034</v>
      </c>
      <c r="H506" t="s">
        <v>2795</v>
      </c>
      <c r="I506" t="s">
        <v>878</v>
      </c>
      <c r="J506" t="s">
        <v>879</v>
      </c>
      <c r="K506" s="1">
        <v>24763</v>
      </c>
      <c r="L506" t="s">
        <v>2796</v>
      </c>
      <c r="M506" t="s">
        <v>2797</v>
      </c>
      <c r="N506" t="s">
        <v>6401</v>
      </c>
    </row>
    <row r="507" spans="1:14" x14ac:dyDescent="0.25">
      <c r="A507">
        <v>80160</v>
      </c>
      <c r="B507" t="s">
        <v>2798</v>
      </c>
      <c r="C507">
        <v>4057</v>
      </c>
      <c r="D507" t="str" cm="1">
        <f t="array" ref="D507">_xlfn.TEXTJOIN(",",TRUE,_xlfn.XLOOKUP(_xlfn.TEXTSPLIT(C507,",")*1,_xlfn._TRO_TRAILING(Artists!A:A),_xlfn._TRO_TRAILING(Artists!B:B)))</f>
        <v>Piet Mondrian</v>
      </c>
      <c r="E507" t="s">
        <v>2799</v>
      </c>
      <c r="F507" cm="1">
        <f t="array" ref="F507">_xlfn.REGEXEXTRACT(E507,"\d{4}")*1</f>
        <v>1937</v>
      </c>
      <c r="G507" t="s">
        <v>1034</v>
      </c>
      <c r="H507" t="s">
        <v>2800</v>
      </c>
      <c r="I507" t="s">
        <v>878</v>
      </c>
      <c r="J507" t="s">
        <v>879</v>
      </c>
      <c r="K507" s="1">
        <v>24763</v>
      </c>
      <c r="L507" t="s">
        <v>2801</v>
      </c>
      <c r="M507" t="s">
        <v>2802</v>
      </c>
      <c r="N507" t="s">
        <v>6370</v>
      </c>
    </row>
    <row r="508" spans="1:14" x14ac:dyDescent="0.25">
      <c r="A508">
        <v>80174</v>
      </c>
      <c r="B508" t="s">
        <v>2803</v>
      </c>
      <c r="C508">
        <v>5021</v>
      </c>
      <c r="D508" t="str" cm="1">
        <f t="array" ref="D508">_xlfn.TEXTJOIN(",",TRUE,_xlfn.XLOOKUP(_xlfn.TEXTSPLIT(C508,",")*1,_xlfn._TRO_TRAILING(Artists!A:A),_xlfn._TRO_TRAILING(Artists!B:B)))</f>
        <v>James Rosenquist</v>
      </c>
      <c r="E508">
        <v>1962</v>
      </c>
      <c r="F508" cm="1">
        <f t="array" ref="F508">_xlfn.REGEXEXTRACT(E508,"\d{4}")*1</f>
        <v>1962</v>
      </c>
      <c r="G508" t="s">
        <v>2804</v>
      </c>
      <c r="H508" t="s">
        <v>2805</v>
      </c>
      <c r="I508" t="s">
        <v>878</v>
      </c>
      <c r="J508" t="s">
        <v>879</v>
      </c>
      <c r="K508" s="1">
        <v>24763</v>
      </c>
      <c r="L508" t="s">
        <v>2806</v>
      </c>
      <c r="M508" t="s">
        <v>2807</v>
      </c>
      <c r="N508" t="s">
        <v>6363</v>
      </c>
    </row>
    <row r="509" spans="1:14" x14ac:dyDescent="0.25">
      <c r="A509">
        <v>80176</v>
      </c>
      <c r="B509" t="s">
        <v>2808</v>
      </c>
      <c r="C509">
        <v>3315</v>
      </c>
      <c r="D509" t="str" cm="1">
        <f t="array" ref="D509">_xlfn.TEXTJOIN(",",TRUE,_xlfn.XLOOKUP(_xlfn.TEXTSPLIT(C509,",")*1,_xlfn._TRO_TRAILING(Artists!A:A),_xlfn._TRO_TRAILING(Artists!B:B)))</f>
        <v>Yayoi Kusama</v>
      </c>
      <c r="E509">
        <v>1959</v>
      </c>
      <c r="F509" cm="1">
        <f t="array" ref="F509">_xlfn.REGEXEXTRACT(E509,"\d{4}")*1</f>
        <v>1959</v>
      </c>
      <c r="G509" t="s">
        <v>1034</v>
      </c>
      <c r="H509" t="s">
        <v>2809</v>
      </c>
      <c r="I509" t="s">
        <v>878</v>
      </c>
      <c r="J509" t="s">
        <v>879</v>
      </c>
      <c r="K509" s="1">
        <v>35780</v>
      </c>
      <c r="L509" t="s">
        <v>2810</v>
      </c>
      <c r="M509" t="s">
        <v>2811</v>
      </c>
      <c r="N509" t="s">
        <v>6407</v>
      </c>
    </row>
    <row r="510" spans="1:14" x14ac:dyDescent="0.25">
      <c r="A510">
        <v>80190</v>
      </c>
      <c r="B510" t="s">
        <v>2812</v>
      </c>
      <c r="C510">
        <v>3197</v>
      </c>
      <c r="D510" t="str" cm="1">
        <f t="array" ref="D510">_xlfn.TEXTJOIN(",",TRUE,_xlfn.XLOOKUP(_xlfn.TEXTSPLIT(C510,",")*1,_xlfn._TRO_TRAILING(Artists!A:A),_xlfn._TRO_TRAILING(Artists!B:B)))</f>
        <v>Oskar Kokoschka</v>
      </c>
      <c r="E510">
        <v>1909</v>
      </c>
      <c r="F510" cm="1">
        <f t="array" ref="F510">_xlfn.REGEXEXTRACT(E510,"\d{4}")*1</f>
        <v>1909</v>
      </c>
      <c r="G510" t="s">
        <v>1034</v>
      </c>
      <c r="H510" t="s">
        <v>2813</v>
      </c>
      <c r="I510" t="s">
        <v>878</v>
      </c>
      <c r="J510" t="s">
        <v>879</v>
      </c>
      <c r="K510" s="1">
        <v>14587</v>
      </c>
      <c r="L510" t="s">
        <v>2814</v>
      </c>
      <c r="M510" t="s">
        <v>2815</v>
      </c>
      <c r="N510" t="s">
        <v>6366</v>
      </c>
    </row>
    <row r="511" spans="1:14" x14ac:dyDescent="0.25">
      <c r="A511">
        <v>80196</v>
      </c>
      <c r="B511" t="s">
        <v>2816</v>
      </c>
      <c r="C511">
        <v>6524</v>
      </c>
      <c r="D511" t="str" cm="1">
        <f t="array" ref="D511">_xlfn.TEXTJOIN(",",TRUE,_xlfn.XLOOKUP(_xlfn.TEXTSPLIT(C511,",")*1,_xlfn._TRO_TRAILING(Artists!A:A),_xlfn._TRO_TRAILING(Artists!B:B)))</f>
        <v>Jack Youngerman</v>
      </c>
      <c r="E511">
        <v>1958</v>
      </c>
      <c r="F511" cm="1">
        <f t="array" ref="F511">_xlfn.REGEXEXTRACT(E511,"\d{4}")*1</f>
        <v>1958</v>
      </c>
      <c r="G511" t="s">
        <v>1034</v>
      </c>
      <c r="H511" t="s">
        <v>2817</v>
      </c>
      <c r="I511" t="s">
        <v>878</v>
      </c>
      <c r="J511" t="s">
        <v>879</v>
      </c>
      <c r="K511" s="1">
        <v>34676</v>
      </c>
      <c r="L511" t="s">
        <v>2818</v>
      </c>
      <c r="M511" t="s">
        <v>2819</v>
      </c>
      <c r="N511" t="s">
        <v>6363</v>
      </c>
    </row>
    <row r="512" spans="1:14" x14ac:dyDescent="0.25">
      <c r="A512">
        <v>80220</v>
      </c>
      <c r="B512" t="s">
        <v>2820</v>
      </c>
      <c r="C512">
        <v>4058</v>
      </c>
      <c r="D512" t="str" cm="1">
        <f t="array" ref="D512">_xlfn.TEXTJOIN(",",TRUE,_xlfn.XLOOKUP(_xlfn.TEXTSPLIT(C512,",")*1,_xlfn._TRO_TRAILING(Artists!A:A),_xlfn._TRO_TRAILING(Artists!B:B)))</f>
        <v>Claude Monet</v>
      </c>
      <c r="E512" t="s">
        <v>2678</v>
      </c>
      <c r="F512" cm="1">
        <f t="array" ref="F512">_xlfn.REGEXEXTRACT(E512,"\d{4}")*1</f>
        <v>1914</v>
      </c>
      <c r="G512" t="s">
        <v>1957</v>
      </c>
      <c r="H512" t="s">
        <v>2821</v>
      </c>
      <c r="I512" t="s">
        <v>878</v>
      </c>
      <c r="J512" t="s">
        <v>879</v>
      </c>
      <c r="K512" s="1">
        <v>21808</v>
      </c>
      <c r="L512" t="s">
        <v>2822</v>
      </c>
      <c r="M512" t="s">
        <v>2823</v>
      </c>
      <c r="N512" t="s">
        <v>6412</v>
      </c>
    </row>
    <row r="513" spans="1:14" x14ac:dyDescent="0.25">
      <c r="A513">
        <v>80257</v>
      </c>
      <c r="B513" t="s">
        <v>2824</v>
      </c>
      <c r="C513">
        <v>4441</v>
      </c>
      <c r="D513" t="str" cm="1">
        <f t="array" ref="D513">_xlfn.TEXTJOIN(",",TRUE,_xlfn.XLOOKUP(_xlfn.TEXTSPLIT(C513,",")*1,_xlfn._TRO_TRAILING(Artists!A:A),_xlfn._TRO_TRAILING(Artists!B:B)))</f>
        <v>Alfonso Ossorio</v>
      </c>
      <c r="E513">
        <v>1969</v>
      </c>
      <c r="F513" cm="1">
        <f t="array" ref="F513">_xlfn.REGEXEXTRACT(E513,"\d{4}")*1</f>
        <v>1969</v>
      </c>
      <c r="G513" t="s">
        <v>2825</v>
      </c>
      <c r="H513" t="s">
        <v>2826</v>
      </c>
      <c r="I513" t="s">
        <v>878</v>
      </c>
      <c r="J513" t="s">
        <v>879</v>
      </c>
      <c r="K513" s="1">
        <v>26274</v>
      </c>
      <c r="L513" t="s">
        <v>2827</v>
      </c>
      <c r="M513" t="s">
        <v>2828</v>
      </c>
      <c r="N513" t="s">
        <v>6414</v>
      </c>
    </row>
    <row r="514" spans="1:14" x14ac:dyDescent="0.25">
      <c r="A514">
        <v>80258</v>
      </c>
      <c r="B514" t="s">
        <v>2829</v>
      </c>
      <c r="C514">
        <v>3048</v>
      </c>
      <c r="D514" t="str" cm="1">
        <f t="array" ref="D514">_xlfn.TEXTJOIN(",",TRUE,_xlfn.XLOOKUP(_xlfn.TEXTSPLIT(C514,",")*1,_xlfn._TRO_TRAILING(Artists!A:A),_xlfn._TRO_TRAILING(Artists!B:B)))</f>
        <v>Ellsworth Kelly</v>
      </c>
      <c r="E514">
        <v>1962</v>
      </c>
      <c r="F514" cm="1">
        <f t="array" ref="F514">_xlfn.REGEXEXTRACT(E514,"\d{4}")*1</f>
        <v>1962</v>
      </c>
      <c r="G514" t="s">
        <v>1034</v>
      </c>
      <c r="H514" t="s">
        <v>2830</v>
      </c>
      <c r="I514" t="s">
        <v>878</v>
      </c>
      <c r="J514" t="s">
        <v>879</v>
      </c>
      <c r="K514" s="1">
        <v>29564</v>
      </c>
      <c r="L514" t="s">
        <v>2831</v>
      </c>
      <c r="M514" t="s">
        <v>2832</v>
      </c>
      <c r="N514" t="s">
        <v>6363</v>
      </c>
    </row>
    <row r="515" spans="1:14" x14ac:dyDescent="0.25">
      <c r="A515">
        <v>80259</v>
      </c>
      <c r="B515" t="s">
        <v>2833</v>
      </c>
      <c r="C515">
        <v>4607</v>
      </c>
      <c r="D515" t="str" cm="1">
        <f t="array" ref="D515">_xlfn.TEXTJOIN(",",TRUE,_xlfn.XLOOKUP(_xlfn.TEXTSPLIT(C515,",")*1,_xlfn._TRO_TRAILING(Artists!A:A),_xlfn._TRO_TRAILING(Artists!B:B)))</f>
        <v>Francis Picabia</v>
      </c>
      <c r="E515" t="s">
        <v>2834</v>
      </c>
      <c r="F515" cm="1">
        <f t="array" ref="F515">_xlfn.REGEXEXTRACT(E515,"\d{4}")*1</f>
        <v>1912</v>
      </c>
      <c r="G515" t="s">
        <v>1034</v>
      </c>
      <c r="H515" t="s">
        <v>2835</v>
      </c>
      <c r="I515" t="s">
        <v>878</v>
      </c>
      <c r="J515" t="s">
        <v>879</v>
      </c>
      <c r="K515" s="1">
        <v>33217</v>
      </c>
      <c r="L515" t="s">
        <v>2836</v>
      </c>
      <c r="M515" t="s">
        <v>2837</v>
      </c>
      <c r="N515" t="s">
        <v>6401</v>
      </c>
    </row>
    <row r="516" spans="1:14" x14ac:dyDescent="0.25">
      <c r="A516">
        <v>80269</v>
      </c>
      <c r="B516" t="s">
        <v>2838</v>
      </c>
      <c r="C516">
        <v>4856</v>
      </c>
      <c r="D516" t="str" cm="1">
        <f t="array" ref="D516">_xlfn.TEXTJOIN(",",TRUE,_xlfn.XLOOKUP(_xlfn.TEXTSPLIT(C516,",")*1,_xlfn._TRO_TRAILING(Artists!A:A),_xlfn._TRO_TRAILING(Artists!B:B)))</f>
        <v>Ad Reinhardt</v>
      </c>
      <c r="E516">
        <v>1950</v>
      </c>
      <c r="F516" cm="1">
        <f t="array" ref="F516">_xlfn.REGEXEXTRACT(E516,"\d{4}")*1</f>
        <v>1950</v>
      </c>
      <c r="G516" t="s">
        <v>1034</v>
      </c>
      <c r="H516" t="s">
        <v>2839</v>
      </c>
      <c r="I516" t="s">
        <v>878</v>
      </c>
      <c r="J516" t="s">
        <v>879</v>
      </c>
      <c r="K516" s="1">
        <v>29564</v>
      </c>
      <c r="L516" t="s">
        <v>2840</v>
      </c>
      <c r="M516" t="s">
        <v>2841</v>
      </c>
      <c r="N516" t="s">
        <v>6384</v>
      </c>
    </row>
    <row r="517" spans="1:14" x14ac:dyDescent="0.25">
      <c r="A517">
        <v>80298</v>
      </c>
      <c r="B517" t="s">
        <v>2820</v>
      </c>
      <c r="C517">
        <v>4058</v>
      </c>
      <c r="D517" t="str" cm="1">
        <f t="array" ref="D517">_xlfn.TEXTJOIN(",",TRUE,_xlfn.XLOOKUP(_xlfn.TEXTSPLIT(C517,",")*1,_xlfn._TRO_TRAILING(Artists!A:A),_xlfn._TRO_TRAILING(Artists!B:B)))</f>
        <v>Claude Monet</v>
      </c>
      <c r="E517" t="s">
        <v>2678</v>
      </c>
      <c r="F517" cm="1">
        <f t="array" ref="F517">_xlfn.REGEXEXTRACT(E517,"\d{4}")*1</f>
        <v>1914</v>
      </c>
      <c r="G517" t="s">
        <v>1034</v>
      </c>
      <c r="H517" t="s">
        <v>2842</v>
      </c>
      <c r="I517" t="s">
        <v>878</v>
      </c>
      <c r="J517" t="s">
        <v>879</v>
      </c>
      <c r="K517" s="1">
        <v>21914</v>
      </c>
      <c r="L517" t="s">
        <v>2843</v>
      </c>
      <c r="M517" t="s">
        <v>2844</v>
      </c>
      <c r="N517" t="s">
        <v>6412</v>
      </c>
    </row>
    <row r="518" spans="1:14" x14ac:dyDescent="0.25">
      <c r="A518">
        <v>80302</v>
      </c>
      <c r="B518" t="s">
        <v>1961</v>
      </c>
      <c r="C518">
        <v>1053</v>
      </c>
      <c r="D518" t="str" cm="1">
        <f t="array" ref="D518">_xlfn.TEXTJOIN(",",TRUE,_xlfn.XLOOKUP(_xlfn.TEXTSPLIT(C518,",")*1,_xlfn._TRO_TRAILING(Artists!A:A),_xlfn._TRO_TRAILING(Artists!B:B)))</f>
        <v>Paul Cézanne</v>
      </c>
      <c r="E518" t="s">
        <v>2845</v>
      </c>
      <c r="F518" cm="1">
        <f t="array" ref="F518">_xlfn.REGEXEXTRACT(E518,"\d{4}")*1</f>
        <v>1879</v>
      </c>
      <c r="G518" t="s">
        <v>1034</v>
      </c>
      <c r="H518" t="s">
        <v>2846</v>
      </c>
      <c r="I518" t="s">
        <v>878</v>
      </c>
      <c r="J518" t="s">
        <v>879</v>
      </c>
      <c r="K518" s="1">
        <v>21914</v>
      </c>
      <c r="L518" t="s">
        <v>2847</v>
      </c>
      <c r="M518" t="s">
        <v>2848</v>
      </c>
      <c r="N518" t="s">
        <v>6415</v>
      </c>
    </row>
    <row r="519" spans="1:14" x14ac:dyDescent="0.25">
      <c r="A519">
        <v>80350</v>
      </c>
      <c r="B519" t="s">
        <v>2849</v>
      </c>
      <c r="C519">
        <v>3832</v>
      </c>
      <c r="D519" t="str" cm="1">
        <f t="array" ref="D519">_xlfn.TEXTJOIN(",",TRUE,_xlfn.XLOOKUP(_xlfn.TEXTSPLIT(C519,",")*1,_xlfn._TRO_TRAILING(Artists!A:A),_xlfn._TRO_TRAILING(Artists!B:B)))</f>
        <v>Henri Matisse</v>
      </c>
      <c r="E519" t="s">
        <v>2850</v>
      </c>
      <c r="F519" cm="1">
        <f t="array" ref="F519">_xlfn.REGEXEXTRACT(E519,"\d{4}")*1</f>
        <v>1911</v>
      </c>
      <c r="G519" t="s">
        <v>1034</v>
      </c>
      <c r="H519" t="s">
        <v>2851</v>
      </c>
      <c r="I519" t="s">
        <v>878</v>
      </c>
      <c r="J519" t="s">
        <v>879</v>
      </c>
      <c r="K519" s="1">
        <v>35045</v>
      </c>
      <c r="L519" t="s">
        <v>2852</v>
      </c>
      <c r="M519" t="s">
        <v>2853</v>
      </c>
      <c r="N519" t="s">
        <v>6395</v>
      </c>
    </row>
    <row r="520" spans="1:14" x14ac:dyDescent="0.25">
      <c r="A520">
        <v>80354</v>
      </c>
      <c r="B520" t="s">
        <v>2854</v>
      </c>
      <c r="C520">
        <v>5358</v>
      </c>
      <c r="D520" t="str" cm="1">
        <f t="array" ref="D520">_xlfn.TEXTJOIN(",",TRUE,_xlfn.XLOOKUP(_xlfn.TEXTSPLIT(C520,",")*1,_xlfn._TRO_TRAILING(Artists!A:A),_xlfn._TRO_TRAILING(Artists!B:B)))</f>
        <v>Georges-Pierre Seurat</v>
      </c>
      <c r="E520" t="s">
        <v>2855</v>
      </c>
      <c r="F520" cm="1">
        <f t="array" ref="F520">_xlfn.REGEXEXTRACT(E520,"\d{4}")*1</f>
        <v>1890</v>
      </c>
      <c r="G520" t="s">
        <v>1034</v>
      </c>
      <c r="H520" t="s">
        <v>2856</v>
      </c>
      <c r="I520" t="s">
        <v>878</v>
      </c>
      <c r="J520" t="s">
        <v>879</v>
      </c>
      <c r="K520" s="1">
        <v>23363</v>
      </c>
      <c r="L520" t="s">
        <v>2857</v>
      </c>
      <c r="M520" t="s">
        <v>2858</v>
      </c>
      <c r="N520" t="s">
        <v>6367</v>
      </c>
    </row>
    <row r="521" spans="1:14" x14ac:dyDescent="0.25">
      <c r="A521">
        <v>80357</v>
      </c>
      <c r="B521" t="s">
        <v>917</v>
      </c>
      <c r="C521">
        <v>4609</v>
      </c>
      <c r="D521" t="str" cm="1">
        <f t="array" ref="D521">_xlfn.TEXTJOIN(",",TRUE,_xlfn.XLOOKUP(_xlfn.TEXTSPLIT(C521,",")*1,_xlfn._TRO_TRAILING(Artists!A:A),_xlfn._TRO_TRAILING(Artists!B:B)))</f>
        <v>Pablo Picasso</v>
      </c>
      <c r="E521" t="s">
        <v>2859</v>
      </c>
      <c r="F521" cm="1">
        <f t="array" ref="F521">_xlfn.REGEXEXTRACT(E521,"\d{4}")*1</f>
        <v>1908</v>
      </c>
      <c r="G521" t="s">
        <v>1034</v>
      </c>
      <c r="H521" t="s">
        <v>2860</v>
      </c>
      <c r="I521" t="s">
        <v>878</v>
      </c>
      <c r="J521" t="s">
        <v>879</v>
      </c>
      <c r="K521" s="1">
        <v>35045</v>
      </c>
      <c r="L521" t="s">
        <v>2861</v>
      </c>
      <c r="M521" t="s">
        <v>2862</v>
      </c>
      <c r="N521" t="s">
        <v>6401</v>
      </c>
    </row>
    <row r="522" spans="1:14" x14ac:dyDescent="0.25">
      <c r="A522">
        <v>80380</v>
      </c>
      <c r="B522" t="s">
        <v>2863</v>
      </c>
      <c r="C522">
        <v>3710</v>
      </c>
      <c r="D522" t="str" cm="1">
        <f t="array" ref="D522">_xlfn.TEXTJOIN(",",TRUE,_xlfn.XLOOKUP(_xlfn.TEXTSPLIT(C522,",")*1,_xlfn._TRO_TRAILING(Artists!A:A),_xlfn._TRO_TRAILING(Artists!B:B)))</f>
        <v>Kazimir Malevich</v>
      </c>
      <c r="E522" t="s">
        <v>2864</v>
      </c>
      <c r="F522" cm="1">
        <f t="array" ref="F522">_xlfn.REGEXEXTRACT(E522,"\d{4}")*1</f>
        <v>1914</v>
      </c>
      <c r="G522" t="s">
        <v>2865</v>
      </c>
      <c r="H522" t="s">
        <v>2866</v>
      </c>
      <c r="I522" t="s">
        <v>878</v>
      </c>
      <c r="J522" t="s">
        <v>879</v>
      </c>
      <c r="K522" s="1">
        <v>13034</v>
      </c>
      <c r="L522" t="s">
        <v>2867</v>
      </c>
      <c r="M522" t="s">
        <v>2868</v>
      </c>
      <c r="N522" t="s">
        <v>6401</v>
      </c>
    </row>
    <row r="523" spans="1:14" x14ac:dyDescent="0.25">
      <c r="A523">
        <v>80381</v>
      </c>
      <c r="B523" t="s">
        <v>2869</v>
      </c>
      <c r="C523">
        <v>3710</v>
      </c>
      <c r="D523" t="str" cm="1">
        <f t="array" ref="D523">_xlfn.TEXTJOIN(",",TRUE,_xlfn.XLOOKUP(_xlfn.TEXTSPLIT(C523,",")*1,_xlfn._TRO_TRAILING(Artists!A:A),_xlfn._TRO_TRAILING(Artists!B:B)))</f>
        <v>Kazimir Malevich</v>
      </c>
      <c r="E523" t="s">
        <v>2870</v>
      </c>
      <c r="F523" cm="1">
        <f t="array" ref="F523">_xlfn.REGEXEXTRACT(E523,"\d{4}")*1</f>
        <v>1912</v>
      </c>
      <c r="G523" t="s">
        <v>1034</v>
      </c>
      <c r="H523" t="s">
        <v>2871</v>
      </c>
      <c r="I523" t="s">
        <v>878</v>
      </c>
      <c r="J523" t="s">
        <v>879</v>
      </c>
      <c r="K523" s="1">
        <v>13034</v>
      </c>
      <c r="L523" t="s">
        <v>2872</v>
      </c>
      <c r="M523" t="s">
        <v>2873</v>
      </c>
      <c r="N523" t="s">
        <v>6401</v>
      </c>
    </row>
    <row r="524" spans="1:14" x14ac:dyDescent="0.25">
      <c r="A524">
        <v>80383</v>
      </c>
      <c r="B524" t="s">
        <v>2874</v>
      </c>
      <c r="C524">
        <v>3710</v>
      </c>
      <c r="D524" t="str" cm="1">
        <f t="array" ref="D524">_xlfn.TEXTJOIN(",",TRUE,_xlfn.XLOOKUP(_xlfn.TEXTSPLIT(C524,",")*1,_xlfn._TRO_TRAILING(Artists!A:A),_xlfn._TRO_TRAILING(Artists!B:B)))</f>
        <v>Kazimir Malevich</v>
      </c>
      <c r="E524">
        <v>1915</v>
      </c>
      <c r="F524" cm="1">
        <f t="array" ref="F524">_xlfn.REGEXEXTRACT(E524,"\d{4}")*1</f>
        <v>1915</v>
      </c>
      <c r="G524" t="s">
        <v>1034</v>
      </c>
      <c r="H524" t="s">
        <v>2875</v>
      </c>
      <c r="I524" t="s">
        <v>878</v>
      </c>
      <c r="J524" t="s">
        <v>879</v>
      </c>
      <c r="K524" s="1">
        <v>13034</v>
      </c>
      <c r="L524" t="s">
        <v>2876</v>
      </c>
      <c r="M524" t="s">
        <v>2877</v>
      </c>
      <c r="N524" t="s">
        <v>6371</v>
      </c>
    </row>
    <row r="525" spans="1:14" x14ac:dyDescent="0.25">
      <c r="A525">
        <v>80385</v>
      </c>
      <c r="B525" t="s">
        <v>2878</v>
      </c>
      <c r="C525">
        <v>3710</v>
      </c>
      <c r="D525" t="str" cm="1">
        <f t="array" ref="D525">_xlfn.TEXTJOIN(",",TRUE,_xlfn.XLOOKUP(_xlfn.TEXTSPLIT(C525,",")*1,_xlfn._TRO_TRAILING(Artists!A:A),_xlfn._TRO_TRAILING(Artists!B:B)))</f>
        <v>Kazimir Malevich</v>
      </c>
      <c r="E525">
        <v>1918</v>
      </c>
      <c r="F525" cm="1">
        <f t="array" ref="F525">_xlfn.REGEXEXTRACT(E525,"\d{4}")*1</f>
        <v>1918</v>
      </c>
      <c r="G525" t="s">
        <v>1034</v>
      </c>
      <c r="H525" t="s">
        <v>2879</v>
      </c>
      <c r="I525" t="s">
        <v>878</v>
      </c>
      <c r="J525" t="s">
        <v>879</v>
      </c>
      <c r="K525" s="1">
        <v>13034</v>
      </c>
      <c r="L525" t="s">
        <v>2880</v>
      </c>
      <c r="M525" t="s">
        <v>2881</v>
      </c>
      <c r="N525" t="s">
        <v>6371</v>
      </c>
    </row>
    <row r="526" spans="1:14" x14ac:dyDescent="0.25">
      <c r="A526">
        <v>80387</v>
      </c>
      <c r="B526" t="s">
        <v>2882</v>
      </c>
      <c r="C526">
        <v>3710</v>
      </c>
      <c r="D526" t="str" cm="1">
        <f t="array" ref="D526">_xlfn.TEXTJOIN(",",TRUE,_xlfn.XLOOKUP(_xlfn.TEXTSPLIT(C526,",")*1,_xlfn._TRO_TRAILING(Artists!A:A),_xlfn._TRO_TRAILING(Artists!B:B)))</f>
        <v>Kazimir Malevich</v>
      </c>
      <c r="E526" t="s">
        <v>1220</v>
      </c>
      <c r="F526" cm="1">
        <f t="array" ref="F526">_xlfn.REGEXEXTRACT(E526,"\d{4}")*1</f>
        <v>1916</v>
      </c>
      <c r="G526" t="s">
        <v>1034</v>
      </c>
      <c r="H526" t="s">
        <v>2883</v>
      </c>
      <c r="I526" t="s">
        <v>878</v>
      </c>
      <c r="J526" t="s">
        <v>879</v>
      </c>
      <c r="K526" s="1">
        <v>13034</v>
      </c>
      <c r="L526" t="s">
        <v>2884</v>
      </c>
      <c r="M526" t="s">
        <v>2885</v>
      </c>
      <c r="N526" t="s">
        <v>6406</v>
      </c>
    </row>
    <row r="527" spans="1:14" x14ac:dyDescent="0.25">
      <c r="A527">
        <v>80393</v>
      </c>
      <c r="B527" t="s">
        <v>2886</v>
      </c>
      <c r="C527">
        <v>4609</v>
      </c>
      <c r="D527" t="str" cm="1">
        <f t="array" ref="D527">_xlfn.TEXTJOIN(",",TRUE,_xlfn.XLOOKUP(_xlfn.TEXTSPLIT(C527,",")*1,_xlfn._TRO_TRAILING(Artists!A:A),_xlfn._TRO_TRAILING(Artists!B:B)))</f>
        <v>Pablo Picasso</v>
      </c>
      <c r="E527" t="s">
        <v>2887</v>
      </c>
      <c r="F527" cm="1">
        <f t="array" ref="F527">_xlfn.REGEXEXTRACT(E527,"\d{4}")*1</f>
        <v>1906</v>
      </c>
      <c r="G527" t="s">
        <v>1034</v>
      </c>
      <c r="H527" t="s">
        <v>638</v>
      </c>
      <c r="I527" t="s">
        <v>878</v>
      </c>
      <c r="J527" t="s">
        <v>879</v>
      </c>
      <c r="K527" s="1">
        <v>35408</v>
      </c>
      <c r="L527" t="s">
        <v>2888</v>
      </c>
      <c r="M527" t="s">
        <v>2889</v>
      </c>
      <c r="N527" t="s">
        <v>6374</v>
      </c>
    </row>
    <row r="528" spans="1:14" x14ac:dyDescent="0.25">
      <c r="A528">
        <v>80394</v>
      </c>
      <c r="B528" t="s">
        <v>2890</v>
      </c>
      <c r="C528">
        <v>4609</v>
      </c>
      <c r="D528" t="str" cm="1">
        <f t="array" ref="D528">_xlfn.TEXTJOIN(",",TRUE,_xlfn.XLOOKUP(_xlfn.TEXTSPLIT(C528,",")*1,_xlfn._TRO_TRAILING(Artists!A:A),_xlfn._TRO_TRAILING(Artists!B:B)))</f>
        <v>Pablo Picasso</v>
      </c>
      <c r="E528" t="s">
        <v>2891</v>
      </c>
      <c r="F528" cm="1">
        <f t="array" ref="F528">_xlfn.REGEXEXTRACT(E528,"\d{4}")*1</f>
        <v>1909</v>
      </c>
      <c r="G528" t="s">
        <v>1034</v>
      </c>
      <c r="H528" t="s">
        <v>2892</v>
      </c>
      <c r="I528" t="s">
        <v>878</v>
      </c>
      <c r="J528" t="s">
        <v>879</v>
      </c>
      <c r="K528" s="1">
        <v>35408</v>
      </c>
      <c r="L528" t="s">
        <v>2893</v>
      </c>
      <c r="M528" t="s">
        <v>2894</v>
      </c>
      <c r="N528" t="s">
        <v>6401</v>
      </c>
    </row>
    <row r="529" spans="1:14" x14ac:dyDescent="0.25">
      <c r="A529">
        <v>80412</v>
      </c>
      <c r="B529" t="s">
        <v>2895</v>
      </c>
      <c r="C529">
        <v>6165</v>
      </c>
      <c r="D529" t="str" cm="1">
        <f t="array" ref="D529">_xlfn.TEXTJOIN(",",TRUE,_xlfn.XLOOKUP(_xlfn.TEXTSPLIT(C529,",")*1,_xlfn._TRO_TRAILING(Artists!A:A),_xlfn._TRO_TRAILING(Artists!B:B)))</f>
        <v>Jacques Villon</v>
      </c>
      <c r="E529" t="s">
        <v>1096</v>
      </c>
      <c r="F529" cm="1">
        <f t="array" ref="F529">_xlfn.REGEXEXTRACT(E529,"\d{4}")*1</f>
        <v>1912</v>
      </c>
      <c r="G529" t="s">
        <v>1034</v>
      </c>
      <c r="H529" t="s">
        <v>2896</v>
      </c>
      <c r="I529" t="s">
        <v>878</v>
      </c>
      <c r="J529" t="s">
        <v>879</v>
      </c>
      <c r="K529" s="1">
        <v>28836</v>
      </c>
      <c r="L529" t="s">
        <v>2897</v>
      </c>
      <c r="M529" t="s">
        <v>2898</v>
      </c>
      <c r="N529" t="s">
        <v>6401</v>
      </c>
    </row>
    <row r="530" spans="1:14" x14ac:dyDescent="0.25">
      <c r="A530">
        <v>80430</v>
      </c>
      <c r="B530" t="s">
        <v>2899</v>
      </c>
      <c r="C530">
        <v>4609</v>
      </c>
      <c r="D530" t="str" cm="1">
        <f t="array" ref="D530">_xlfn.TEXTJOIN(",",TRUE,_xlfn.XLOOKUP(_xlfn.TEXTSPLIT(C530,",")*1,_xlfn._TRO_TRAILING(Artists!A:A),_xlfn._TRO_TRAILING(Artists!B:B)))</f>
        <v>Pablo Picasso</v>
      </c>
      <c r="E530" t="s">
        <v>2900</v>
      </c>
      <c r="F530" cm="1">
        <f t="array" ref="F530">_xlfn.REGEXEXTRACT(E530,"\d{4}")*1</f>
        <v>1910</v>
      </c>
      <c r="G530" t="s">
        <v>1034</v>
      </c>
      <c r="H530" t="s">
        <v>2901</v>
      </c>
      <c r="I530" t="s">
        <v>878</v>
      </c>
      <c r="J530" t="s">
        <v>879</v>
      </c>
      <c r="K530" s="1">
        <v>29137</v>
      </c>
      <c r="L530" t="s">
        <v>2902</v>
      </c>
      <c r="M530" t="s">
        <v>2903</v>
      </c>
      <c r="N530" t="s">
        <v>6401</v>
      </c>
    </row>
    <row r="531" spans="1:14" x14ac:dyDescent="0.25">
      <c r="A531">
        <v>80436</v>
      </c>
      <c r="B531" t="s">
        <v>2904</v>
      </c>
      <c r="C531">
        <v>4609</v>
      </c>
      <c r="D531" t="str" cm="1">
        <f t="array" ref="D531">_xlfn.TEXTJOIN(",",TRUE,_xlfn.XLOOKUP(_xlfn.TEXTSPLIT(C531,",")*1,_xlfn._TRO_TRAILING(Artists!A:A),_xlfn._TRO_TRAILING(Artists!B:B)))</f>
        <v>Pablo Picasso</v>
      </c>
      <c r="E531" t="s">
        <v>2905</v>
      </c>
      <c r="F531" cm="1">
        <f t="array" ref="F531">_xlfn.REGEXEXTRACT(E531,"\d{4}")*1</f>
        <v>1913</v>
      </c>
      <c r="G531" t="s">
        <v>2906</v>
      </c>
      <c r="H531" t="s">
        <v>2907</v>
      </c>
      <c r="I531" t="s">
        <v>878</v>
      </c>
      <c r="J531" t="s">
        <v>879</v>
      </c>
      <c r="K531" s="1">
        <v>29137</v>
      </c>
      <c r="L531" t="s">
        <v>2908</v>
      </c>
      <c r="M531" t="s">
        <v>2909</v>
      </c>
      <c r="N531" t="s">
        <v>6401</v>
      </c>
    </row>
    <row r="532" spans="1:14" x14ac:dyDescent="0.25">
      <c r="A532">
        <v>80480</v>
      </c>
      <c r="B532" t="s">
        <v>2911</v>
      </c>
      <c r="C532">
        <v>2229</v>
      </c>
      <c r="D532" t="str" cm="1">
        <f t="array" ref="D532">_xlfn.TEXTJOIN(",",TRUE,_xlfn.XLOOKUP(_xlfn.TEXTSPLIT(C532,",")*1,_xlfn._TRO_TRAILING(Artists!A:A),_xlfn._TRO_TRAILING(Artists!B:B)))</f>
        <v>Natalia Goncharova</v>
      </c>
      <c r="E532" t="s">
        <v>2912</v>
      </c>
      <c r="F532" cm="1">
        <f t="array" ref="F532">_xlfn.REGEXEXTRACT(E532,"\d{4}")*1</f>
        <v>1913</v>
      </c>
      <c r="G532" t="s">
        <v>1034</v>
      </c>
      <c r="H532" t="s">
        <v>2913</v>
      </c>
      <c r="I532" t="s">
        <v>878</v>
      </c>
      <c r="J532" t="s">
        <v>879</v>
      </c>
      <c r="K532" s="1">
        <v>31345</v>
      </c>
      <c r="L532" t="s">
        <v>2914</v>
      </c>
      <c r="M532" t="s">
        <v>2915</v>
      </c>
      <c r="N532" t="s">
        <v>6401</v>
      </c>
    </row>
    <row r="533" spans="1:14" x14ac:dyDescent="0.25">
      <c r="A533">
        <v>80502</v>
      </c>
      <c r="B533" t="s">
        <v>823</v>
      </c>
      <c r="C533">
        <v>3569</v>
      </c>
      <c r="D533" t="str" cm="1">
        <f t="array" ref="D533">_xlfn.TEXTJOIN(",",TRUE,_xlfn.XLOOKUP(_xlfn.TEXTSPLIT(C533,",")*1,_xlfn._TRO_TRAILING(Artists!A:A),_xlfn._TRO_TRAILING(Artists!B:B)))</f>
        <v>El Lissitzky</v>
      </c>
      <c r="E533">
        <v>1922</v>
      </c>
      <c r="F533" cm="1">
        <f t="array" ref="F533">_xlfn.REGEXEXTRACT(E533,"\d{4}")*1</f>
        <v>1922</v>
      </c>
      <c r="G533" t="s">
        <v>1933</v>
      </c>
      <c r="H533" t="s">
        <v>2916</v>
      </c>
      <c r="I533" t="s">
        <v>878</v>
      </c>
      <c r="J533" t="s">
        <v>879</v>
      </c>
      <c r="K533" s="1">
        <v>31345</v>
      </c>
      <c r="L533" t="s">
        <v>2917</v>
      </c>
      <c r="M533" t="s">
        <v>2918</v>
      </c>
      <c r="N533" t="s">
        <v>6371</v>
      </c>
    </row>
    <row r="534" spans="1:14" x14ac:dyDescent="0.25">
      <c r="A534">
        <v>80504</v>
      </c>
      <c r="B534" t="s">
        <v>2919</v>
      </c>
      <c r="C534">
        <v>3710</v>
      </c>
      <c r="D534" t="str" cm="1">
        <f t="array" ref="D534">_xlfn.TEXTJOIN(",",TRUE,_xlfn.XLOOKUP(_xlfn.TEXTSPLIT(C534,",")*1,_xlfn._TRO_TRAILING(Artists!A:A),_xlfn._TRO_TRAILING(Artists!B:B)))</f>
        <v>Kazimir Malevich</v>
      </c>
      <c r="E534">
        <v>1913</v>
      </c>
      <c r="F534" cm="1">
        <f t="array" ref="F534">_xlfn.REGEXEXTRACT(E534,"\d{4}")*1</f>
        <v>1913</v>
      </c>
      <c r="G534" t="s">
        <v>1034</v>
      </c>
      <c r="H534" t="s">
        <v>2920</v>
      </c>
      <c r="I534" t="s">
        <v>878</v>
      </c>
      <c r="J534" t="s">
        <v>879</v>
      </c>
      <c r="K534" s="1">
        <v>31345</v>
      </c>
      <c r="L534" t="s">
        <v>2921</v>
      </c>
      <c r="M534" t="s">
        <v>2922</v>
      </c>
      <c r="N534" t="s">
        <v>6401</v>
      </c>
    </row>
    <row r="535" spans="1:14" x14ac:dyDescent="0.25">
      <c r="A535">
        <v>80521</v>
      </c>
      <c r="B535" t="s">
        <v>2924</v>
      </c>
      <c r="C535">
        <v>4694</v>
      </c>
      <c r="D535" t="str" cm="1">
        <f t="array" ref="D535">_xlfn.TEXTJOIN(",",TRUE,_xlfn.XLOOKUP(_xlfn.TEXTSPLIT(C535,",")*1,_xlfn._TRO_TRAILING(Artists!A:A),_xlfn._TRO_TRAILING(Artists!B:B)))</f>
        <v>Liubov Popova</v>
      </c>
      <c r="E535">
        <v>1914</v>
      </c>
      <c r="F535" cm="1">
        <f t="array" ref="F535">_xlfn.REGEXEXTRACT(E535,"\d{4}")*1</f>
        <v>1914</v>
      </c>
      <c r="G535" t="s">
        <v>1034</v>
      </c>
      <c r="H535" t="s">
        <v>2925</v>
      </c>
      <c r="I535" t="s">
        <v>878</v>
      </c>
      <c r="J535" t="s">
        <v>879</v>
      </c>
      <c r="K535" s="1">
        <v>31345</v>
      </c>
      <c r="L535" t="s">
        <v>2926</v>
      </c>
      <c r="M535" t="s">
        <v>2927</v>
      </c>
      <c r="N535" t="s">
        <v>6401</v>
      </c>
    </row>
    <row r="536" spans="1:14" x14ac:dyDescent="0.25">
      <c r="A536">
        <v>80537</v>
      </c>
      <c r="B536" t="s">
        <v>823</v>
      </c>
      <c r="C536">
        <v>5777</v>
      </c>
      <c r="D536" t="str" cm="1">
        <f t="array" ref="D536">_xlfn.TEXTJOIN(",",TRUE,_xlfn.XLOOKUP(_xlfn.TEXTSPLIT(C536,",")*1,_xlfn._TRO_TRAILING(Artists!A:A),_xlfn._TRO_TRAILING(Artists!B:B)))</f>
        <v>Sophie Taeuber-Arp</v>
      </c>
      <c r="E536">
        <v>1930</v>
      </c>
      <c r="F536" cm="1">
        <f t="array" ref="F536">_xlfn.REGEXEXTRACT(E536,"\d{4}")*1</f>
        <v>1930</v>
      </c>
      <c r="G536" t="s">
        <v>2928</v>
      </c>
      <c r="H536" t="s">
        <v>2929</v>
      </c>
      <c r="I536" t="s">
        <v>878</v>
      </c>
      <c r="J536" t="s">
        <v>879</v>
      </c>
      <c r="K536" s="1">
        <v>31345</v>
      </c>
      <c r="L536" t="s">
        <v>2930</v>
      </c>
      <c r="M536" t="s">
        <v>2931</v>
      </c>
      <c r="N536" t="s">
        <v>6399</v>
      </c>
    </row>
    <row r="537" spans="1:14" x14ac:dyDescent="0.25">
      <c r="A537">
        <v>80564</v>
      </c>
      <c r="B537" t="s">
        <v>2932</v>
      </c>
      <c r="C537">
        <v>5047</v>
      </c>
      <c r="D537" t="str" cm="1">
        <f t="array" ref="D537">_xlfn.TEXTJOIN(",",TRUE,_xlfn.XLOOKUP(_xlfn.TEXTSPLIT(C537,",")*1,_xlfn._TRO_TRAILING(Artists!A:A),_xlfn._TRO_TRAILING(Artists!B:B)))</f>
        <v>Mark Rothko</v>
      </c>
      <c r="E537">
        <v>1948</v>
      </c>
      <c r="F537" cm="1">
        <f t="array" ref="F537">_xlfn.REGEXEXTRACT(E537,"\d{4}")*1</f>
        <v>1948</v>
      </c>
      <c r="G537" t="s">
        <v>1034</v>
      </c>
      <c r="H537" t="s">
        <v>2933</v>
      </c>
      <c r="I537" t="s">
        <v>878</v>
      </c>
      <c r="J537" t="s">
        <v>879</v>
      </c>
      <c r="K537" s="1">
        <v>25609</v>
      </c>
      <c r="L537" t="s">
        <v>2934</v>
      </c>
      <c r="M537" t="s">
        <v>2935</v>
      </c>
      <c r="N537" t="s">
        <v>6403</v>
      </c>
    </row>
    <row r="538" spans="1:14" x14ac:dyDescent="0.25">
      <c r="A538">
        <v>80565</v>
      </c>
      <c r="B538" t="s">
        <v>2936</v>
      </c>
      <c r="C538">
        <v>5047</v>
      </c>
      <c r="D538" t="str" cm="1">
        <f t="array" ref="D538">_xlfn.TEXTJOIN(",",TRUE,_xlfn.XLOOKUP(_xlfn.TEXTSPLIT(C538,",")*1,_xlfn._TRO_TRAILING(Artists!A:A),_xlfn._TRO_TRAILING(Artists!B:B)))</f>
        <v>Mark Rothko</v>
      </c>
      <c r="E538">
        <v>1948</v>
      </c>
      <c r="F538" cm="1">
        <f t="array" ref="F538">_xlfn.REGEXEXTRACT(E538,"\d{4}")*1</f>
        <v>1948</v>
      </c>
      <c r="G538" t="s">
        <v>1034</v>
      </c>
      <c r="H538" t="s">
        <v>2937</v>
      </c>
      <c r="I538" t="s">
        <v>878</v>
      </c>
      <c r="J538" t="s">
        <v>879</v>
      </c>
      <c r="K538" s="1">
        <v>25609</v>
      </c>
      <c r="L538" t="s">
        <v>2938</v>
      </c>
      <c r="M538" t="s">
        <v>2939</v>
      </c>
      <c r="N538" t="s">
        <v>6403</v>
      </c>
    </row>
    <row r="539" spans="1:14" x14ac:dyDescent="0.25">
      <c r="A539">
        <v>80575</v>
      </c>
      <c r="B539" t="s">
        <v>2940</v>
      </c>
      <c r="C539">
        <v>4675</v>
      </c>
      <c r="D539" t="str" cm="1">
        <f t="array" ref="D539">_xlfn.TEXTJOIN(",",TRUE,_xlfn.XLOOKUP(_xlfn.TEXTSPLIT(C539,",")*1,_xlfn._TRO_TRAILING(Artists!A:A),_xlfn._TRO_TRAILING(Artists!B:B)))</f>
        <v>Jackson Pollock</v>
      </c>
      <c r="E539" t="s">
        <v>2941</v>
      </c>
      <c r="F539" cm="1">
        <f t="array" ref="F539">_xlfn.REGEXEXTRACT(E539,"\d{4}")*1</f>
        <v>1930</v>
      </c>
      <c r="G539" t="s">
        <v>2942</v>
      </c>
      <c r="H539" t="s">
        <v>2943</v>
      </c>
      <c r="I539" t="s">
        <v>878</v>
      </c>
      <c r="J539" t="s">
        <v>879</v>
      </c>
      <c r="K539" s="1">
        <v>25609</v>
      </c>
      <c r="L539" t="s">
        <v>2944</v>
      </c>
      <c r="M539" t="s">
        <v>2945</v>
      </c>
      <c r="N539" t="s">
        <v>6375</v>
      </c>
    </row>
    <row r="540" spans="1:14" x14ac:dyDescent="0.25">
      <c r="A540">
        <v>80588</v>
      </c>
      <c r="B540" t="s">
        <v>2946</v>
      </c>
      <c r="C540">
        <v>1106</v>
      </c>
      <c r="D540" t="str" cm="1">
        <f t="array" ref="D540">_xlfn.TEXTJOIN(",",TRUE,_xlfn.XLOOKUP(_xlfn.TEXTSPLIT(C540,",")*1,_xlfn._TRO_TRAILING(Artists!A:A),_xlfn._TRO_TRAILING(Artists!B:B)))</f>
        <v>Giorgio de Chirico</v>
      </c>
      <c r="E540" t="s">
        <v>2947</v>
      </c>
      <c r="F540" cm="1">
        <f t="array" ref="F540">_xlfn.REGEXEXTRACT(E540,"\d{4}")*1</f>
        <v>1914</v>
      </c>
      <c r="G540" t="s">
        <v>1034</v>
      </c>
      <c r="H540" t="s">
        <v>2948</v>
      </c>
      <c r="I540" t="s">
        <v>878</v>
      </c>
      <c r="J540" t="s">
        <v>879</v>
      </c>
      <c r="K540" s="1">
        <v>29200</v>
      </c>
      <c r="L540" t="s">
        <v>2949</v>
      </c>
      <c r="M540" t="s">
        <v>2950</v>
      </c>
      <c r="N540" t="s">
        <v>6386</v>
      </c>
    </row>
    <row r="541" spans="1:14" x14ac:dyDescent="0.25">
      <c r="A541">
        <v>80658</v>
      </c>
      <c r="B541" t="s">
        <v>2951</v>
      </c>
      <c r="C541">
        <v>4607</v>
      </c>
      <c r="D541" t="str" cm="1">
        <f t="array" ref="D541">_xlfn.TEXTJOIN(",",TRUE,_xlfn.XLOOKUP(_xlfn.TEXTSPLIT(C541,",")*1,_xlfn._TRO_TRAILING(Artists!A:A),_xlfn._TRO_TRAILING(Artists!B:B)))</f>
        <v>Francis Picabia</v>
      </c>
      <c r="E541" t="s">
        <v>2952</v>
      </c>
      <c r="F541" cm="1">
        <f t="array" ref="F541">_xlfn.REGEXEXTRACT(E541,"\d{4}")*1</f>
        <v>1912</v>
      </c>
      <c r="G541" t="s">
        <v>1034</v>
      </c>
      <c r="H541" t="s">
        <v>2953</v>
      </c>
      <c r="I541" t="s">
        <v>878</v>
      </c>
      <c r="J541" t="s">
        <v>879</v>
      </c>
      <c r="K541" s="1">
        <v>27436</v>
      </c>
      <c r="L541" t="s">
        <v>2954</v>
      </c>
      <c r="M541" t="s">
        <v>2955</v>
      </c>
      <c r="N541" t="s">
        <v>6401</v>
      </c>
    </row>
    <row r="542" spans="1:14" x14ac:dyDescent="0.25">
      <c r="A542">
        <v>80660</v>
      </c>
      <c r="B542" t="s">
        <v>833</v>
      </c>
      <c r="C542">
        <v>4609</v>
      </c>
      <c r="D542" t="str" cm="1">
        <f t="array" ref="D542">_xlfn.TEXTJOIN(",",TRUE,_xlfn.XLOOKUP(_xlfn.TEXTSPLIT(C542,",")*1,_xlfn._TRO_TRAILING(Artists!A:A),_xlfn._TRO_TRAILING(Artists!B:B)))</f>
        <v>Pablo Picasso</v>
      </c>
      <c r="E542" t="s">
        <v>2956</v>
      </c>
      <c r="F542" cm="1">
        <f t="array" ref="F542">_xlfn.REGEXEXTRACT(E542,"\d{4}")*1</f>
        <v>1908</v>
      </c>
      <c r="G542" t="s">
        <v>1034</v>
      </c>
      <c r="H542" t="s">
        <v>2957</v>
      </c>
      <c r="I542" t="s">
        <v>878</v>
      </c>
      <c r="J542" t="s">
        <v>879</v>
      </c>
      <c r="K542" s="1">
        <v>27436</v>
      </c>
      <c r="L542" t="s">
        <v>2958</v>
      </c>
      <c r="M542" t="s">
        <v>2959</v>
      </c>
      <c r="N542" t="s">
        <v>6401</v>
      </c>
    </row>
    <row r="543" spans="1:14" x14ac:dyDescent="0.25">
      <c r="A543">
        <v>80681</v>
      </c>
      <c r="B543" t="s">
        <v>2960</v>
      </c>
      <c r="C543">
        <v>4430</v>
      </c>
      <c r="D543" t="str" cm="1">
        <f t="array" ref="D543">_xlfn.TEXTJOIN(",",TRUE,_xlfn.XLOOKUP(_xlfn.TEXTSPLIT(C543,",")*1,_xlfn._TRO_TRAILING(Artists!A:A),_xlfn._TRO_TRAILING(Artists!B:B)))</f>
        <v>José Clemente Orozco</v>
      </c>
      <c r="E543">
        <v>1940</v>
      </c>
      <c r="F543" cm="1">
        <f t="array" ref="F543">_xlfn.REGEXEXTRACT(E543,"\d{4}")*1</f>
        <v>1940</v>
      </c>
      <c r="G543" t="s">
        <v>2961</v>
      </c>
      <c r="H543" t="s">
        <v>2962</v>
      </c>
      <c r="I543" t="s">
        <v>878</v>
      </c>
      <c r="J543" t="s">
        <v>879</v>
      </c>
      <c r="K543" s="1">
        <v>14884</v>
      </c>
      <c r="L543" t="s">
        <v>2963</v>
      </c>
      <c r="M543" t="s">
        <v>2964</v>
      </c>
      <c r="N543" t="s">
        <v>6377</v>
      </c>
    </row>
    <row r="544" spans="1:14" x14ac:dyDescent="0.25">
      <c r="A544">
        <v>80686</v>
      </c>
      <c r="B544" t="s">
        <v>2965</v>
      </c>
      <c r="C544">
        <v>11</v>
      </c>
      <c r="D544" t="str" cm="1">
        <f t="array" ref="D544">_xlfn.TEXTJOIN(",",TRUE,_xlfn.XLOOKUP(_xlfn.TEXTSPLIT(C544,",")*1,_xlfn._TRO_TRAILING(Artists!A:A),_xlfn._TRO_TRAILING(Artists!B:B)))</f>
        <v>Jean (Hans) Arp</v>
      </c>
      <c r="E544">
        <v>1929</v>
      </c>
      <c r="F544" cm="1">
        <f t="array" ref="F544">_xlfn.REGEXEXTRACT(E544,"\d{4}")*1</f>
        <v>1929</v>
      </c>
      <c r="G544" t="s">
        <v>2184</v>
      </c>
      <c r="H544" t="s">
        <v>2966</v>
      </c>
      <c r="I544" t="s">
        <v>878</v>
      </c>
      <c r="J544" t="s">
        <v>879</v>
      </c>
      <c r="K544" s="1">
        <v>14884</v>
      </c>
      <c r="L544" t="s">
        <v>2967</v>
      </c>
      <c r="M544" t="s">
        <v>2968</v>
      </c>
      <c r="N544" t="s">
        <v>6399</v>
      </c>
    </row>
    <row r="545" spans="1:14" x14ac:dyDescent="0.25">
      <c r="A545">
        <v>80692</v>
      </c>
      <c r="B545" t="s">
        <v>2969</v>
      </c>
      <c r="C545">
        <v>4057</v>
      </c>
      <c r="D545" t="str" cm="1">
        <f t="array" ref="D545">_xlfn.TEXTJOIN(",",TRUE,_xlfn.XLOOKUP(_xlfn.TEXTSPLIT(C545,",")*1,_xlfn._TRO_TRAILING(Artists!A:A),_xlfn._TRO_TRAILING(Artists!B:B)))</f>
        <v>Piet Mondrian</v>
      </c>
      <c r="E545">
        <v>1917</v>
      </c>
      <c r="F545" cm="1">
        <f t="array" ref="F545">_xlfn.REGEXEXTRACT(E545,"\d{4}")*1</f>
        <v>1917</v>
      </c>
      <c r="G545" t="s">
        <v>1034</v>
      </c>
      <c r="H545" t="s">
        <v>2970</v>
      </c>
      <c r="I545" t="s">
        <v>878</v>
      </c>
      <c r="J545" t="s">
        <v>879</v>
      </c>
      <c r="K545" s="1">
        <v>24763</v>
      </c>
      <c r="L545" t="s">
        <v>2971</v>
      </c>
      <c r="M545" t="s">
        <v>2972</v>
      </c>
      <c r="N545" t="s">
        <v>6406</v>
      </c>
    </row>
    <row r="546" spans="1:14" x14ac:dyDescent="0.25">
      <c r="A546">
        <v>80703</v>
      </c>
      <c r="B546" t="s">
        <v>2973</v>
      </c>
      <c r="C546">
        <v>3078</v>
      </c>
      <c r="D546" t="str" cm="1">
        <f t="array" ref="D546">_xlfn.TEXTJOIN(",",TRUE,_xlfn.XLOOKUP(_xlfn.TEXTSPLIT(C546,",")*1,_xlfn._TRO_TRAILING(Artists!A:A),_xlfn._TRO_TRAILING(Artists!B:B)))</f>
        <v>Bhupen Khakhar</v>
      </c>
      <c r="E546">
        <v>1965</v>
      </c>
      <c r="F546" cm="1">
        <f t="array" ref="F546">_xlfn.REGEXEXTRACT(E546,"\d{4}")*1</f>
        <v>1965</v>
      </c>
      <c r="G546" t="s">
        <v>2975</v>
      </c>
      <c r="H546" t="s">
        <v>2976</v>
      </c>
      <c r="I546" t="s">
        <v>878</v>
      </c>
      <c r="J546" t="s">
        <v>879</v>
      </c>
      <c r="K546" s="1">
        <v>24784</v>
      </c>
      <c r="L546" t="s">
        <v>2977</v>
      </c>
      <c r="M546" t="s">
        <v>2978</v>
      </c>
      <c r="N546" t="s">
        <v>6376</v>
      </c>
    </row>
    <row r="547" spans="1:14" x14ac:dyDescent="0.25">
      <c r="A547">
        <v>80752</v>
      </c>
      <c r="B547" t="s">
        <v>2504</v>
      </c>
      <c r="C547">
        <v>710</v>
      </c>
      <c r="D547" t="str" cm="1">
        <f t="array" ref="D547">_xlfn.TEXTJOIN(",",TRUE,_xlfn.XLOOKUP(_xlfn.TEXTSPLIT(C547,",")*1,_xlfn._TRO_TRAILING(Artists!A:A),_xlfn._TRO_TRAILING(Artists!B:B)))</f>
        <v>Louise Bourgeois</v>
      </c>
      <c r="E547">
        <v>1950</v>
      </c>
      <c r="F547" cm="1">
        <f t="array" ref="F547">_xlfn.REGEXEXTRACT(E547,"\d{4}")*1</f>
        <v>1950</v>
      </c>
      <c r="G547" t="s">
        <v>2979</v>
      </c>
      <c r="H547" t="s">
        <v>2980</v>
      </c>
      <c r="I547" t="s">
        <v>2248</v>
      </c>
      <c r="J547" t="s">
        <v>879</v>
      </c>
      <c r="K547" s="1">
        <v>18658</v>
      </c>
      <c r="L547" t="s">
        <v>2981</v>
      </c>
      <c r="M547" t="s">
        <v>2982</v>
      </c>
      <c r="N547" t="s">
        <v>6384</v>
      </c>
    </row>
    <row r="548" spans="1:14" x14ac:dyDescent="0.25">
      <c r="A548">
        <v>80762</v>
      </c>
      <c r="B548" t="s">
        <v>2985</v>
      </c>
      <c r="C548">
        <v>3832</v>
      </c>
      <c r="D548" t="str" cm="1">
        <f t="array" ref="D548">_xlfn.TEXTJOIN(",",TRUE,_xlfn.XLOOKUP(_xlfn.TEXTSPLIT(C548,",")*1,_xlfn._TRO_TRAILING(Artists!A:A),_xlfn._TRO_TRAILING(Artists!B:B)))</f>
        <v>Henri Matisse</v>
      </c>
      <c r="E548" t="s">
        <v>2986</v>
      </c>
      <c r="F548" cm="1">
        <f t="array" ref="F548">_xlfn.REGEXEXTRACT(E548,"\d{4}")*1</f>
        <v>1908</v>
      </c>
      <c r="G548" t="s">
        <v>107</v>
      </c>
      <c r="H548" t="s">
        <v>2987</v>
      </c>
      <c r="I548" t="s">
        <v>2248</v>
      </c>
      <c r="J548" t="s">
        <v>879</v>
      </c>
      <c r="K548" s="1">
        <v>19015</v>
      </c>
      <c r="L548" t="s">
        <v>2988</v>
      </c>
      <c r="M548" t="s">
        <v>2989</v>
      </c>
      <c r="N548" t="s">
        <v>6368</v>
      </c>
    </row>
    <row r="549" spans="1:14" x14ac:dyDescent="0.25">
      <c r="A549">
        <v>80772</v>
      </c>
      <c r="B549" t="s">
        <v>2991</v>
      </c>
      <c r="C549">
        <v>3832</v>
      </c>
      <c r="D549" t="str" cm="1">
        <f t="array" ref="D549">_xlfn.TEXTJOIN(",",TRUE,_xlfn.XLOOKUP(_xlfn.TEXTSPLIT(C549,",")*1,_xlfn._TRO_TRAILING(Artists!A:A),_xlfn._TRO_TRAILING(Artists!B:B)))</f>
        <v>Henri Matisse</v>
      </c>
      <c r="E549" t="s">
        <v>2992</v>
      </c>
      <c r="F549" cm="1">
        <f t="array" ref="F549">_xlfn.REGEXEXTRACT(E549,"\d{4}")*1</f>
        <v>1913</v>
      </c>
      <c r="G549" t="s">
        <v>107</v>
      </c>
      <c r="H549" t="s">
        <v>2993</v>
      </c>
      <c r="I549" t="s">
        <v>2248</v>
      </c>
      <c r="J549" t="s">
        <v>879</v>
      </c>
      <c r="K549" s="1">
        <v>19015</v>
      </c>
      <c r="L549" t="s">
        <v>2994</v>
      </c>
      <c r="M549" t="s">
        <v>2995</v>
      </c>
      <c r="N549" t="s">
        <v>6368</v>
      </c>
    </row>
    <row r="550" spans="1:14" x14ac:dyDescent="0.25">
      <c r="A550">
        <v>80778</v>
      </c>
      <c r="B550" t="s">
        <v>2996</v>
      </c>
      <c r="C550">
        <v>3832</v>
      </c>
      <c r="D550" t="str" cm="1">
        <f t="array" ref="D550">_xlfn.TEXTJOIN(",",TRUE,_xlfn.XLOOKUP(_xlfn.TEXTSPLIT(C550,",")*1,_xlfn._TRO_TRAILING(Artists!A:A),_xlfn._TRO_TRAILING(Artists!B:B)))</f>
        <v>Henri Matisse</v>
      </c>
      <c r="E550" t="s">
        <v>2997</v>
      </c>
      <c r="F550" cm="1">
        <f t="array" ref="F550">_xlfn.REGEXEXTRACT(E550,"\d{4}")*1</f>
        <v>1931</v>
      </c>
      <c r="G550" t="s">
        <v>107</v>
      </c>
      <c r="H550" t="s">
        <v>2998</v>
      </c>
      <c r="I550" t="s">
        <v>2248</v>
      </c>
      <c r="J550" t="s">
        <v>879</v>
      </c>
      <c r="K550" s="1">
        <v>19015</v>
      </c>
      <c r="L550" t="s">
        <v>2999</v>
      </c>
      <c r="M550" t="s">
        <v>3000</v>
      </c>
      <c r="N550" t="s">
        <v>6368</v>
      </c>
    </row>
    <row r="551" spans="1:14" x14ac:dyDescent="0.25">
      <c r="A551">
        <v>80785</v>
      </c>
      <c r="B551" t="s">
        <v>3001</v>
      </c>
      <c r="C551">
        <v>3832</v>
      </c>
      <c r="D551" t="str" cm="1">
        <f t="array" ref="D551">_xlfn.TEXTJOIN(",",TRUE,_xlfn.XLOOKUP(_xlfn.TEXTSPLIT(C551,",")*1,_xlfn._TRO_TRAILING(Artists!A:A),_xlfn._TRO_TRAILING(Artists!B:B)))</f>
        <v>Henri Matisse</v>
      </c>
      <c r="E551" t="s">
        <v>3002</v>
      </c>
      <c r="F551" cm="1">
        <f t="array" ref="F551">_xlfn.REGEXEXTRACT(E551,"\d{4}")*1</f>
        <v>1910</v>
      </c>
      <c r="G551" t="s">
        <v>107</v>
      </c>
      <c r="H551" t="s">
        <v>3003</v>
      </c>
      <c r="I551" t="s">
        <v>2248</v>
      </c>
      <c r="J551" t="s">
        <v>879</v>
      </c>
      <c r="K551" s="1">
        <v>18650</v>
      </c>
      <c r="L551" t="s">
        <v>3004</v>
      </c>
      <c r="M551" t="s">
        <v>3005</v>
      </c>
      <c r="N551" t="s">
        <v>6395</v>
      </c>
    </row>
    <row r="552" spans="1:14" x14ac:dyDescent="0.25">
      <c r="A552">
        <v>80791</v>
      </c>
      <c r="B552" t="s">
        <v>3007</v>
      </c>
      <c r="C552">
        <v>3832</v>
      </c>
      <c r="D552" t="str" cm="1">
        <f t="array" ref="D552">_xlfn.TEXTJOIN(",",TRUE,_xlfn.XLOOKUP(_xlfn.TEXTSPLIT(C552,",")*1,_xlfn._TRO_TRAILING(Artists!A:A),_xlfn._TRO_TRAILING(Artists!B:B)))</f>
        <v>Henri Matisse</v>
      </c>
      <c r="E552" t="s">
        <v>3008</v>
      </c>
      <c r="F552" cm="1">
        <f t="array" ref="F552">_xlfn.REGEXEXTRACT(E552,"\d{4}")*1</f>
        <v>1910</v>
      </c>
      <c r="G552" t="s">
        <v>107</v>
      </c>
      <c r="H552" t="s">
        <v>3009</v>
      </c>
      <c r="I552" t="s">
        <v>2248</v>
      </c>
      <c r="J552" t="s">
        <v>879</v>
      </c>
      <c r="K552" s="1">
        <v>19015</v>
      </c>
      <c r="L552" t="s">
        <v>3010</v>
      </c>
      <c r="M552" t="s">
        <v>3011</v>
      </c>
      <c r="N552" t="s">
        <v>6395</v>
      </c>
    </row>
    <row r="553" spans="1:14" x14ac:dyDescent="0.25">
      <c r="A553">
        <v>80798</v>
      </c>
      <c r="B553" t="s">
        <v>3012</v>
      </c>
      <c r="C553">
        <v>3832</v>
      </c>
      <c r="D553" t="str" cm="1">
        <f t="array" ref="D553">_xlfn.TEXTJOIN(",",TRUE,_xlfn.XLOOKUP(_xlfn.TEXTSPLIT(C553,",")*1,_xlfn._TRO_TRAILING(Artists!A:A),_xlfn._TRO_TRAILING(Artists!B:B)))</f>
        <v>Henri Matisse</v>
      </c>
      <c r="E553" t="s">
        <v>3008</v>
      </c>
      <c r="F553" cm="1">
        <f t="array" ref="F553">_xlfn.REGEXEXTRACT(E553,"\d{4}")*1</f>
        <v>1910</v>
      </c>
      <c r="G553" t="s">
        <v>107</v>
      </c>
      <c r="H553" t="s">
        <v>3013</v>
      </c>
      <c r="I553" t="s">
        <v>2248</v>
      </c>
      <c r="J553" t="s">
        <v>879</v>
      </c>
      <c r="K553" s="1">
        <v>19015</v>
      </c>
      <c r="L553" t="s">
        <v>3014</v>
      </c>
      <c r="M553" t="s">
        <v>3015</v>
      </c>
      <c r="N553" t="s">
        <v>6395</v>
      </c>
    </row>
    <row r="554" spans="1:14" x14ac:dyDescent="0.25">
      <c r="A554">
        <v>80801</v>
      </c>
      <c r="B554" t="s">
        <v>3016</v>
      </c>
      <c r="C554">
        <v>3832</v>
      </c>
      <c r="D554" t="str" cm="1">
        <f t="array" ref="D554">_xlfn.TEXTJOIN(",",TRUE,_xlfn.XLOOKUP(_xlfn.TEXTSPLIT(C554,",")*1,_xlfn._TRO_TRAILING(Artists!A:A),_xlfn._TRO_TRAILING(Artists!B:B)))</f>
        <v>Henri Matisse</v>
      </c>
      <c r="E554" t="s">
        <v>3017</v>
      </c>
      <c r="F554" cm="1">
        <f t="array" ref="F554">_xlfn.REGEXEXTRACT(E554,"\d{4}")*1</f>
        <v>1916</v>
      </c>
      <c r="G554" t="s">
        <v>107</v>
      </c>
      <c r="H554" t="s">
        <v>3018</v>
      </c>
      <c r="I554" t="s">
        <v>2248</v>
      </c>
      <c r="J554" t="s">
        <v>879</v>
      </c>
      <c r="K554" s="1">
        <v>19015</v>
      </c>
      <c r="L554" t="s">
        <v>3019</v>
      </c>
      <c r="M554" t="s">
        <v>3020</v>
      </c>
      <c r="N554" t="s">
        <v>6395</v>
      </c>
    </row>
    <row r="555" spans="1:14" x14ac:dyDescent="0.25">
      <c r="A555">
        <v>80829</v>
      </c>
      <c r="B555" t="s">
        <v>1211</v>
      </c>
      <c r="C555">
        <v>6533</v>
      </c>
      <c r="D555" t="str" cm="1">
        <f t="array" ref="D555">_xlfn.TEXTJOIN(",",TRUE,_xlfn.XLOOKUP(_xlfn.TEXTSPLIT(C555,",")*1,_xlfn._TRO_TRAILING(Artists!A:A),_xlfn._TRO_TRAILING(Artists!B:B)))</f>
        <v>Ossip Zadkine</v>
      </c>
      <c r="E555">
        <v>1928</v>
      </c>
      <c r="F555" cm="1">
        <f t="array" ref="F555">_xlfn.REGEXEXTRACT(E555,"\d{4}")*1</f>
        <v>1928</v>
      </c>
      <c r="G555" t="s">
        <v>3021</v>
      </c>
      <c r="H555" t="s">
        <v>3022</v>
      </c>
      <c r="I555" t="s">
        <v>2248</v>
      </c>
      <c r="J555" t="s">
        <v>879</v>
      </c>
      <c r="K555" s="1">
        <v>17932</v>
      </c>
      <c r="L555" t="s">
        <v>3023</v>
      </c>
      <c r="M555" t="s">
        <v>3024</v>
      </c>
      <c r="N555" t="s">
        <v>6369</v>
      </c>
    </row>
    <row r="556" spans="1:14" x14ac:dyDescent="0.25">
      <c r="A556">
        <v>80836</v>
      </c>
      <c r="B556" t="s">
        <v>3025</v>
      </c>
      <c r="C556">
        <v>4905</v>
      </c>
      <c r="D556" t="str" cm="1">
        <f t="array" ref="D556">_xlfn.TEXTJOIN(",",TRUE,_xlfn.XLOOKUP(_xlfn.TEXTSPLIT(C556,",")*1,_xlfn._TRO_TRAILING(Artists!A:A),_xlfn._TRO_TRAILING(Artists!B:B)))</f>
        <v>Germaine Richier</v>
      </c>
      <c r="E556">
        <v>1952</v>
      </c>
      <c r="F556" cm="1">
        <f t="array" ref="F556">_xlfn.REGEXEXTRACT(E556,"\d{4}")*1</f>
        <v>1952</v>
      </c>
      <c r="G556" t="s">
        <v>3026</v>
      </c>
      <c r="H556" t="s">
        <v>3027</v>
      </c>
      <c r="I556" t="s">
        <v>2248</v>
      </c>
      <c r="J556" t="s">
        <v>879</v>
      </c>
      <c r="K556" s="1">
        <v>20878</v>
      </c>
      <c r="L556" t="s">
        <v>3028</v>
      </c>
      <c r="M556" t="s">
        <v>3029</v>
      </c>
      <c r="N556" t="s">
        <v>6400</v>
      </c>
    </row>
    <row r="557" spans="1:14" x14ac:dyDescent="0.25">
      <c r="A557">
        <v>80884</v>
      </c>
      <c r="B557" t="s">
        <v>3031</v>
      </c>
      <c r="C557">
        <v>1364</v>
      </c>
      <c r="D557" t="str" cm="1">
        <f t="array" ref="D557">_xlfn.TEXTJOIN(",",TRUE,_xlfn.XLOOKUP(_xlfn.TEXTSPLIT(C557,",")*1,_xlfn._TRO_TRAILING(Artists!A:A),_xlfn._TRO_TRAILING(Artists!B:B)))</f>
        <v>Salvador Dalí</v>
      </c>
      <c r="E557">
        <v>1934</v>
      </c>
      <c r="F557" cm="1">
        <f t="array" ref="F557">_xlfn.REGEXEXTRACT(E557,"\d{4}")*1</f>
        <v>1934</v>
      </c>
      <c r="G557" t="s">
        <v>3032</v>
      </c>
      <c r="H557" t="s">
        <v>3033</v>
      </c>
      <c r="I557" t="s">
        <v>2248</v>
      </c>
      <c r="J557" t="s">
        <v>879</v>
      </c>
      <c r="K557" s="1">
        <v>29683</v>
      </c>
      <c r="L557" t="s">
        <v>3034</v>
      </c>
      <c r="M557" t="s">
        <v>3035</v>
      </c>
      <c r="N557" t="s">
        <v>6386</v>
      </c>
    </row>
    <row r="558" spans="1:14" x14ac:dyDescent="0.25">
      <c r="A558">
        <v>80898</v>
      </c>
      <c r="B558" t="s">
        <v>3036</v>
      </c>
      <c r="C558">
        <v>4108</v>
      </c>
      <c r="D558" t="str" cm="1">
        <f t="array" ref="D558">_xlfn.TEXTJOIN(",",TRUE,_xlfn.XLOOKUP(_xlfn.TEXTSPLIT(C558,",")*1,_xlfn._TRO_TRAILING(Artists!A:A),_xlfn._TRO_TRAILING(Artists!B:B)))</f>
        <v>Robert Morris</v>
      </c>
      <c r="E558">
        <v>1964</v>
      </c>
      <c r="F558" cm="1">
        <f t="array" ref="F558">_xlfn.REGEXEXTRACT(E558,"\d{4}")*1</f>
        <v>1964</v>
      </c>
      <c r="G558" t="s">
        <v>3037</v>
      </c>
      <c r="H558" t="s">
        <v>3038</v>
      </c>
      <c r="I558" t="s">
        <v>2248</v>
      </c>
      <c r="J558" t="s">
        <v>879</v>
      </c>
      <c r="K558" s="1">
        <v>28927</v>
      </c>
      <c r="L558" t="s">
        <v>3039</v>
      </c>
      <c r="M558" t="s">
        <v>3040</v>
      </c>
      <c r="N558" t="s">
        <v>6396</v>
      </c>
    </row>
    <row r="559" spans="1:14" x14ac:dyDescent="0.25">
      <c r="A559">
        <v>80928</v>
      </c>
      <c r="B559" t="s">
        <v>3041</v>
      </c>
      <c r="C559">
        <v>2141</v>
      </c>
      <c r="D559" t="str" cm="1">
        <f t="array" ref="D559">_xlfn.TEXTJOIN(",",TRUE,_xlfn.XLOOKUP(_xlfn.TEXTSPLIT(C559,",")*1,_xlfn._TRO_TRAILING(Artists!A:A),_xlfn._TRO_TRAILING(Artists!B:B)))</f>
        <v>Alberto Giacometti</v>
      </c>
      <c r="E559">
        <v>1932</v>
      </c>
      <c r="F559" cm="1">
        <f t="array" ref="F559">_xlfn.REGEXEXTRACT(E559,"\d{4}")*1</f>
        <v>1932</v>
      </c>
      <c r="G559" t="s">
        <v>3042</v>
      </c>
      <c r="H559" t="s">
        <v>3043</v>
      </c>
      <c r="I559" t="s">
        <v>2248</v>
      </c>
      <c r="J559" t="s">
        <v>879</v>
      </c>
      <c r="K559" s="1">
        <v>13501</v>
      </c>
      <c r="L559" t="s">
        <v>3044</v>
      </c>
      <c r="M559" t="s">
        <v>3045</v>
      </c>
      <c r="N559" t="s">
        <v>6386</v>
      </c>
    </row>
    <row r="560" spans="1:14" x14ac:dyDescent="0.25">
      <c r="A560">
        <v>80929</v>
      </c>
      <c r="B560" t="s">
        <v>3046</v>
      </c>
      <c r="C560">
        <v>6402</v>
      </c>
      <c r="D560" t="str" cm="1">
        <f t="array" ref="D560">_xlfn.TEXTJOIN(",",TRUE,_xlfn.XLOOKUP(_xlfn.TEXTSPLIT(C560,",")*1,_xlfn._TRO_TRAILING(Artists!A:A),_xlfn._TRO_TRAILING(Artists!B:B)))</f>
        <v>Jackie Winsor</v>
      </c>
      <c r="E560" t="s">
        <v>92</v>
      </c>
      <c r="F560" cm="1">
        <f t="array" ref="F560">_xlfn.REGEXEXTRACT(E560,"\d{4}")*1</f>
        <v>1977</v>
      </c>
      <c r="G560" t="s">
        <v>3048</v>
      </c>
      <c r="H560" t="s">
        <v>3049</v>
      </c>
      <c r="I560" t="s">
        <v>2248</v>
      </c>
      <c r="J560" t="s">
        <v>879</v>
      </c>
      <c r="K560" s="1">
        <v>33336</v>
      </c>
      <c r="L560" t="s">
        <v>3050</v>
      </c>
      <c r="M560" t="s">
        <v>3051</v>
      </c>
      <c r="N560" t="s">
        <v>6376</v>
      </c>
    </row>
    <row r="561" spans="1:14" x14ac:dyDescent="0.25">
      <c r="A561">
        <v>80934</v>
      </c>
      <c r="B561" t="s">
        <v>871</v>
      </c>
      <c r="C561">
        <v>4609</v>
      </c>
      <c r="D561" t="str" cm="1">
        <f t="array" ref="D561">_xlfn.TEXTJOIN(",",TRUE,_xlfn.XLOOKUP(_xlfn.TEXTSPLIT(C561,",")*1,_xlfn._TRO_TRAILING(Artists!A:A),_xlfn._TRO_TRAILING(Artists!B:B)))</f>
        <v>Pablo Picasso</v>
      </c>
      <c r="E561" t="s">
        <v>3052</v>
      </c>
      <c r="F561" cm="1">
        <f t="array" ref="F561">_xlfn.REGEXEXTRACT(E561,"\d{4}")*1</f>
        <v>1914</v>
      </c>
      <c r="G561" t="s">
        <v>3053</v>
      </c>
      <c r="H561" t="s">
        <v>3054</v>
      </c>
      <c r="I561" t="s">
        <v>2248</v>
      </c>
      <c r="J561" t="s">
        <v>879</v>
      </c>
      <c r="K561" s="1">
        <v>26001</v>
      </c>
      <c r="L561" t="s">
        <v>3055</v>
      </c>
      <c r="M561" t="s">
        <v>3056</v>
      </c>
      <c r="N561" t="s">
        <v>6401</v>
      </c>
    </row>
    <row r="562" spans="1:14" x14ac:dyDescent="0.25">
      <c r="A562">
        <v>80953</v>
      </c>
      <c r="B562" t="s">
        <v>639</v>
      </c>
      <c r="C562">
        <v>5480</v>
      </c>
      <c r="D562" t="str" cm="1">
        <f t="array" ref="D562">_xlfn.TEXTJOIN(",",TRUE,_xlfn.XLOOKUP(_xlfn.TEXTSPLIT(C562,",")*1,_xlfn._TRO_TRAILING(Artists!A:A),_xlfn._TRO_TRAILING(Artists!B:B)))</f>
        <v>David Smith</v>
      </c>
      <c r="E562">
        <v>1938</v>
      </c>
      <c r="F562" cm="1">
        <f t="array" ref="F562">_xlfn.REGEXEXTRACT(E562,"\d{4}")*1</f>
        <v>1938</v>
      </c>
      <c r="G562" t="s">
        <v>3057</v>
      </c>
      <c r="H562" t="s">
        <v>3058</v>
      </c>
      <c r="I562" t="s">
        <v>2248</v>
      </c>
      <c r="J562" t="s">
        <v>879</v>
      </c>
      <c r="K562" s="1">
        <v>15847</v>
      </c>
      <c r="L562" t="s">
        <v>3059</v>
      </c>
      <c r="M562" t="s">
        <v>3060</v>
      </c>
      <c r="N562" t="s">
        <v>6416</v>
      </c>
    </row>
    <row r="563" spans="1:14" x14ac:dyDescent="0.25">
      <c r="A563">
        <v>80966</v>
      </c>
      <c r="B563" t="s">
        <v>3061</v>
      </c>
      <c r="C563">
        <v>1911</v>
      </c>
      <c r="D563" t="str" cm="1">
        <f t="array" ref="D563">_xlfn.TEXTJOIN(",",TRUE,_xlfn.XLOOKUP(_xlfn.TEXTSPLIT(C563,",")*1,_xlfn._TRO_TRAILING(Artists!A:A),_xlfn._TRO_TRAILING(Artists!B:B)))</f>
        <v>Dan Flavin</v>
      </c>
      <c r="E563">
        <v>1969</v>
      </c>
      <c r="F563" cm="1">
        <f t="array" ref="F563">_xlfn.REGEXEXTRACT(E563,"\d{4}")*1</f>
        <v>1969</v>
      </c>
      <c r="G563" t="s">
        <v>2983</v>
      </c>
      <c r="H563" t="s">
        <v>3062</v>
      </c>
      <c r="I563" t="s">
        <v>2248</v>
      </c>
      <c r="J563" t="s">
        <v>879</v>
      </c>
      <c r="K563" s="1">
        <v>27485</v>
      </c>
      <c r="L563" t="s">
        <v>3063</v>
      </c>
      <c r="M563" t="s">
        <v>3064</v>
      </c>
      <c r="N563" t="s">
        <v>6396</v>
      </c>
    </row>
    <row r="564" spans="1:14" x14ac:dyDescent="0.25">
      <c r="A564">
        <v>80997</v>
      </c>
      <c r="B564" t="s">
        <v>353</v>
      </c>
      <c r="C564">
        <v>4416</v>
      </c>
      <c r="D564" t="str" cm="1">
        <f t="array" ref="D564">_xlfn.TEXTJOIN(",",TRUE,_xlfn.XLOOKUP(_xlfn.TEXTSPLIT(C564,",")*1,_xlfn._TRO_TRAILING(Artists!A:A),_xlfn._TRO_TRAILING(Artists!B:B)))</f>
        <v>Meret Oppenheim</v>
      </c>
      <c r="E564" t="s">
        <v>3066</v>
      </c>
      <c r="F564" cm="1">
        <f t="array" ref="F564">_xlfn.REGEXEXTRACT(E564,"\d{4}")*1</f>
        <v>1936</v>
      </c>
      <c r="G564" t="s">
        <v>3067</v>
      </c>
      <c r="H564" t="s">
        <v>3068</v>
      </c>
      <c r="I564" t="s">
        <v>2248</v>
      </c>
      <c r="J564" t="s">
        <v>879</v>
      </c>
      <c r="K564" s="1">
        <v>16929</v>
      </c>
      <c r="L564" t="s">
        <v>3069</v>
      </c>
      <c r="M564" t="s">
        <v>3070</v>
      </c>
      <c r="N564" t="s">
        <v>6386</v>
      </c>
    </row>
    <row r="565" spans="1:14" x14ac:dyDescent="0.25">
      <c r="A565">
        <v>81006</v>
      </c>
      <c r="B565" t="s">
        <v>3071</v>
      </c>
      <c r="C565">
        <v>4278</v>
      </c>
      <c r="D565" t="str" cm="1">
        <f t="array" ref="D565">_xlfn.TEXTJOIN(",",TRUE,_xlfn.XLOOKUP(_xlfn.TEXTSPLIT(C565,",")*1,_xlfn._TRO_TRAILING(Artists!A:A),_xlfn._TRO_TRAILING(Artists!B:B)))</f>
        <v>Louise Nevelson</v>
      </c>
      <c r="E565">
        <v>1958</v>
      </c>
      <c r="F565" cm="1">
        <f t="array" ref="F565">_xlfn.REGEXEXTRACT(E565,"\d{4}")*1</f>
        <v>1958</v>
      </c>
      <c r="G565" t="s">
        <v>227</v>
      </c>
      <c r="H565" t="s">
        <v>3072</v>
      </c>
      <c r="I565" t="s">
        <v>2248</v>
      </c>
      <c r="J565" t="s">
        <v>879</v>
      </c>
      <c r="K565" s="1">
        <v>21487</v>
      </c>
      <c r="L565" t="s">
        <v>3073</v>
      </c>
      <c r="M565" t="s">
        <v>3074</v>
      </c>
      <c r="N565" t="s">
        <v>6384</v>
      </c>
    </row>
    <row r="566" spans="1:14" x14ac:dyDescent="0.25">
      <c r="A566">
        <v>81018</v>
      </c>
      <c r="B566" t="s">
        <v>3075</v>
      </c>
      <c r="C566">
        <v>738</v>
      </c>
      <c r="D566" t="str" cm="1">
        <f t="array" ref="D566">_xlfn.TEXTJOIN(",",TRUE,_xlfn.XLOOKUP(_xlfn.TEXTSPLIT(C566,",")*1,_xlfn._TRO_TRAILING(Artists!A:A),_xlfn._TRO_TRAILING(Artists!B:B)))</f>
        <v>Constantin Brâncuși</v>
      </c>
      <c r="E566" t="s">
        <v>3076</v>
      </c>
      <c r="F566" cm="1">
        <f t="array" ref="F566">_xlfn.REGEXEXTRACT(E566,"\d{4}")*1</f>
        <v>1910</v>
      </c>
      <c r="G566" t="s">
        <v>3077</v>
      </c>
      <c r="I566" t="s">
        <v>2248</v>
      </c>
      <c r="J566" t="s">
        <v>879</v>
      </c>
      <c r="K566" s="1">
        <v>19456</v>
      </c>
      <c r="L566" t="s">
        <v>3078</v>
      </c>
      <c r="M566" t="s">
        <v>3079</v>
      </c>
      <c r="N566" t="s">
        <v>6406</v>
      </c>
    </row>
    <row r="567" spans="1:14" x14ac:dyDescent="0.25">
      <c r="A567">
        <v>81021</v>
      </c>
      <c r="B567" t="s">
        <v>1072</v>
      </c>
      <c r="C567">
        <v>4038</v>
      </c>
      <c r="D567" t="str" cm="1">
        <f t="array" ref="D567">_xlfn.TEXTJOIN(",",TRUE,_xlfn.XLOOKUP(_xlfn.TEXTSPLIT(C567,",")*1,_xlfn._TRO_TRAILING(Artists!A:A),_xlfn._TRO_TRAILING(Artists!B:B)))</f>
        <v>Amedeo Modigliani</v>
      </c>
      <c r="E567" t="s">
        <v>629</v>
      </c>
      <c r="F567" cm="1">
        <f t="array" ref="F567">_xlfn.REGEXEXTRACT(E567,"\d{4}")*1</f>
        <v>1914</v>
      </c>
      <c r="G567" t="s">
        <v>3065</v>
      </c>
      <c r="H567" t="s">
        <v>3080</v>
      </c>
      <c r="I567" t="s">
        <v>2248</v>
      </c>
      <c r="J567" t="s">
        <v>879</v>
      </c>
      <c r="K567" s="1">
        <v>18772</v>
      </c>
      <c r="L567" t="s">
        <v>3081</v>
      </c>
      <c r="M567" t="s">
        <v>3082</v>
      </c>
      <c r="N567" t="s">
        <v>6369</v>
      </c>
    </row>
    <row r="568" spans="1:14" x14ac:dyDescent="0.25">
      <c r="A568">
        <v>81031</v>
      </c>
      <c r="B568" t="s">
        <v>3084</v>
      </c>
      <c r="C568">
        <v>4609</v>
      </c>
      <c r="D568" t="str" cm="1">
        <f t="array" ref="D568">_xlfn.TEXTJOIN(",",TRUE,_xlfn.XLOOKUP(_xlfn.TEXTSPLIT(C568,",")*1,_xlfn._TRO_TRAILING(Artists!A:A),_xlfn._TRO_TRAILING(Artists!B:B)))</f>
        <v>Pablo Picasso</v>
      </c>
      <c r="E568" t="s">
        <v>3085</v>
      </c>
      <c r="F568" cm="1">
        <f t="array" ref="F568">_xlfn.REGEXEXTRACT(E568,"\d{4}")*1</f>
        <v>1972</v>
      </c>
      <c r="G568" t="s">
        <v>3086</v>
      </c>
      <c r="H568" t="s">
        <v>3087</v>
      </c>
      <c r="I568" t="s">
        <v>2248</v>
      </c>
      <c r="J568" t="s">
        <v>879</v>
      </c>
      <c r="K568" s="1">
        <v>26736</v>
      </c>
      <c r="L568" t="s">
        <v>3088</v>
      </c>
      <c r="M568" t="s">
        <v>3089</v>
      </c>
      <c r="N568" t="s">
        <v>6368</v>
      </c>
    </row>
    <row r="569" spans="1:14" x14ac:dyDescent="0.25">
      <c r="A569">
        <v>81033</v>
      </c>
      <c r="B569" t="s">
        <v>3090</v>
      </c>
      <c r="C569">
        <v>738</v>
      </c>
      <c r="D569" t="str" cm="1">
        <f t="array" ref="D569">_xlfn.TEXTJOIN(",",TRUE,_xlfn.XLOOKUP(_xlfn.TEXTSPLIT(C569,",")*1,_xlfn._TRO_TRAILING(Artists!A:A),_xlfn._TRO_TRAILING(Artists!B:B)))</f>
        <v>Constantin Brâncuși</v>
      </c>
      <c r="E569">
        <v>1928</v>
      </c>
      <c r="F569" cm="1">
        <f t="array" ref="F569">_xlfn.REGEXEXTRACT(E569,"\d{4}")*1</f>
        <v>1928</v>
      </c>
      <c r="G569" t="s">
        <v>107</v>
      </c>
      <c r="H569" t="s">
        <v>3091</v>
      </c>
      <c r="I569" t="s">
        <v>2248</v>
      </c>
      <c r="J569" t="s">
        <v>879</v>
      </c>
      <c r="K569" s="1">
        <v>12549</v>
      </c>
      <c r="L569" t="s">
        <v>3092</v>
      </c>
      <c r="M569" t="s">
        <v>3093</v>
      </c>
      <c r="N569" t="s">
        <v>6406</v>
      </c>
    </row>
    <row r="570" spans="1:14" x14ac:dyDescent="0.25">
      <c r="A570">
        <v>81037</v>
      </c>
      <c r="B570" t="s">
        <v>3094</v>
      </c>
      <c r="C570">
        <v>3832</v>
      </c>
      <c r="D570" t="str" cm="1">
        <f t="array" ref="D570">_xlfn.TEXTJOIN(",",TRUE,_xlfn.XLOOKUP(_xlfn.TEXTSPLIT(C570,",")*1,_xlfn._TRO_TRAILING(Artists!A:A),_xlfn._TRO_TRAILING(Artists!B:B)))</f>
        <v>Henri Matisse</v>
      </c>
      <c r="E570" t="s">
        <v>3095</v>
      </c>
      <c r="F570" cm="1">
        <f t="array" ref="F570">_xlfn.REGEXEXTRACT(E570,"\d{4}")*1</f>
        <v>1930</v>
      </c>
      <c r="G570" t="s">
        <v>107</v>
      </c>
      <c r="H570" t="s">
        <v>3096</v>
      </c>
      <c r="I570" t="s">
        <v>2248</v>
      </c>
      <c r="J570" t="s">
        <v>879</v>
      </c>
      <c r="K570" s="1">
        <v>20256</v>
      </c>
      <c r="L570" t="s">
        <v>3097</v>
      </c>
      <c r="M570" t="s">
        <v>3098</v>
      </c>
      <c r="N570" t="s">
        <v>6416</v>
      </c>
    </row>
    <row r="571" spans="1:14" x14ac:dyDescent="0.25">
      <c r="A571">
        <v>81043</v>
      </c>
      <c r="B571" t="s">
        <v>3100</v>
      </c>
      <c r="C571">
        <v>4975</v>
      </c>
      <c r="D571" t="str" cm="1">
        <f t="array" ref="D571">_xlfn.TEXTJOIN(",",TRUE,_xlfn.XLOOKUP(_xlfn.TEXTSPLIT(C571,",")*1,_xlfn._TRO_TRAILING(Artists!A:A),_xlfn._TRO_TRAILING(Artists!B:B)))</f>
        <v>Aleksandr Rodchenko</v>
      </c>
      <c r="E571" t="s">
        <v>184</v>
      </c>
      <c r="F571" cm="1">
        <f t="array" ref="F571">_xlfn.REGEXEXTRACT(E571,"\d{4}")*1</f>
        <v>1920</v>
      </c>
      <c r="G571" t="s">
        <v>3101</v>
      </c>
      <c r="H571" t="s">
        <v>3102</v>
      </c>
      <c r="I571" t="s">
        <v>2248</v>
      </c>
      <c r="J571" t="s">
        <v>879</v>
      </c>
      <c r="K571" s="1">
        <v>31509</v>
      </c>
      <c r="L571" t="s">
        <v>3103</v>
      </c>
      <c r="M571" t="s">
        <v>3104</v>
      </c>
      <c r="N571" t="s">
        <v>6371</v>
      </c>
    </row>
    <row r="572" spans="1:14" x14ac:dyDescent="0.25">
      <c r="A572">
        <v>81059</v>
      </c>
      <c r="B572" t="s">
        <v>3105</v>
      </c>
      <c r="C572">
        <v>3924</v>
      </c>
      <c r="D572" t="str" cm="1">
        <f t="array" ref="D572">_xlfn.TEXTJOIN(",",TRUE,_xlfn.XLOOKUP(_xlfn.TEXTSPLIT(C572,",")*1,_xlfn._TRO_TRAILING(Artists!A:A),_xlfn._TRO_TRAILING(Artists!B:B)))</f>
        <v>Ana Mendieta</v>
      </c>
      <c r="E572">
        <v>1984</v>
      </c>
      <c r="F572" cm="1">
        <f t="array" ref="F572">_xlfn.REGEXEXTRACT(E572,"\d{4}")*1</f>
        <v>1984</v>
      </c>
      <c r="G572" t="s">
        <v>3106</v>
      </c>
      <c r="H572" t="s">
        <v>3107</v>
      </c>
      <c r="I572" t="s">
        <v>2248</v>
      </c>
      <c r="J572" t="s">
        <v>879</v>
      </c>
      <c r="K572" s="1">
        <v>33672</v>
      </c>
      <c r="L572" t="s">
        <v>3108</v>
      </c>
      <c r="M572" t="s">
        <v>3109</v>
      </c>
      <c r="N572" t="s">
        <v>6397</v>
      </c>
    </row>
    <row r="573" spans="1:14" x14ac:dyDescent="0.25">
      <c r="A573">
        <v>81083</v>
      </c>
      <c r="B573" t="s">
        <v>3110</v>
      </c>
      <c r="C573">
        <v>3563</v>
      </c>
      <c r="D573" t="str" cm="1">
        <f t="array" ref="D573">_xlfn.TEXTJOIN(",",TRUE,_xlfn.XLOOKUP(_xlfn.TEXTSPLIT(C573,",")*1,_xlfn._TRO_TRAILING(Artists!A:A),_xlfn._TRO_TRAILING(Artists!B:B)))</f>
        <v>Jacques Lipchitz</v>
      </c>
      <c r="E573">
        <v>1928</v>
      </c>
      <c r="F573" cm="1">
        <f t="array" ref="F573">_xlfn.REGEXEXTRACT(E573,"\d{4}")*1</f>
        <v>1928</v>
      </c>
      <c r="G573" t="s">
        <v>2990</v>
      </c>
      <c r="H573" t="s">
        <v>3111</v>
      </c>
      <c r="I573" t="s">
        <v>2248</v>
      </c>
      <c r="J573" t="s">
        <v>879</v>
      </c>
      <c r="K573" s="1">
        <v>34400</v>
      </c>
      <c r="L573" t="s">
        <v>3112</v>
      </c>
      <c r="M573" t="s">
        <v>3113</v>
      </c>
      <c r="N573" t="s">
        <v>6369</v>
      </c>
    </row>
    <row r="574" spans="1:14" x14ac:dyDescent="0.25">
      <c r="A574">
        <v>81093</v>
      </c>
      <c r="B574" t="s">
        <v>3115</v>
      </c>
      <c r="C574">
        <v>738</v>
      </c>
      <c r="D574" t="str" cm="1">
        <f t="array" ref="D574">_xlfn.TEXTJOIN(",",TRUE,_xlfn.XLOOKUP(_xlfn.TEXTSPLIT(C574,",")*1,_xlfn._TRO_TRAILING(Artists!A:A),_xlfn._TRO_TRAILING(Artists!B:B)))</f>
        <v>Constantin Brâncuși</v>
      </c>
      <c r="E574">
        <v>1922</v>
      </c>
      <c r="F574" cm="1">
        <f t="array" ref="F574">_xlfn.REGEXEXTRACT(E574,"\d{4}")*1</f>
        <v>1922</v>
      </c>
      <c r="G574" t="s">
        <v>3116</v>
      </c>
      <c r="H574" t="s">
        <v>3117</v>
      </c>
      <c r="I574" t="s">
        <v>2248</v>
      </c>
      <c r="J574" t="s">
        <v>879</v>
      </c>
      <c r="K574" s="1">
        <v>20549</v>
      </c>
      <c r="L574" t="s">
        <v>3118</v>
      </c>
      <c r="M574" t="s">
        <v>3119</v>
      </c>
      <c r="N574" t="s">
        <v>6406</v>
      </c>
    </row>
    <row r="575" spans="1:14" x14ac:dyDescent="0.25">
      <c r="A575">
        <v>81111</v>
      </c>
      <c r="B575" t="s">
        <v>3120</v>
      </c>
      <c r="C575">
        <v>3563</v>
      </c>
      <c r="D575" t="str" cm="1">
        <f t="array" ref="D575">_xlfn.TEXTJOIN(",",TRUE,_xlfn.XLOOKUP(_xlfn.TEXTSPLIT(C575,",")*1,_xlfn._TRO_TRAILING(Artists!A:A),_xlfn._TRO_TRAILING(Artists!B:B)))</f>
        <v>Jacques Lipchitz</v>
      </c>
      <c r="E575">
        <v>1938</v>
      </c>
      <c r="F575" cm="1">
        <f t="array" ref="F575">_xlfn.REGEXEXTRACT(E575,"\d{4}")*1</f>
        <v>1938</v>
      </c>
      <c r="G575" t="s">
        <v>107</v>
      </c>
      <c r="H575" t="s">
        <v>3121</v>
      </c>
      <c r="I575" t="s">
        <v>2248</v>
      </c>
      <c r="J575" t="s">
        <v>879</v>
      </c>
      <c r="K575" s="1">
        <v>15468</v>
      </c>
      <c r="L575" t="s">
        <v>3122</v>
      </c>
      <c r="M575" t="s">
        <v>3123</v>
      </c>
      <c r="N575" t="s">
        <v>6377</v>
      </c>
    </row>
    <row r="576" spans="1:14" x14ac:dyDescent="0.25">
      <c r="A576">
        <v>81118</v>
      </c>
      <c r="B576" t="s">
        <v>3124</v>
      </c>
      <c r="C576">
        <v>3400</v>
      </c>
      <c r="D576" t="str" cm="1">
        <f t="array" ref="D576">_xlfn.TEXTJOIN(",",TRUE,_xlfn.XLOOKUP(_xlfn.TEXTSPLIT(C576,",")*1,_xlfn._TRO_TRAILING(Artists!A:A),_xlfn._TRO_TRAILING(Artists!B:B)))</f>
        <v>Ibram Lassaw</v>
      </c>
      <c r="E576">
        <v>1952</v>
      </c>
      <c r="F576" cm="1">
        <f t="array" ref="F576">_xlfn.REGEXEXTRACT(E576,"\d{4}")*1</f>
        <v>1952</v>
      </c>
      <c r="G576" t="s">
        <v>3125</v>
      </c>
      <c r="H576" t="s">
        <v>3126</v>
      </c>
      <c r="I576" t="s">
        <v>2248</v>
      </c>
      <c r="J576" t="s">
        <v>879</v>
      </c>
      <c r="K576" s="1">
        <v>19305</v>
      </c>
      <c r="L576" t="s">
        <v>3127</v>
      </c>
      <c r="M576" t="s">
        <v>3128</v>
      </c>
      <c r="N576" t="s">
        <v>6378</v>
      </c>
    </row>
    <row r="577" spans="1:14" x14ac:dyDescent="0.25">
      <c r="A577">
        <v>81174</v>
      </c>
      <c r="B577" t="s">
        <v>3129</v>
      </c>
      <c r="C577">
        <v>5882</v>
      </c>
      <c r="D577" t="str" cm="1">
        <f t="array" ref="D577">_xlfn.TEXTJOIN(",",TRUE,_xlfn.XLOOKUP(_xlfn.TEXTSPLIT(C577,",")*1,_xlfn._TRO_TRAILING(Artists!A:A),_xlfn._TRO_TRAILING(Artists!B:B)))</f>
        <v>Jean Tinguely</v>
      </c>
      <c r="E577">
        <v>1960</v>
      </c>
      <c r="F577" cm="1">
        <f t="array" ref="F577">_xlfn.REGEXEXTRACT(E577,"\d{4}")*1</f>
        <v>1960</v>
      </c>
      <c r="G577" t="s">
        <v>3130</v>
      </c>
      <c r="H577" t="s">
        <v>3131</v>
      </c>
      <c r="I577" t="s">
        <v>2248</v>
      </c>
      <c r="J577" t="s">
        <v>879</v>
      </c>
      <c r="K577" s="1">
        <v>24909</v>
      </c>
      <c r="L577" t="s">
        <v>3132</v>
      </c>
      <c r="M577" t="s">
        <v>3133</v>
      </c>
      <c r="N577" t="s">
        <v>6407</v>
      </c>
    </row>
    <row r="578" spans="1:14" x14ac:dyDescent="0.25">
      <c r="A578">
        <v>81178</v>
      </c>
      <c r="B578" t="s">
        <v>3134</v>
      </c>
      <c r="C578">
        <v>624</v>
      </c>
      <c r="D578" t="str" cm="1">
        <f t="array" ref="D578">_xlfn.TEXTJOIN(",",TRUE,_xlfn.XLOOKUP(_xlfn.TEXTSPLIT(C578,",")*1,_xlfn._TRO_TRAILING(Artists!A:A),_xlfn._TRO_TRAILING(Artists!B:B)))</f>
        <v>Umberto Boccioni</v>
      </c>
      <c r="E578" t="s">
        <v>3135</v>
      </c>
      <c r="F578" cm="1">
        <f t="array" ref="F578">_xlfn.REGEXEXTRACT(E578,"\d{4}")*1</f>
        <v>1912</v>
      </c>
      <c r="G578" t="s">
        <v>3136</v>
      </c>
      <c r="H578" t="s">
        <v>3137</v>
      </c>
      <c r="I578" t="s">
        <v>2248</v>
      </c>
      <c r="J578" t="s">
        <v>879</v>
      </c>
      <c r="K578" s="1">
        <v>17812</v>
      </c>
      <c r="L578" t="s">
        <v>3138</v>
      </c>
      <c r="M578" t="s">
        <v>3139</v>
      </c>
      <c r="N578" t="s">
        <v>6401</v>
      </c>
    </row>
    <row r="579" spans="1:14" x14ac:dyDescent="0.25">
      <c r="A579">
        <v>81190</v>
      </c>
      <c r="B579" t="s">
        <v>3140</v>
      </c>
      <c r="C579">
        <v>3832</v>
      </c>
      <c r="D579" t="str" cm="1">
        <f t="array" ref="D579">_xlfn.TEXTJOIN(",",TRUE,_xlfn.XLOOKUP(_xlfn.TEXTSPLIT(C579,",")*1,_xlfn._TRO_TRAILING(Artists!A:A),_xlfn._TRO_TRAILING(Artists!B:B)))</f>
        <v>Henri Matisse</v>
      </c>
      <c r="E579" t="s">
        <v>3141</v>
      </c>
      <c r="F579" cm="1">
        <f t="array" ref="F579">_xlfn.REGEXEXTRACT(E579,"\d{4}")*1</f>
        <v>1911</v>
      </c>
      <c r="G579" t="s">
        <v>107</v>
      </c>
      <c r="H579" t="s">
        <v>3142</v>
      </c>
      <c r="I579" t="s">
        <v>2248</v>
      </c>
      <c r="J579" t="s">
        <v>879</v>
      </c>
      <c r="K579" s="1">
        <v>20583</v>
      </c>
      <c r="L579" t="s">
        <v>3143</v>
      </c>
      <c r="M579" t="s">
        <v>3144</v>
      </c>
      <c r="N579" t="s">
        <v>6368</v>
      </c>
    </row>
    <row r="580" spans="1:14" x14ac:dyDescent="0.25">
      <c r="A580">
        <v>81202</v>
      </c>
      <c r="B580" t="s">
        <v>3145</v>
      </c>
      <c r="C580">
        <v>450</v>
      </c>
      <c r="D580" t="str" cm="1">
        <f t="array" ref="D580">_xlfn.TEXTJOIN(",",TRUE,_xlfn.XLOOKUP(_xlfn.TEXTSPLIT(C580,",")*1,_xlfn._TRO_TRAILING(Artists!A:A),_xlfn._TRO_TRAILING(Artists!B:B)))</f>
        <v>Rudolf Belling</v>
      </c>
      <c r="E580">
        <v>1923</v>
      </c>
      <c r="F580" cm="1">
        <f t="array" ref="F580">_xlfn.REGEXEXTRACT(E580,"\d{4}")*1</f>
        <v>1923</v>
      </c>
      <c r="G580" t="s">
        <v>269</v>
      </c>
      <c r="H580" t="s">
        <v>3146</v>
      </c>
      <c r="I580" t="s">
        <v>2248</v>
      </c>
      <c r="J580" t="s">
        <v>879</v>
      </c>
      <c r="K580" s="1">
        <v>20612</v>
      </c>
      <c r="L580" t="s">
        <v>3147</v>
      </c>
      <c r="M580" t="s">
        <v>3148</v>
      </c>
      <c r="N580" t="s">
        <v>6391</v>
      </c>
    </row>
    <row r="581" spans="1:14" x14ac:dyDescent="0.25">
      <c r="A581">
        <v>81209</v>
      </c>
      <c r="B581" t="s">
        <v>3149</v>
      </c>
      <c r="C581">
        <v>3716</v>
      </c>
      <c r="D581" t="str" cm="1">
        <f t="array" ref="D581">_xlfn.TEXTJOIN(",",TRUE,_xlfn.XLOOKUP(_xlfn.TEXTSPLIT(C581,",")*1,_xlfn._TRO_TRAILING(Artists!A:A),_xlfn._TRO_TRAILING(Artists!B:B)))</f>
        <v>Man Ray (Emmanuel Radnitzky)</v>
      </c>
      <c r="E581" t="s">
        <v>3150</v>
      </c>
      <c r="F581" cm="1">
        <f t="array" ref="F581">_xlfn.REGEXEXTRACT(E581,"\d{4}")*1</f>
        <v>1964</v>
      </c>
      <c r="G581" t="s">
        <v>3151</v>
      </c>
      <c r="H581" t="s">
        <v>3152</v>
      </c>
      <c r="I581" t="s">
        <v>2248</v>
      </c>
      <c r="J581" t="s">
        <v>879</v>
      </c>
      <c r="K581" s="1">
        <v>24209</v>
      </c>
      <c r="L581" t="s">
        <v>3153</v>
      </c>
      <c r="M581" t="s">
        <v>3154</v>
      </c>
      <c r="N581" t="s">
        <v>6385</v>
      </c>
    </row>
    <row r="582" spans="1:14" x14ac:dyDescent="0.25">
      <c r="A582">
        <v>81213</v>
      </c>
      <c r="B582" t="s">
        <v>3155</v>
      </c>
      <c r="C582">
        <v>710</v>
      </c>
      <c r="D582" t="str" cm="1">
        <f t="array" ref="D582">_xlfn.TEXTJOIN(",",TRUE,_xlfn.XLOOKUP(_xlfn.TEXTSPLIT(C582,",")*1,_xlfn._TRO_TRAILING(Artists!A:A),_xlfn._TRO_TRAILING(Artists!B:B)))</f>
        <v>Louise Bourgeois</v>
      </c>
      <c r="E582" t="s">
        <v>434</v>
      </c>
      <c r="F582" cm="1">
        <f t="array" ref="F582">_xlfn.REGEXEXTRACT(E582,"\d{4}")*1</f>
        <v>1963</v>
      </c>
      <c r="G582" t="s">
        <v>2984</v>
      </c>
      <c r="H582" t="s">
        <v>3156</v>
      </c>
      <c r="I582" t="s">
        <v>2248</v>
      </c>
      <c r="J582" t="s">
        <v>879</v>
      </c>
      <c r="K582" s="1">
        <v>30361</v>
      </c>
      <c r="L582" t="s">
        <v>3157</v>
      </c>
      <c r="M582" t="s">
        <v>3158</v>
      </c>
      <c r="N582" t="s">
        <v>6376</v>
      </c>
    </row>
    <row r="583" spans="1:14" x14ac:dyDescent="0.25">
      <c r="A583">
        <v>81223</v>
      </c>
      <c r="B583" t="s">
        <v>3159</v>
      </c>
      <c r="C583">
        <v>4071</v>
      </c>
      <c r="D583" t="str" cm="1">
        <f t="array" ref="D583">_xlfn.TEXTJOIN(",",TRUE,_xlfn.XLOOKUP(_xlfn.TEXTSPLIT(C583,",")*1,_xlfn._TRO_TRAILING(Artists!A:A),_xlfn._TRO_TRAILING(Artists!B:B)))</f>
        <v>Henry Moore</v>
      </c>
      <c r="E583">
        <v>1950</v>
      </c>
      <c r="F583" cm="1">
        <f t="array" ref="F583">_xlfn.REGEXEXTRACT(E583,"\d{4}")*1</f>
        <v>1950</v>
      </c>
      <c r="G583" t="s">
        <v>107</v>
      </c>
      <c r="H583" t="s">
        <v>3160</v>
      </c>
      <c r="I583" t="s">
        <v>2248</v>
      </c>
      <c r="J583" t="s">
        <v>879</v>
      </c>
      <c r="K583" s="1">
        <v>32427</v>
      </c>
      <c r="L583" t="s">
        <v>3161</v>
      </c>
      <c r="M583" t="s">
        <v>3162</v>
      </c>
      <c r="N583" t="s">
        <v>6416</v>
      </c>
    </row>
    <row r="584" spans="1:14" x14ac:dyDescent="0.25">
      <c r="A584">
        <v>81225</v>
      </c>
      <c r="B584" t="s">
        <v>905</v>
      </c>
      <c r="C584">
        <v>926</v>
      </c>
      <c r="D584" t="str" cm="1">
        <f t="array" ref="D584">_xlfn.TEXTJOIN(",",TRUE,_xlfn.XLOOKUP(_xlfn.TEXTSPLIT(C584,",")*1,_xlfn._TRO_TRAILING(Artists!A:A),_xlfn._TRO_TRAILING(Artists!B:B)))</f>
        <v>Mary Callery</v>
      </c>
      <c r="E584">
        <v>1942</v>
      </c>
      <c r="F584" cm="1">
        <f t="array" ref="F584">_xlfn.REGEXEXTRACT(E584,"\d{4}")*1</f>
        <v>1942</v>
      </c>
      <c r="G584" t="s">
        <v>107</v>
      </c>
      <c r="H584" t="s">
        <v>3163</v>
      </c>
      <c r="I584" t="s">
        <v>2248</v>
      </c>
      <c r="J584" t="s">
        <v>879</v>
      </c>
      <c r="K584" s="1">
        <v>16384</v>
      </c>
      <c r="L584" t="s">
        <v>3164</v>
      </c>
      <c r="M584" t="s">
        <v>3165</v>
      </c>
      <c r="N584" t="s">
        <v>6368</v>
      </c>
    </row>
    <row r="585" spans="1:14" x14ac:dyDescent="0.25">
      <c r="A585">
        <v>81232</v>
      </c>
      <c r="B585" t="s">
        <v>3166</v>
      </c>
      <c r="C585">
        <v>4016</v>
      </c>
      <c r="D585" t="str" cm="1">
        <f t="array" ref="D585">_xlfn.TEXTJOIN(",",TRUE,_xlfn.XLOOKUP(_xlfn.TEXTSPLIT(C585,",")*1,_xlfn._TRO_TRAILING(Artists!A:A),_xlfn._TRO_TRAILING(Artists!B:B)))</f>
        <v>Joan Miró</v>
      </c>
      <c r="E585" t="s">
        <v>3167</v>
      </c>
      <c r="F585" cm="1">
        <f t="array" ref="F585">_xlfn.REGEXEXTRACT(E585,"\d{4}")*1</f>
        <v>1930</v>
      </c>
      <c r="G585" t="s">
        <v>3168</v>
      </c>
      <c r="H585" t="s">
        <v>3169</v>
      </c>
      <c r="I585" t="s">
        <v>2248</v>
      </c>
      <c r="J585" t="s">
        <v>879</v>
      </c>
      <c r="K585" s="1">
        <v>13852</v>
      </c>
      <c r="L585" t="s">
        <v>3170</v>
      </c>
      <c r="M585" t="s">
        <v>3171</v>
      </c>
      <c r="N585" t="s">
        <v>6386</v>
      </c>
    </row>
    <row r="586" spans="1:14" x14ac:dyDescent="0.25">
      <c r="A586">
        <v>81233</v>
      </c>
      <c r="B586" t="s">
        <v>3172</v>
      </c>
      <c r="C586">
        <v>4197</v>
      </c>
      <c r="D586" t="str" cm="1">
        <f t="array" ref="D586">_xlfn.TEXTJOIN(",",TRUE,_xlfn.XLOOKUP(_xlfn.TEXTSPLIT(C586,",")*1,_xlfn._TRO_TRAILING(Artists!A:A),_xlfn._TRO_TRAILING(Artists!B:B)))</f>
        <v>Elie Nadelman</v>
      </c>
      <c r="E586" t="s">
        <v>115</v>
      </c>
      <c r="F586" cm="1">
        <f t="array" ref="F586">_xlfn.REGEXEXTRACT(E586,"\d{4}")*1</f>
        <v>1915</v>
      </c>
      <c r="G586" t="s">
        <v>107</v>
      </c>
      <c r="H586" t="s">
        <v>3173</v>
      </c>
      <c r="I586" t="s">
        <v>2248</v>
      </c>
      <c r="J586" t="s">
        <v>879</v>
      </c>
      <c r="K586" s="1">
        <v>17812</v>
      </c>
      <c r="L586" t="s">
        <v>3174</v>
      </c>
      <c r="M586" t="s">
        <v>3175</v>
      </c>
      <c r="N586" t="s">
        <v>6416</v>
      </c>
    </row>
    <row r="587" spans="1:14" x14ac:dyDescent="0.25">
      <c r="A587">
        <v>81242</v>
      </c>
      <c r="B587" t="s">
        <v>831</v>
      </c>
      <c r="C587">
        <v>3409</v>
      </c>
      <c r="D587" t="str" cm="1">
        <f t="array" ref="D587">_xlfn.TEXTJOIN(",",TRUE,_xlfn.XLOOKUP(_xlfn.TEXTSPLIT(C587,",")*1,_xlfn._TRO_TRAILING(Artists!A:A),_xlfn._TRO_TRAILING(Artists!B:B)))</f>
        <v>Henri Laurens</v>
      </c>
      <c r="E587">
        <v>1915</v>
      </c>
      <c r="F587" cm="1">
        <f t="array" ref="F587">_xlfn.REGEXEXTRACT(E587,"\d{4}")*1</f>
        <v>1915</v>
      </c>
      <c r="G587" t="s">
        <v>3177</v>
      </c>
      <c r="H587" t="s">
        <v>3178</v>
      </c>
      <c r="I587" t="s">
        <v>2248</v>
      </c>
      <c r="J587" t="s">
        <v>879</v>
      </c>
      <c r="K587" s="1">
        <v>13852</v>
      </c>
      <c r="L587" t="s">
        <v>3179</v>
      </c>
      <c r="M587" t="s">
        <v>3180</v>
      </c>
      <c r="N587" t="s">
        <v>6401</v>
      </c>
    </row>
    <row r="588" spans="1:14" x14ac:dyDescent="0.25">
      <c r="A588">
        <v>81253</v>
      </c>
      <c r="B588" t="s">
        <v>3181</v>
      </c>
      <c r="C588">
        <v>5480</v>
      </c>
      <c r="D588" t="str" cm="1">
        <f t="array" ref="D588">_xlfn.TEXTJOIN(",",TRUE,_xlfn.XLOOKUP(_xlfn.TEXTSPLIT(C588,",")*1,_xlfn._TRO_TRAILING(Artists!A:A),_xlfn._TRO_TRAILING(Artists!B:B)))</f>
        <v>David Smith</v>
      </c>
      <c r="E588" t="s">
        <v>1227</v>
      </c>
      <c r="F588" cm="1">
        <f t="array" ref="F588">_xlfn.REGEXEXTRACT(E588,"\d{4}")*1</f>
        <v>1939</v>
      </c>
      <c r="G588" t="s">
        <v>107</v>
      </c>
      <c r="H588" t="s">
        <v>3182</v>
      </c>
      <c r="I588" t="s">
        <v>2248</v>
      </c>
      <c r="J588" t="s">
        <v>879</v>
      </c>
      <c r="K588" s="1">
        <v>21158</v>
      </c>
      <c r="L588" t="s">
        <v>3183</v>
      </c>
      <c r="M588" t="s">
        <v>3184</v>
      </c>
      <c r="N588" t="s">
        <v>6377</v>
      </c>
    </row>
    <row r="589" spans="1:14" x14ac:dyDescent="0.25">
      <c r="A589">
        <v>81268</v>
      </c>
      <c r="B589" t="s">
        <v>3185</v>
      </c>
      <c r="C589">
        <v>4609</v>
      </c>
      <c r="D589" t="str" cm="1">
        <f t="array" ref="D589">_xlfn.TEXTJOIN(",",TRUE,_xlfn.XLOOKUP(_xlfn.TEXTSPLIT(C589,",")*1,_xlfn._TRO_TRAILING(Artists!A:A),_xlfn._TRO_TRAILING(Artists!B:B)))</f>
        <v>Pablo Picasso</v>
      </c>
      <c r="E589" t="s">
        <v>3186</v>
      </c>
      <c r="F589" cm="1">
        <f t="array" ref="F589">_xlfn.REGEXEXTRACT(E589,"\d{4}")*1</f>
        <v>1951</v>
      </c>
      <c r="G589" t="s">
        <v>3176</v>
      </c>
      <c r="H589" t="s">
        <v>3187</v>
      </c>
      <c r="I589" t="s">
        <v>2248</v>
      </c>
      <c r="J589" t="s">
        <v>879</v>
      </c>
      <c r="K589" s="1">
        <v>20737</v>
      </c>
      <c r="L589" t="s">
        <v>3188</v>
      </c>
      <c r="M589" t="s">
        <v>3189</v>
      </c>
      <c r="N589" t="s">
        <v>6416</v>
      </c>
    </row>
    <row r="590" spans="1:14" x14ac:dyDescent="0.25">
      <c r="A590">
        <v>81295</v>
      </c>
      <c r="B590" t="s">
        <v>1095</v>
      </c>
      <c r="C590">
        <v>2812</v>
      </c>
      <c r="D590" t="str" cm="1">
        <f t="array" ref="D590">_xlfn.TEXTJOIN(",",TRUE,_xlfn.XLOOKUP(_xlfn.TEXTSPLIT(C590,",")*1,_xlfn._TRO_TRAILING(Artists!A:A),_xlfn._TRO_TRAILING(Artists!B:B)))</f>
        <v>Robert Indiana</v>
      </c>
      <c r="E590">
        <v>1960</v>
      </c>
      <c r="F590" cm="1">
        <f t="array" ref="F590">_xlfn.REGEXEXTRACT(E590,"\d{4}")*1</f>
        <v>1960</v>
      </c>
      <c r="G590" t="s">
        <v>3190</v>
      </c>
      <c r="H590" t="s">
        <v>3191</v>
      </c>
      <c r="I590" t="s">
        <v>2248</v>
      </c>
      <c r="J590" t="s">
        <v>879</v>
      </c>
      <c r="K590" s="1">
        <v>22564</v>
      </c>
      <c r="L590" t="s">
        <v>3192</v>
      </c>
      <c r="M590" t="s">
        <v>3193</v>
      </c>
      <c r="N590" t="s">
        <v>6363</v>
      </c>
    </row>
    <row r="591" spans="1:14" x14ac:dyDescent="0.25">
      <c r="A591">
        <v>81307</v>
      </c>
      <c r="B591" t="s">
        <v>3194</v>
      </c>
      <c r="C591">
        <v>4609</v>
      </c>
      <c r="D591" t="str" cm="1">
        <f t="array" ref="D591">_xlfn.TEXTJOIN(",",TRUE,_xlfn.XLOOKUP(_xlfn.TEXTSPLIT(C591,",")*1,_xlfn._TRO_TRAILING(Artists!A:A),_xlfn._TRO_TRAILING(Artists!B:B)))</f>
        <v>Pablo Picasso</v>
      </c>
      <c r="E591" t="s">
        <v>3195</v>
      </c>
      <c r="F591" cm="1">
        <f t="array" ref="F591">_xlfn.REGEXEXTRACT(E591,"\d{4}")*1</f>
        <v>1914</v>
      </c>
      <c r="G591" t="s">
        <v>3196</v>
      </c>
      <c r="H591" t="s">
        <v>3197</v>
      </c>
      <c r="I591" t="s">
        <v>2248</v>
      </c>
      <c r="J591" t="s">
        <v>879</v>
      </c>
      <c r="K591" s="1">
        <v>20753</v>
      </c>
      <c r="L591" t="s">
        <v>3198</v>
      </c>
      <c r="M591" t="s">
        <v>3199</v>
      </c>
      <c r="N591" t="s">
        <v>6386</v>
      </c>
    </row>
    <row r="592" spans="1:14" x14ac:dyDescent="0.25">
      <c r="A592">
        <v>81329</v>
      </c>
      <c r="B592" t="s">
        <v>3201</v>
      </c>
      <c r="C592">
        <v>1364</v>
      </c>
      <c r="D592" t="str" cm="1">
        <f t="array" ref="D592">_xlfn.TEXTJOIN(",",TRUE,_xlfn.XLOOKUP(_xlfn.TEXTSPLIT(C592,",")*1,_xlfn._TRO_TRAILING(Artists!A:A),_xlfn._TRO_TRAILING(Artists!B:B)))</f>
        <v>Salvador Dalí</v>
      </c>
      <c r="E592" t="s">
        <v>3202</v>
      </c>
      <c r="F592" cm="1">
        <f t="array" ref="F592">_xlfn.REGEXEXTRACT(E592,"\d{4}")*1</f>
        <v>1933</v>
      </c>
      <c r="G592" t="s">
        <v>3203</v>
      </c>
      <c r="H592" t="s">
        <v>3204</v>
      </c>
      <c r="I592" t="s">
        <v>2248</v>
      </c>
      <c r="J592" t="s">
        <v>879</v>
      </c>
      <c r="K592" s="1">
        <v>33763</v>
      </c>
      <c r="L592" t="s">
        <v>3205</v>
      </c>
      <c r="M592" t="s">
        <v>3206</v>
      </c>
      <c r="N592" t="s">
        <v>6386</v>
      </c>
    </row>
    <row r="593" spans="1:14" x14ac:dyDescent="0.25">
      <c r="A593">
        <v>81368</v>
      </c>
      <c r="B593" t="s">
        <v>857</v>
      </c>
      <c r="C593">
        <v>1930</v>
      </c>
      <c r="D593" t="str" cm="1">
        <f t="array" ref="D593">_xlfn.TEXTJOIN(",",TRUE,_xlfn.XLOOKUP(_xlfn.TEXTSPLIT(C593,",")*1,_xlfn._TRO_TRAILING(Artists!A:A),_xlfn._TRO_TRAILING(Artists!B:B)))</f>
        <v>Lucio Fontana</v>
      </c>
      <c r="E593">
        <v>1948</v>
      </c>
      <c r="F593" cm="1">
        <f t="array" ref="F593">_xlfn.REGEXEXTRACT(E593,"\d{4}")*1</f>
        <v>1948</v>
      </c>
      <c r="G593" t="s">
        <v>118</v>
      </c>
      <c r="H593" t="s">
        <v>3209</v>
      </c>
      <c r="I593" t="s">
        <v>2248</v>
      </c>
      <c r="J593" t="s">
        <v>879</v>
      </c>
      <c r="K593" s="1">
        <v>18170</v>
      </c>
      <c r="L593" t="s">
        <v>3210</v>
      </c>
      <c r="M593" t="s">
        <v>3211</v>
      </c>
      <c r="N593" t="s">
        <v>6377</v>
      </c>
    </row>
    <row r="594" spans="1:14" x14ac:dyDescent="0.25">
      <c r="A594">
        <v>81370</v>
      </c>
      <c r="B594" t="s">
        <v>3212</v>
      </c>
      <c r="C594">
        <v>38</v>
      </c>
      <c r="D594" t="str" cm="1">
        <f t="array" ref="D594">_xlfn.TEXTJOIN(",",TRUE,_xlfn.XLOOKUP(_xlfn.TEXTSPLIT(C594,",")*1,_xlfn._TRO_TRAILING(Artists!A:A),_xlfn._TRO_TRAILING(Artists!B:B)))</f>
        <v>Magdalena Abakanowicz</v>
      </c>
      <c r="E594" t="s">
        <v>760</v>
      </c>
      <c r="F594" cm="1">
        <f t="array" ref="F594">_xlfn.REGEXEXTRACT(E594,"\d{4}")*1</f>
        <v>1981</v>
      </c>
      <c r="G594" t="s">
        <v>3213</v>
      </c>
      <c r="H594" t="s">
        <v>3214</v>
      </c>
      <c r="I594" t="s">
        <v>726</v>
      </c>
      <c r="J594" t="s">
        <v>879</v>
      </c>
      <c r="K594" s="1">
        <v>31345</v>
      </c>
      <c r="L594" t="s">
        <v>3215</v>
      </c>
      <c r="M594" t="s">
        <v>3216</v>
      </c>
      <c r="N594" t="s">
        <v>6397</v>
      </c>
    </row>
    <row r="595" spans="1:14" x14ac:dyDescent="0.25">
      <c r="A595">
        <v>81372</v>
      </c>
      <c r="B595" t="s">
        <v>3217</v>
      </c>
      <c r="C595">
        <v>5451</v>
      </c>
      <c r="D595" t="str" cm="1">
        <f t="array" ref="D595">_xlfn.TEXTJOIN(",",TRUE,_xlfn.XLOOKUP(_xlfn.TEXTSPLIT(C595,",")*1,_xlfn._TRO_TRAILING(Artists!A:A),_xlfn._TRO_TRAILING(Artists!B:B)))</f>
        <v>Renée Sintenis</v>
      </c>
      <c r="E595">
        <v>1930</v>
      </c>
      <c r="F595" cm="1">
        <f t="array" ref="F595">_xlfn.REGEXEXTRACT(E595,"\d{4}")*1</f>
        <v>1930</v>
      </c>
      <c r="G595" t="s">
        <v>107</v>
      </c>
      <c r="H595" t="s">
        <v>3218</v>
      </c>
      <c r="I595" t="s">
        <v>2248</v>
      </c>
      <c r="J595" t="s">
        <v>879</v>
      </c>
      <c r="K595" s="1">
        <v>14348</v>
      </c>
      <c r="L595" t="s">
        <v>3219</v>
      </c>
      <c r="M595" t="s">
        <v>3220</v>
      </c>
      <c r="N595" t="s">
        <v>6391</v>
      </c>
    </row>
    <row r="596" spans="1:14" x14ac:dyDescent="0.25">
      <c r="A596">
        <v>81412</v>
      </c>
      <c r="B596" t="s">
        <v>3222</v>
      </c>
      <c r="C596">
        <v>3832</v>
      </c>
      <c r="D596" t="str" cm="1">
        <f t="array" ref="D596">_xlfn.TEXTJOIN(",",TRUE,_xlfn.XLOOKUP(_xlfn.TEXTSPLIT(C596,",")*1,_xlfn._TRO_TRAILING(Artists!A:A),_xlfn._TRO_TRAILING(Artists!B:B)))</f>
        <v>Henri Matisse</v>
      </c>
      <c r="E596" t="s">
        <v>3002</v>
      </c>
      <c r="F596" cm="1">
        <f t="array" ref="F596">_xlfn.REGEXEXTRACT(E596,"\d{4}")*1</f>
        <v>1910</v>
      </c>
      <c r="G596" t="s">
        <v>107</v>
      </c>
      <c r="H596" t="s">
        <v>3223</v>
      </c>
      <c r="I596" t="s">
        <v>2248</v>
      </c>
      <c r="J596" t="s">
        <v>879</v>
      </c>
      <c r="K596" s="1">
        <v>20433</v>
      </c>
      <c r="L596" t="s">
        <v>3224</v>
      </c>
      <c r="M596" t="s">
        <v>3225</v>
      </c>
      <c r="N596" t="s">
        <v>6395</v>
      </c>
    </row>
    <row r="597" spans="1:14" x14ac:dyDescent="0.25">
      <c r="A597">
        <v>81419</v>
      </c>
      <c r="B597" t="s">
        <v>3226</v>
      </c>
      <c r="C597">
        <v>4397</v>
      </c>
      <c r="D597" t="str" cm="1">
        <f t="array" ref="D597">_xlfn.TEXTJOIN(",",TRUE,_xlfn.XLOOKUP(_xlfn.TEXTSPLIT(C597,",")*1,_xlfn._TRO_TRAILING(Artists!A:A),_xlfn._TRO_TRAILING(Artists!B:B)))</f>
        <v>Claes Oldenburg</v>
      </c>
      <c r="E597" s="3">
        <v>1961</v>
      </c>
      <c r="F597" cm="1">
        <f t="array" ref="F597">_xlfn.REGEXEXTRACT(E597,"\d{4}")*1</f>
        <v>1961</v>
      </c>
      <c r="G597" t="s">
        <v>3227</v>
      </c>
      <c r="H597" t="s">
        <v>3228</v>
      </c>
      <c r="I597" t="s">
        <v>2248</v>
      </c>
      <c r="J597" t="s">
        <v>879</v>
      </c>
      <c r="K597" s="1">
        <v>22628</v>
      </c>
      <c r="L597" t="s">
        <v>3229</v>
      </c>
      <c r="M597" t="s">
        <v>3230</v>
      </c>
      <c r="N597" t="s">
        <v>6398</v>
      </c>
    </row>
    <row r="598" spans="1:14" x14ac:dyDescent="0.25">
      <c r="A598">
        <v>81424</v>
      </c>
      <c r="B598" t="s">
        <v>3231</v>
      </c>
      <c r="C598">
        <v>2714</v>
      </c>
      <c r="D598" t="str" cm="1">
        <f t="array" ref="D598">_xlfn.TEXTJOIN(",",TRUE,_xlfn.XLOOKUP(_xlfn.TEXTSPLIT(C598,",")*1,_xlfn._TRO_TRAILING(Artists!A:A),_xlfn._TRO_TRAILING(Artists!B:B)))</f>
        <v>Jenny Holzer</v>
      </c>
      <c r="E598">
        <v>1986</v>
      </c>
      <c r="F598" cm="1">
        <f t="array" ref="F598">_xlfn.REGEXEXTRACT(E598,"\d{4}")*1</f>
        <v>1986</v>
      </c>
      <c r="G598" t="s">
        <v>3083</v>
      </c>
      <c r="H598" t="s">
        <v>3232</v>
      </c>
      <c r="I598" t="s">
        <v>2248</v>
      </c>
      <c r="J598" t="s">
        <v>879</v>
      </c>
      <c r="K598" s="1">
        <v>31754</v>
      </c>
      <c r="L598" t="s">
        <v>3233</v>
      </c>
      <c r="M598" t="s">
        <v>3234</v>
      </c>
      <c r="N598" t="s">
        <v>6368</v>
      </c>
    </row>
    <row r="599" spans="1:14" x14ac:dyDescent="0.25">
      <c r="A599">
        <v>81428</v>
      </c>
      <c r="B599" t="s">
        <v>3235</v>
      </c>
      <c r="C599">
        <v>3528</v>
      </c>
      <c r="D599" t="str" cm="1">
        <f t="array" ref="D599">_xlfn.TEXTJOIN(",",TRUE,_xlfn.XLOOKUP(_xlfn.TEXTSPLIT(C599,",")*1,_xlfn._TRO_TRAILING(Artists!A:A),_xlfn._TRO_TRAILING(Artists!B:B)))</f>
        <v>Sol LeWitt</v>
      </c>
      <c r="E599">
        <v>1966</v>
      </c>
      <c r="F599" cm="1">
        <f t="array" ref="F599">_xlfn.REGEXEXTRACT(E599,"\d{4}")*1</f>
        <v>1966</v>
      </c>
      <c r="G599" t="s">
        <v>227</v>
      </c>
      <c r="H599" t="s">
        <v>3236</v>
      </c>
      <c r="I599" t="s">
        <v>2248</v>
      </c>
      <c r="J599" t="s">
        <v>879</v>
      </c>
      <c r="K599" s="1">
        <v>31754</v>
      </c>
      <c r="L599" t="s">
        <v>3237</v>
      </c>
      <c r="M599" t="s">
        <v>3238</v>
      </c>
      <c r="N599" t="s">
        <v>6396</v>
      </c>
    </row>
    <row r="600" spans="1:14" x14ac:dyDescent="0.25">
      <c r="A600">
        <v>81432</v>
      </c>
      <c r="B600" t="s">
        <v>3239</v>
      </c>
      <c r="C600">
        <v>1634</v>
      </c>
      <c r="D600" t="str" cm="1">
        <f t="array" ref="D600">_xlfn.TEXTJOIN(",",TRUE,_xlfn.XLOOKUP(_xlfn.TEXTSPLIT(C600,",")*1,_xlfn._TRO_TRAILING(Artists!A:A),_xlfn._TRO_TRAILING(Artists!B:B)))</f>
        <v>Marcel Duchamp</v>
      </c>
      <c r="E600" t="s">
        <v>3240</v>
      </c>
      <c r="F600" cm="1">
        <f t="array" ref="F600">_xlfn.REGEXEXTRACT(E600,"\d{4}")*1</f>
        <v>1925</v>
      </c>
      <c r="G600" t="s">
        <v>3241</v>
      </c>
      <c r="H600" t="s">
        <v>3242</v>
      </c>
      <c r="I600" t="s">
        <v>2248</v>
      </c>
      <c r="J600" t="s">
        <v>879</v>
      </c>
      <c r="K600" s="1">
        <v>25855</v>
      </c>
      <c r="L600" t="s">
        <v>3243</v>
      </c>
      <c r="M600" t="s">
        <v>3244</v>
      </c>
      <c r="N600" t="s">
        <v>6385</v>
      </c>
    </row>
    <row r="601" spans="1:14" x14ac:dyDescent="0.25">
      <c r="A601">
        <v>81442</v>
      </c>
      <c r="B601" t="s">
        <v>51</v>
      </c>
      <c r="C601">
        <v>670</v>
      </c>
      <c r="D601" t="str" cm="1">
        <f t="array" ref="D601">_xlfn.TEXTJOIN(",",TRUE,_xlfn.XLOOKUP(_xlfn.TEXTSPLIT(C601,",")*1,_xlfn._TRO_TRAILING(Artists!A:A),_xlfn._TRO_TRAILING(Artists!B:B)))</f>
        <v>Lee Bontecou</v>
      </c>
      <c r="E601">
        <v>1961</v>
      </c>
      <c r="F601" cm="1">
        <f t="array" ref="F601">_xlfn.REGEXEXTRACT(E601,"\d{4}")*1</f>
        <v>1961</v>
      </c>
      <c r="G601" t="s">
        <v>3245</v>
      </c>
      <c r="H601" t="s">
        <v>3246</v>
      </c>
      <c r="I601" t="s">
        <v>2248</v>
      </c>
      <c r="J601" t="s">
        <v>879</v>
      </c>
      <c r="K601" s="1">
        <v>23292</v>
      </c>
      <c r="L601" t="s">
        <v>3247</v>
      </c>
      <c r="M601" t="s">
        <v>3248</v>
      </c>
      <c r="N601" t="s">
        <v>6398</v>
      </c>
    </row>
    <row r="602" spans="1:14" x14ac:dyDescent="0.25">
      <c r="A602">
        <v>81493</v>
      </c>
      <c r="B602" t="s">
        <v>3250</v>
      </c>
      <c r="C602">
        <v>1247</v>
      </c>
      <c r="D602" t="str" cm="1">
        <f t="array" ref="D602">_xlfn.TEXTJOIN(",",TRUE,_xlfn.XLOOKUP(_xlfn.TEXTSPLIT(C602,",")*1,_xlfn._TRO_TRAILING(Artists!A:A),_xlfn._TRO_TRAILING(Artists!B:B)))</f>
        <v>Joseph Cornell</v>
      </c>
      <c r="E602">
        <v>1940</v>
      </c>
      <c r="F602" cm="1">
        <f t="array" ref="F602">_xlfn.REGEXEXTRACT(E602,"\d{4}")*1</f>
        <v>1940</v>
      </c>
      <c r="G602" t="s">
        <v>3251</v>
      </c>
      <c r="H602" t="s">
        <v>3252</v>
      </c>
      <c r="I602" t="s">
        <v>2248</v>
      </c>
      <c r="J602" t="s">
        <v>879</v>
      </c>
      <c r="K602" s="1">
        <v>19667</v>
      </c>
      <c r="L602" t="s">
        <v>3253</v>
      </c>
      <c r="M602" t="s">
        <v>3254</v>
      </c>
      <c r="N602" t="s">
        <v>6386</v>
      </c>
    </row>
    <row r="603" spans="1:14" x14ac:dyDescent="0.25">
      <c r="A603">
        <v>81505</v>
      </c>
      <c r="B603" t="s">
        <v>3256</v>
      </c>
      <c r="C603">
        <v>738</v>
      </c>
      <c r="D603" t="str" cm="1">
        <f t="array" ref="D603">_xlfn.TEXTJOIN(",",TRUE,_xlfn.XLOOKUP(_xlfn.TEXTSPLIT(C603,",")*1,_xlfn._TRO_TRAILING(Artists!A:A),_xlfn._TRO_TRAILING(Artists!B:B)))</f>
        <v>Constantin Brâncuși</v>
      </c>
      <c r="E603" t="s">
        <v>2685</v>
      </c>
      <c r="F603" cm="1">
        <f t="array" ref="F603">_xlfn.REGEXEXTRACT(E603,"\d{4}")*1</f>
        <v>1928</v>
      </c>
      <c r="G603" t="s">
        <v>3257</v>
      </c>
      <c r="H603" t="s">
        <v>3258</v>
      </c>
      <c r="I603" t="s">
        <v>2248</v>
      </c>
      <c r="J603" t="s">
        <v>879</v>
      </c>
      <c r="K603" s="1">
        <v>31345</v>
      </c>
      <c r="L603" t="s">
        <v>3259</v>
      </c>
      <c r="M603" t="s">
        <v>3260</v>
      </c>
      <c r="N603" t="s">
        <v>6406</v>
      </c>
    </row>
    <row r="604" spans="1:14" x14ac:dyDescent="0.25">
      <c r="A604">
        <v>81517</v>
      </c>
      <c r="B604" t="s">
        <v>847</v>
      </c>
      <c r="C604">
        <v>429</v>
      </c>
      <c r="D604" t="str" cm="1">
        <f t="array" ref="D604">_xlfn.TEXTJOIN(",",TRUE,_xlfn.XLOOKUP(_xlfn.TEXTSPLIT(C604,",")*1,_xlfn._TRO_TRAILING(Artists!A:A),_xlfn._TRO_TRAILING(Artists!B:B)))</f>
        <v>Max Beckmann</v>
      </c>
      <c r="E604" t="s">
        <v>3261</v>
      </c>
      <c r="F604" cm="1">
        <f t="array" ref="F604">_xlfn.REGEXEXTRACT(E604,"\d{4}")*1</f>
        <v>1936</v>
      </c>
      <c r="G604" t="s">
        <v>107</v>
      </c>
      <c r="H604" t="s">
        <v>3262</v>
      </c>
      <c r="I604" t="s">
        <v>2248</v>
      </c>
      <c r="J604" t="s">
        <v>879</v>
      </c>
      <c r="K604" s="1">
        <v>18953</v>
      </c>
      <c r="L604" t="s">
        <v>3263</v>
      </c>
      <c r="M604" t="s">
        <v>3264</v>
      </c>
      <c r="N604" t="s">
        <v>6391</v>
      </c>
    </row>
    <row r="605" spans="1:14" x14ac:dyDescent="0.25">
      <c r="A605">
        <v>81524</v>
      </c>
      <c r="B605" t="s">
        <v>2336</v>
      </c>
      <c r="C605">
        <v>3563</v>
      </c>
      <c r="D605" t="str" cm="1">
        <f t="array" ref="D605">_xlfn.TEXTJOIN(",",TRUE,_xlfn.XLOOKUP(_xlfn.TEXTSPLIT(C605,",")*1,_xlfn._TRO_TRAILING(Artists!A:A),_xlfn._TRO_TRAILING(Artists!B:B)))</f>
        <v>Jacques Lipchitz</v>
      </c>
      <c r="E605">
        <v>1915</v>
      </c>
      <c r="F605" cm="1">
        <f t="array" ref="F605">_xlfn.REGEXEXTRACT(E605,"\d{4}")*1</f>
        <v>1915</v>
      </c>
      <c r="G605" t="s">
        <v>3065</v>
      </c>
      <c r="H605" t="s">
        <v>3265</v>
      </c>
      <c r="I605" t="s">
        <v>2248</v>
      </c>
      <c r="J605" t="s">
        <v>879</v>
      </c>
      <c r="K605" s="1">
        <v>18953</v>
      </c>
      <c r="L605" t="s">
        <v>3266</v>
      </c>
      <c r="M605" t="s">
        <v>3267</v>
      </c>
      <c r="N605" t="s">
        <v>6401</v>
      </c>
    </row>
    <row r="606" spans="1:14" x14ac:dyDescent="0.25">
      <c r="A606">
        <v>81525</v>
      </c>
      <c r="B606" t="s">
        <v>3268</v>
      </c>
      <c r="C606">
        <v>6091</v>
      </c>
      <c r="D606" t="str" cm="1">
        <f t="array" ref="D606">_xlfn.TEXTJOIN(",",TRUE,_xlfn.XLOOKUP(_xlfn.TEXTSPLIT(C606,",")*1,_xlfn._TRO_TRAILING(Artists!A:A),_xlfn._TRO_TRAILING(Artists!B:B)))</f>
        <v>Georges Vantongerloo</v>
      </c>
      <c r="E606">
        <v>1921</v>
      </c>
      <c r="F606" cm="1">
        <f t="array" ref="F606">_xlfn.REGEXEXTRACT(E606,"\d{4}")*1</f>
        <v>1921</v>
      </c>
      <c r="G606" t="s">
        <v>201</v>
      </c>
      <c r="H606" t="s">
        <v>3269</v>
      </c>
      <c r="I606" t="s">
        <v>2248</v>
      </c>
      <c r="J606" t="s">
        <v>879</v>
      </c>
      <c r="K606" s="1">
        <v>19722</v>
      </c>
      <c r="L606" t="s">
        <v>3270</v>
      </c>
      <c r="M606" t="s">
        <v>3271</v>
      </c>
      <c r="N606" t="s">
        <v>6399</v>
      </c>
    </row>
    <row r="607" spans="1:14" x14ac:dyDescent="0.25">
      <c r="A607">
        <v>81604</v>
      </c>
      <c r="B607" t="s">
        <v>3272</v>
      </c>
      <c r="C607">
        <v>3767</v>
      </c>
      <c r="D607" t="str" cm="1">
        <f t="array" ref="D607">_xlfn.TEXTJOIN(",",TRUE,_xlfn.XLOOKUP(_xlfn.TEXTSPLIT(C607,",")*1,_xlfn._TRO_TRAILING(Artists!A:A),_xlfn._TRO_TRAILING(Artists!B:B)))</f>
        <v>Maria Martins</v>
      </c>
      <c r="E607">
        <v>1946</v>
      </c>
      <c r="F607" cm="1">
        <f t="array" ref="F607">_xlfn.REGEXEXTRACT(E607,"\d{4}")*1</f>
        <v>1946</v>
      </c>
      <c r="G607" t="s">
        <v>3273</v>
      </c>
      <c r="H607" t="s">
        <v>3274</v>
      </c>
      <c r="I607" t="s">
        <v>2248</v>
      </c>
      <c r="J607" t="s">
        <v>879</v>
      </c>
      <c r="K607" s="1">
        <v>23656</v>
      </c>
      <c r="L607" t="s">
        <v>3275</v>
      </c>
      <c r="M607" t="s">
        <v>3276</v>
      </c>
      <c r="N607" t="s">
        <v>6416</v>
      </c>
    </row>
    <row r="608" spans="1:14" x14ac:dyDescent="0.25">
      <c r="A608">
        <v>81620</v>
      </c>
      <c r="B608" t="s">
        <v>3277</v>
      </c>
      <c r="C608">
        <v>1547</v>
      </c>
      <c r="D608" t="str" cm="1">
        <f t="array" ref="D608">_xlfn.TEXTJOIN(",",TRUE,_xlfn.XLOOKUP(_xlfn.TEXTSPLIT(C608,",")*1,_xlfn._TRO_TRAILING(Artists!A:A),_xlfn._TRO_TRAILING(Artists!B:B)))</f>
        <v>Jim Dine</v>
      </c>
      <c r="E608">
        <v>1962</v>
      </c>
      <c r="F608" cm="1">
        <f t="array" ref="F608">_xlfn.REGEXEXTRACT(E608,"\d{4}")*1</f>
        <v>1962</v>
      </c>
      <c r="G608" t="s">
        <v>3278</v>
      </c>
      <c r="H608" t="s">
        <v>3279</v>
      </c>
      <c r="I608" t="s">
        <v>878</v>
      </c>
      <c r="J608" t="s">
        <v>879</v>
      </c>
      <c r="K608" s="1">
        <v>24763</v>
      </c>
      <c r="L608" t="s">
        <v>3280</v>
      </c>
      <c r="M608" t="s">
        <v>3281</v>
      </c>
      <c r="N608" t="s">
        <v>6394</v>
      </c>
    </row>
    <row r="609" spans="1:14" x14ac:dyDescent="0.25">
      <c r="A609">
        <v>81631</v>
      </c>
      <c r="B609" t="s">
        <v>3282</v>
      </c>
      <c r="C609">
        <v>1634</v>
      </c>
      <c r="D609" t="str" cm="1">
        <f t="array" ref="D609">_xlfn.TEXTJOIN(",",TRUE,_xlfn.XLOOKUP(_xlfn.TEXTSPLIT(C609,",")*1,_xlfn._TRO_TRAILING(Artists!A:A),_xlfn._TRO_TRAILING(Artists!B:B)))</f>
        <v>Marcel Duchamp</v>
      </c>
      <c r="E609" t="s">
        <v>3283</v>
      </c>
      <c r="F609" cm="1">
        <f t="array" ref="F609">_xlfn.REGEXEXTRACT(E609,"\d{4}")*1</f>
        <v>1951</v>
      </c>
      <c r="G609" t="s">
        <v>3284</v>
      </c>
      <c r="H609" t="s">
        <v>3285</v>
      </c>
      <c r="I609" t="s">
        <v>2248</v>
      </c>
      <c r="J609" t="s">
        <v>879</v>
      </c>
      <c r="K609" s="1">
        <v>24763</v>
      </c>
      <c r="L609" t="s">
        <v>3286</v>
      </c>
      <c r="M609" t="s">
        <v>3287</v>
      </c>
      <c r="N609" t="s">
        <v>6385</v>
      </c>
    </row>
    <row r="610" spans="1:14" x14ac:dyDescent="0.25">
      <c r="A610">
        <v>81632</v>
      </c>
      <c r="B610" t="s">
        <v>3288</v>
      </c>
      <c r="C610">
        <v>2141</v>
      </c>
      <c r="D610" t="str" cm="1">
        <f t="array" ref="D610">_xlfn.TEXTJOIN(",",TRUE,_xlfn.XLOOKUP(_xlfn.TEXTSPLIT(C610,",")*1,_xlfn._TRO_TRAILING(Artists!A:A),_xlfn._TRO_TRAILING(Artists!B:B)))</f>
        <v>Alberto Giacometti</v>
      </c>
      <c r="E610">
        <v>1947</v>
      </c>
      <c r="F610" cm="1">
        <f t="array" ref="F610">_xlfn.REGEXEXTRACT(E610,"\d{4}")*1</f>
        <v>1947</v>
      </c>
      <c r="G610" t="s">
        <v>107</v>
      </c>
      <c r="H610" t="s">
        <v>3289</v>
      </c>
      <c r="I610" t="s">
        <v>2248</v>
      </c>
      <c r="J610" t="s">
        <v>879</v>
      </c>
      <c r="K610" s="1">
        <v>28101</v>
      </c>
      <c r="L610" t="s">
        <v>3290</v>
      </c>
      <c r="M610" t="s">
        <v>3291</v>
      </c>
      <c r="N610" t="s">
        <v>6377</v>
      </c>
    </row>
    <row r="611" spans="1:14" x14ac:dyDescent="0.25">
      <c r="A611">
        <v>81655</v>
      </c>
      <c r="B611" t="s">
        <v>3292</v>
      </c>
      <c r="C611">
        <v>738</v>
      </c>
      <c r="D611" t="str" cm="1">
        <f t="array" ref="D611">_xlfn.TEXTJOIN(",",TRUE,_xlfn.XLOOKUP(_xlfn.TEXTSPLIT(C611,",")*1,_xlfn._TRO_TRAILING(Artists!A:A),_xlfn._TRO_TRAILING(Artists!B:B)))</f>
        <v>Constantin Brâncuși</v>
      </c>
      <c r="E611" t="s">
        <v>3293</v>
      </c>
      <c r="F611" cm="1">
        <f t="array" ref="F611">_xlfn.REGEXEXTRACT(E611,"\d{4}")*1</f>
        <v>1920</v>
      </c>
      <c r="G611" t="s">
        <v>107</v>
      </c>
      <c r="H611" t="s">
        <v>3294</v>
      </c>
      <c r="I611" t="s">
        <v>2248</v>
      </c>
      <c r="J611" t="s">
        <v>879</v>
      </c>
      <c r="K611" s="1">
        <v>15893</v>
      </c>
      <c r="L611" t="s">
        <v>3295</v>
      </c>
      <c r="M611" t="s">
        <v>3296</v>
      </c>
      <c r="N611" t="s">
        <v>6406</v>
      </c>
    </row>
    <row r="612" spans="1:14" x14ac:dyDescent="0.25">
      <c r="A612">
        <v>81661</v>
      </c>
      <c r="B612" t="s">
        <v>3297</v>
      </c>
      <c r="C612">
        <v>3093</v>
      </c>
      <c r="D612" t="str" cm="1">
        <f t="array" ref="D612">_xlfn.TEXTJOIN(",",TRUE,_xlfn.XLOOKUP(_xlfn.TEXTSPLIT(C612,",")*1,_xlfn._TRO_TRAILING(Artists!A:A),_xlfn._TRO_TRAILING(Artists!B:B)))</f>
        <v>Mokuma Kikuhata</v>
      </c>
      <c r="E612">
        <v>1964</v>
      </c>
      <c r="F612" cm="1">
        <f t="array" ref="F612">_xlfn.REGEXEXTRACT(E612,"\d{4}")*1</f>
        <v>1964</v>
      </c>
      <c r="G612" t="s">
        <v>3299</v>
      </c>
      <c r="H612" t="s">
        <v>3300</v>
      </c>
      <c r="I612" t="s">
        <v>2248</v>
      </c>
      <c r="J612" t="s">
        <v>879</v>
      </c>
      <c r="K612" s="1">
        <v>23901</v>
      </c>
      <c r="L612" t="s">
        <v>3301</v>
      </c>
      <c r="M612" t="s">
        <v>3302</v>
      </c>
      <c r="N612" t="s">
        <v>6394</v>
      </c>
    </row>
    <row r="613" spans="1:14" x14ac:dyDescent="0.25">
      <c r="A613">
        <v>81664</v>
      </c>
      <c r="B613" t="s">
        <v>3303</v>
      </c>
      <c r="C613">
        <v>3973</v>
      </c>
      <c r="D613" t="str" cm="1">
        <f t="array" ref="D613">_xlfn.TEXTJOIN(",",TRUE,_xlfn.XLOOKUP(_xlfn.TEXTSPLIT(C613,",")*1,_xlfn._TRO_TRAILING(Artists!A:A),_xlfn._TRO_TRAILING(Artists!B:B)))</f>
        <v>Tomio Miki</v>
      </c>
      <c r="E613">
        <v>1964</v>
      </c>
      <c r="F613" cm="1">
        <f t="array" ref="F613">_xlfn.REGEXEXTRACT(E613,"\d{4}")*1</f>
        <v>1964</v>
      </c>
      <c r="G613" t="s">
        <v>188</v>
      </c>
      <c r="H613" t="s">
        <v>3305</v>
      </c>
      <c r="I613" t="s">
        <v>2248</v>
      </c>
      <c r="J613" t="s">
        <v>879</v>
      </c>
      <c r="K613" s="1">
        <v>23901</v>
      </c>
      <c r="L613" t="s">
        <v>3306</v>
      </c>
      <c r="M613" t="s">
        <v>3307</v>
      </c>
      <c r="N613" t="s">
        <v>6394</v>
      </c>
    </row>
    <row r="614" spans="1:14" x14ac:dyDescent="0.25">
      <c r="A614">
        <v>81670</v>
      </c>
      <c r="B614" t="s">
        <v>3308</v>
      </c>
      <c r="C614">
        <v>4609</v>
      </c>
      <c r="D614" t="str" cm="1">
        <f t="array" ref="D614">_xlfn.TEXTJOIN(",",TRUE,_xlfn.XLOOKUP(_xlfn.TEXTSPLIT(C614,",")*1,_xlfn._TRO_TRAILING(Artists!A:A),_xlfn._TRO_TRAILING(Artists!B:B)))</f>
        <v>Pablo Picasso</v>
      </c>
      <c r="E614" t="s">
        <v>3309</v>
      </c>
      <c r="F614" cm="1">
        <f t="array" ref="F614">_xlfn.REGEXEXTRACT(E614,"\d{4}")*1</f>
        <v>1950</v>
      </c>
      <c r="G614" t="s">
        <v>107</v>
      </c>
      <c r="H614" t="s">
        <v>3310</v>
      </c>
      <c r="I614" t="s">
        <v>2248</v>
      </c>
      <c r="J614" t="s">
        <v>879</v>
      </c>
      <c r="K614" s="1">
        <v>21662</v>
      </c>
      <c r="L614" t="s">
        <v>3311</v>
      </c>
      <c r="M614" t="s">
        <v>3312</v>
      </c>
      <c r="N614" t="s">
        <v>6368</v>
      </c>
    </row>
    <row r="615" spans="1:14" x14ac:dyDescent="0.25">
      <c r="A615">
        <v>81698</v>
      </c>
      <c r="B615" t="s">
        <v>3313</v>
      </c>
      <c r="C615">
        <v>3832</v>
      </c>
      <c r="D615" t="str" cm="1">
        <f t="array" ref="D615">_xlfn.TEXTJOIN(",",TRUE,_xlfn.XLOOKUP(_xlfn.TEXTSPLIT(C615,",")*1,_xlfn._TRO_TRAILING(Artists!A:A),_xlfn._TRO_TRAILING(Artists!B:B)))</f>
        <v>Henri Matisse</v>
      </c>
      <c r="E615" t="s">
        <v>3314</v>
      </c>
      <c r="F615" cm="1">
        <f t="array" ref="F615">_xlfn.REGEXEXTRACT(E615,"\d{4}")*1</f>
        <v>1909</v>
      </c>
      <c r="G615" t="s">
        <v>107</v>
      </c>
      <c r="H615" t="s">
        <v>3315</v>
      </c>
      <c r="I615" t="s">
        <v>2248</v>
      </c>
      <c r="J615" t="s">
        <v>879</v>
      </c>
      <c r="K615" s="1">
        <v>14587</v>
      </c>
      <c r="L615" t="s">
        <v>3316</v>
      </c>
      <c r="M615" t="s">
        <v>3317</v>
      </c>
      <c r="N615" t="s">
        <v>6395</v>
      </c>
    </row>
    <row r="616" spans="1:14" x14ac:dyDescent="0.25">
      <c r="A616">
        <v>81717</v>
      </c>
      <c r="B616" t="s">
        <v>3318</v>
      </c>
      <c r="C616">
        <v>4016</v>
      </c>
      <c r="D616" t="str" cm="1">
        <f t="array" ref="D616">_xlfn.TEXTJOIN(",",TRUE,_xlfn.XLOOKUP(_xlfn.TEXTSPLIT(C616,",")*1,_xlfn._TRO_TRAILING(Artists!A:A),_xlfn._TRO_TRAILING(Artists!B:B)))</f>
        <v>Joan Miró</v>
      </c>
      <c r="E616">
        <v>1966</v>
      </c>
      <c r="F616" cm="1">
        <f t="array" ref="F616">_xlfn.REGEXEXTRACT(E616,"\d{4}")*1</f>
        <v>1966</v>
      </c>
      <c r="G616" t="s">
        <v>107</v>
      </c>
      <c r="H616" t="s">
        <v>3319</v>
      </c>
      <c r="I616" t="s">
        <v>2248</v>
      </c>
      <c r="J616" t="s">
        <v>879</v>
      </c>
      <c r="K616" s="1">
        <v>34676</v>
      </c>
      <c r="L616" t="s">
        <v>3320</v>
      </c>
      <c r="M616" t="s">
        <v>3321</v>
      </c>
      <c r="N616" t="s">
        <v>6368</v>
      </c>
    </row>
    <row r="617" spans="1:14" x14ac:dyDescent="0.25">
      <c r="A617">
        <v>81729</v>
      </c>
      <c r="B617" t="s">
        <v>3322</v>
      </c>
      <c r="C617">
        <v>738</v>
      </c>
      <c r="D617" t="str" cm="1">
        <f t="array" ref="D617">_xlfn.TEXTJOIN(",",TRUE,_xlfn.XLOOKUP(_xlfn.TEXTSPLIT(C617,",")*1,_xlfn._TRO_TRAILING(Artists!A:A),_xlfn._TRO_TRAILING(Artists!B:B)))</f>
        <v>Constantin Brâncuși</v>
      </c>
      <c r="E617" t="s">
        <v>3323</v>
      </c>
      <c r="F617" cm="1">
        <f t="array" ref="F617">_xlfn.REGEXEXTRACT(E617,"\d{4}")*1</f>
        <v>1918</v>
      </c>
      <c r="G617" t="s">
        <v>224</v>
      </c>
      <c r="H617" t="s">
        <v>3324</v>
      </c>
      <c r="I617" t="s">
        <v>2248</v>
      </c>
      <c r="J617" t="s">
        <v>879</v>
      </c>
      <c r="K617" s="1">
        <v>30600</v>
      </c>
      <c r="L617" t="s">
        <v>3325</v>
      </c>
      <c r="M617" t="s">
        <v>3326</v>
      </c>
      <c r="N617" t="s">
        <v>6406</v>
      </c>
    </row>
    <row r="618" spans="1:14" x14ac:dyDescent="0.25">
      <c r="A618">
        <v>81732</v>
      </c>
      <c r="B618" t="s">
        <v>3327</v>
      </c>
      <c r="C618">
        <v>2310</v>
      </c>
      <c r="D618" t="str" cm="1">
        <f t="array" ref="D618">_xlfn.TEXTJOIN(",",TRUE,_xlfn.XLOOKUP(_xlfn.TEXTSPLIT(C618,",")*1,_xlfn._TRO_TRAILING(Artists!A:A),_xlfn._TRO_TRAILING(Artists!B:B)))</f>
        <v>Nancy Graves</v>
      </c>
      <c r="E618">
        <v>1983</v>
      </c>
      <c r="F618" cm="1">
        <f t="array" ref="F618">_xlfn.REGEXEXTRACT(E618,"\d{4}")*1</f>
        <v>1983</v>
      </c>
      <c r="G618" t="s">
        <v>3328</v>
      </c>
      <c r="H618" t="s">
        <v>3329</v>
      </c>
      <c r="I618" t="s">
        <v>2248</v>
      </c>
      <c r="J618" t="s">
        <v>879</v>
      </c>
      <c r="K618" s="1">
        <v>30600</v>
      </c>
      <c r="L618" t="s">
        <v>3330</v>
      </c>
      <c r="M618" t="s">
        <v>3331</v>
      </c>
      <c r="N618" t="s">
        <v>6376</v>
      </c>
    </row>
    <row r="619" spans="1:14" x14ac:dyDescent="0.25">
      <c r="A619">
        <v>81782</v>
      </c>
      <c r="B619" t="s">
        <v>689</v>
      </c>
      <c r="C619">
        <v>1031</v>
      </c>
      <c r="D619" t="str" cm="1">
        <f t="array" ref="D619">_xlfn.TEXTJOIN(",",TRUE,_xlfn.XLOOKUP(_xlfn.TEXTSPLIT(C619,",")*1,_xlfn._TRO_TRAILING(Artists!A:A),_xlfn._TRO_TRAILING(Artists!B:B)))</f>
        <v>Rosemarie Castoro</v>
      </c>
      <c r="E619">
        <v>1972</v>
      </c>
      <c r="F619" cm="1">
        <f t="array" ref="F619">_xlfn.REGEXEXTRACT(E619,"\d{4}")*1</f>
        <v>1972</v>
      </c>
      <c r="G619" t="s">
        <v>3333</v>
      </c>
      <c r="H619" t="s">
        <v>3334</v>
      </c>
      <c r="I619" t="s">
        <v>2248</v>
      </c>
      <c r="J619" t="s">
        <v>879</v>
      </c>
      <c r="K619" s="1">
        <v>29564</v>
      </c>
      <c r="L619" t="s">
        <v>3335</v>
      </c>
      <c r="M619" t="s">
        <v>3336</v>
      </c>
      <c r="N619" t="s">
        <v>6397</v>
      </c>
    </row>
    <row r="620" spans="1:14" x14ac:dyDescent="0.25">
      <c r="A620">
        <v>81784</v>
      </c>
      <c r="B620" t="s">
        <v>3337</v>
      </c>
      <c r="C620">
        <v>1247</v>
      </c>
      <c r="D620" t="str" cm="1">
        <f t="array" ref="D620">_xlfn.TEXTJOIN(",",TRUE,_xlfn.XLOOKUP(_xlfn.TEXTSPLIT(C620,",")*1,_xlfn._TRO_TRAILING(Artists!A:A),_xlfn._TRO_TRAILING(Artists!B:B)))</f>
        <v>Joseph Cornell</v>
      </c>
      <c r="E620" t="s">
        <v>67</v>
      </c>
      <c r="F620" cm="1">
        <f t="array" ref="F620">_xlfn.REGEXEXTRACT(E620,"\d{4}")*1</f>
        <v>1940</v>
      </c>
      <c r="G620" t="s">
        <v>3338</v>
      </c>
      <c r="H620" t="s">
        <v>3339</v>
      </c>
      <c r="I620" t="s">
        <v>2248</v>
      </c>
      <c r="J620" t="s">
        <v>879</v>
      </c>
      <c r="K620" s="1">
        <v>29564</v>
      </c>
      <c r="L620" t="s">
        <v>3340</v>
      </c>
      <c r="M620" t="s">
        <v>3341</v>
      </c>
      <c r="N620" t="s">
        <v>6386</v>
      </c>
    </row>
    <row r="621" spans="1:14" x14ac:dyDescent="0.25">
      <c r="A621">
        <v>81795</v>
      </c>
      <c r="B621" t="s">
        <v>167</v>
      </c>
      <c r="C621">
        <v>738</v>
      </c>
      <c r="D621" t="str" cm="1">
        <f t="array" ref="D621">_xlfn.TEXTJOIN(",",TRUE,_xlfn.XLOOKUP(_xlfn.TEXTSPLIT(C621,",")*1,_xlfn._TRO_TRAILING(Artists!A:A),_xlfn._TRO_TRAILING(Artists!B:B)))</f>
        <v>Constantin Brâncuși</v>
      </c>
      <c r="E621" t="s">
        <v>3342</v>
      </c>
      <c r="F621" cm="1">
        <f t="array" ref="F621">_xlfn.REGEXEXTRACT(E621,"\d{4}")*1</f>
        <v>1930</v>
      </c>
      <c r="G621" t="s">
        <v>3343</v>
      </c>
      <c r="H621" t="s">
        <v>3344</v>
      </c>
      <c r="I621" t="s">
        <v>2248</v>
      </c>
      <c r="J621" t="s">
        <v>879</v>
      </c>
      <c r="K621" s="1">
        <v>17812</v>
      </c>
      <c r="L621" t="s">
        <v>3345</v>
      </c>
      <c r="M621" t="s">
        <v>3346</v>
      </c>
      <c r="N621" t="s">
        <v>6406</v>
      </c>
    </row>
    <row r="622" spans="1:14" x14ac:dyDescent="0.25">
      <c r="A622">
        <v>81798</v>
      </c>
      <c r="B622" t="s">
        <v>1238</v>
      </c>
      <c r="C622">
        <v>3697</v>
      </c>
      <c r="D622" t="str" cm="1">
        <f t="array" ref="D622">_xlfn.TEXTJOIN(",",TRUE,_xlfn.XLOOKUP(_xlfn.TEXTSPLIT(C622,",")*1,_xlfn._TRO_TRAILING(Artists!A:A),_xlfn._TRO_TRAILING(Artists!B:B)))</f>
        <v>Aristide Maillol</v>
      </c>
      <c r="E622" t="s">
        <v>3347</v>
      </c>
      <c r="F622" cm="1">
        <f t="array" ref="F622">_xlfn.REGEXEXTRACT(E622,"\d{4}")*1</f>
        <v>1938</v>
      </c>
      <c r="G622" t="s">
        <v>3030</v>
      </c>
      <c r="H622" t="s">
        <v>3348</v>
      </c>
      <c r="I622" t="s">
        <v>2248</v>
      </c>
      <c r="J622" t="s">
        <v>879</v>
      </c>
      <c r="K622" s="1">
        <v>17812</v>
      </c>
      <c r="L622" t="s">
        <v>3349</v>
      </c>
      <c r="M622" t="s">
        <v>3350</v>
      </c>
      <c r="N622" t="s">
        <v>6368</v>
      </c>
    </row>
    <row r="623" spans="1:14" x14ac:dyDescent="0.25">
      <c r="A623">
        <v>81806</v>
      </c>
      <c r="B623" t="s">
        <v>3352</v>
      </c>
      <c r="C623">
        <v>452</v>
      </c>
      <c r="D623" t="str" cm="1">
        <f t="array" ref="D623">_xlfn.TEXTJOIN(",",TRUE,_xlfn.XLOOKUP(_xlfn.TEXTSPLIT(C623,",")*1,_xlfn._TRO_TRAILING(Artists!A:A),_xlfn._TRO_TRAILING(Artists!B:B)))</f>
        <v>Hans Bellmer</v>
      </c>
      <c r="E623">
        <v>1937</v>
      </c>
      <c r="F623" cm="1">
        <f t="array" ref="F623">_xlfn.REGEXEXTRACT(E623,"\d{4}")*1</f>
        <v>1937</v>
      </c>
      <c r="G623" t="s">
        <v>3353</v>
      </c>
      <c r="H623" t="s">
        <v>3354</v>
      </c>
      <c r="I623" t="s">
        <v>2248</v>
      </c>
      <c r="J623" t="s">
        <v>879</v>
      </c>
      <c r="K623" s="1">
        <v>24965</v>
      </c>
      <c r="L623" t="s">
        <v>3355</v>
      </c>
      <c r="M623" t="s">
        <v>3356</v>
      </c>
      <c r="N623" t="s">
        <v>6386</v>
      </c>
    </row>
    <row r="624" spans="1:14" x14ac:dyDescent="0.25">
      <c r="A624">
        <v>81811</v>
      </c>
      <c r="B624" t="s">
        <v>51</v>
      </c>
      <c r="C624">
        <v>2948</v>
      </c>
      <c r="D624" t="str" cm="1">
        <f t="array" ref="D624">_xlfn.TEXTJOIN(",",TRUE,_xlfn.XLOOKUP(_xlfn.TEXTSPLIT(C624,",")*1,_xlfn._TRO_TRAILING(Artists!A:A),_xlfn._TRO_TRAILING(Artists!B:B)))</f>
        <v>Donald Judd</v>
      </c>
      <c r="E624">
        <v>1968</v>
      </c>
      <c r="F624" cm="1">
        <f t="array" ref="F624">_xlfn.REGEXEXTRACT(E624,"\d{4}")*1</f>
        <v>1968</v>
      </c>
      <c r="G624" t="s">
        <v>176</v>
      </c>
      <c r="H624" t="s">
        <v>3357</v>
      </c>
      <c r="I624" t="s">
        <v>2248</v>
      </c>
      <c r="J624" t="s">
        <v>879</v>
      </c>
      <c r="K624" s="1">
        <v>24965</v>
      </c>
      <c r="L624" t="s">
        <v>3358</v>
      </c>
      <c r="M624" t="s">
        <v>3359</v>
      </c>
      <c r="N624" t="s">
        <v>6396</v>
      </c>
    </row>
    <row r="625" spans="1:14" x14ac:dyDescent="0.25">
      <c r="A625">
        <v>81849</v>
      </c>
      <c r="B625" t="s">
        <v>3360</v>
      </c>
      <c r="C625">
        <v>2141</v>
      </c>
      <c r="D625" t="str" cm="1">
        <f t="array" ref="D625">_xlfn.TEXTJOIN(",",TRUE,_xlfn.XLOOKUP(_xlfn.TEXTSPLIT(C625,",")*1,_xlfn._TRO_TRAILING(Artists!A:A),_xlfn._TRO_TRAILING(Artists!B:B)))</f>
        <v>Alberto Giacometti</v>
      </c>
      <c r="E625" t="s">
        <v>3361</v>
      </c>
      <c r="F625" cm="1">
        <f t="array" ref="F625">_xlfn.REGEXEXTRACT(E625,"\d{4}")*1</f>
        <v>1934</v>
      </c>
      <c r="G625" t="s">
        <v>107</v>
      </c>
      <c r="H625" t="s">
        <v>3362</v>
      </c>
      <c r="I625" t="s">
        <v>2248</v>
      </c>
      <c r="J625" t="s">
        <v>879</v>
      </c>
      <c r="K625" s="1">
        <v>35045</v>
      </c>
      <c r="L625" t="s">
        <v>3363</v>
      </c>
      <c r="M625" t="s">
        <v>3364</v>
      </c>
      <c r="N625" t="s">
        <v>6386</v>
      </c>
    </row>
    <row r="626" spans="1:14" x14ac:dyDescent="0.25">
      <c r="A626">
        <v>81863</v>
      </c>
      <c r="B626" t="s">
        <v>3365</v>
      </c>
      <c r="C626">
        <v>2812</v>
      </c>
      <c r="D626" t="str" cm="1">
        <f t="array" ref="D626">_xlfn.TEXTJOIN(",",TRUE,_xlfn.XLOOKUP(_xlfn.TEXTSPLIT(C626,",")*1,_xlfn._TRO_TRAILING(Artists!A:A),_xlfn._TRO_TRAILING(Artists!B:B)))</f>
        <v>Robert Indiana</v>
      </c>
      <c r="E626" t="s">
        <v>3208</v>
      </c>
      <c r="F626" cm="1">
        <f t="array" ref="F626">_xlfn.REGEXEXTRACT(E626,"\d{4}")*1</f>
        <v>1960</v>
      </c>
      <c r="G626" t="s">
        <v>3366</v>
      </c>
      <c r="H626" t="s">
        <v>3367</v>
      </c>
      <c r="I626" t="s">
        <v>2248</v>
      </c>
      <c r="J626" t="s">
        <v>879</v>
      </c>
      <c r="K626" s="1">
        <v>25483</v>
      </c>
      <c r="L626" t="s">
        <v>3368</v>
      </c>
      <c r="M626" t="s">
        <v>3369</v>
      </c>
      <c r="N626" t="s">
        <v>6363</v>
      </c>
    </row>
    <row r="627" spans="1:14" x14ac:dyDescent="0.25">
      <c r="A627">
        <v>81870</v>
      </c>
      <c r="B627" t="s">
        <v>3370</v>
      </c>
      <c r="C627">
        <v>4609</v>
      </c>
      <c r="D627" t="str" cm="1">
        <f t="array" ref="D627">_xlfn.TEXTJOIN(",",TRUE,_xlfn.XLOOKUP(_xlfn.TEXTSPLIT(C627,",")*1,_xlfn._TRO_TRAILING(Artists!A:A),_xlfn._TRO_TRAILING(Artists!B:B)))</f>
        <v>Pablo Picasso</v>
      </c>
      <c r="E627" t="s">
        <v>3371</v>
      </c>
      <c r="F627" cm="1">
        <f t="array" ref="F627">_xlfn.REGEXEXTRACT(E627,"\d{4}")*1</f>
        <v>1905</v>
      </c>
      <c r="G627" t="s">
        <v>107</v>
      </c>
      <c r="H627" t="s">
        <v>3372</v>
      </c>
      <c r="I627" t="s">
        <v>2248</v>
      </c>
      <c r="J627" t="s">
        <v>879</v>
      </c>
      <c r="K627" s="1">
        <v>35045</v>
      </c>
      <c r="L627" t="s">
        <v>3373</v>
      </c>
      <c r="M627" t="s">
        <v>3374</v>
      </c>
      <c r="N627" t="s">
        <v>6374</v>
      </c>
    </row>
    <row r="628" spans="1:14" x14ac:dyDescent="0.25">
      <c r="A628">
        <v>81893</v>
      </c>
      <c r="B628" t="s">
        <v>3375</v>
      </c>
      <c r="C628">
        <v>4324</v>
      </c>
      <c r="D628" t="str" cm="1">
        <f t="array" ref="D628">_xlfn.TEXTJOIN(",",TRUE,_xlfn.XLOOKUP(_xlfn.TEXTSPLIT(C628,",")*1,_xlfn._TRO_TRAILING(Artists!A:A),_xlfn._TRO_TRAILING(Artists!B:B)))</f>
        <v>Isamu Noguchi</v>
      </c>
      <c r="E628">
        <v>1942</v>
      </c>
      <c r="F628" cm="1">
        <f t="array" ref="F628">_xlfn.REGEXEXTRACT(E628,"\d{4}")*1</f>
        <v>1942</v>
      </c>
      <c r="G628" t="s">
        <v>1195</v>
      </c>
      <c r="H628" t="s">
        <v>3376</v>
      </c>
      <c r="I628" t="s">
        <v>2248</v>
      </c>
      <c r="J628" t="s">
        <v>879</v>
      </c>
      <c r="K628" s="1">
        <v>35408</v>
      </c>
      <c r="L628" t="s">
        <v>3377</v>
      </c>
      <c r="M628" t="s">
        <v>3378</v>
      </c>
      <c r="N628" t="s">
        <v>6375</v>
      </c>
    </row>
    <row r="629" spans="1:14" x14ac:dyDescent="0.25">
      <c r="A629">
        <v>81914</v>
      </c>
      <c r="B629" t="s">
        <v>3379</v>
      </c>
      <c r="C629">
        <v>2231</v>
      </c>
      <c r="D629" t="str" cm="1">
        <f t="array" ref="D629">_xlfn.TEXTJOIN(",",TRUE,_xlfn.XLOOKUP(_xlfn.TEXTSPLIT(C629,",")*1,_xlfn._TRO_TRAILING(Artists!A:A),_xlfn._TRO_TRAILING(Artists!B:B)))</f>
        <v>Julio González</v>
      </c>
      <c r="E629">
        <v>1942</v>
      </c>
      <c r="F629" cm="1">
        <f t="array" ref="F629">_xlfn.REGEXEXTRACT(E629,"\d{4}")*1</f>
        <v>1942</v>
      </c>
      <c r="G629" t="s">
        <v>107</v>
      </c>
      <c r="H629" t="s">
        <v>3380</v>
      </c>
      <c r="I629" t="s">
        <v>2248</v>
      </c>
      <c r="J629" t="s">
        <v>879</v>
      </c>
      <c r="K629" s="1">
        <v>24083</v>
      </c>
      <c r="L629" t="s">
        <v>3381</v>
      </c>
      <c r="M629" t="s">
        <v>3382</v>
      </c>
      <c r="N629" t="s">
        <v>6377</v>
      </c>
    </row>
    <row r="630" spans="1:14" x14ac:dyDescent="0.25">
      <c r="A630">
        <v>81915</v>
      </c>
      <c r="B630" t="s">
        <v>353</v>
      </c>
      <c r="C630">
        <v>4016</v>
      </c>
      <c r="D630" t="str" cm="1">
        <f t="array" ref="D630">_xlfn.TEXTJOIN(",",TRUE,_xlfn.XLOOKUP(_xlfn.TEXTSPLIT(C630,",")*1,_xlfn._TRO_TRAILING(Artists!A:A),_xlfn._TRO_TRAILING(Artists!B:B)))</f>
        <v>Joan Miró</v>
      </c>
      <c r="E630" t="s">
        <v>3383</v>
      </c>
      <c r="F630" cm="1">
        <f t="array" ref="F630">_xlfn.REGEXEXTRACT(E630,"\d{4}")*1</f>
        <v>1936</v>
      </c>
      <c r="G630" t="s">
        <v>3384</v>
      </c>
      <c r="H630" t="s">
        <v>3385</v>
      </c>
      <c r="I630" t="s">
        <v>2248</v>
      </c>
      <c r="J630" t="s">
        <v>879</v>
      </c>
      <c r="K630" s="1">
        <v>24083</v>
      </c>
      <c r="L630" t="s">
        <v>3386</v>
      </c>
      <c r="M630" t="s">
        <v>3387</v>
      </c>
      <c r="N630" t="s">
        <v>6386</v>
      </c>
    </row>
    <row r="631" spans="1:14" x14ac:dyDescent="0.25">
      <c r="A631">
        <v>81968</v>
      </c>
      <c r="B631" t="s">
        <v>3388</v>
      </c>
      <c r="C631">
        <v>2812</v>
      </c>
      <c r="D631" t="str" cm="1">
        <f t="array" ref="D631">_xlfn.TEXTJOIN(",",TRUE,_xlfn.XLOOKUP(_xlfn.TEXTSPLIT(C631,",")*1,_xlfn._TRO_TRAILING(Artists!A:A),_xlfn._TRO_TRAILING(Artists!B:B)))</f>
        <v>Robert Indiana</v>
      </c>
      <c r="E631" t="s">
        <v>432</v>
      </c>
      <c r="F631" cm="1">
        <f t="array" ref="F631">_xlfn.REGEXEXTRACT(E631,"\d{4}")*1</f>
        <v>1959</v>
      </c>
      <c r="G631" t="s">
        <v>3389</v>
      </c>
      <c r="H631" t="s">
        <v>3390</v>
      </c>
      <c r="I631" t="s">
        <v>2248</v>
      </c>
      <c r="J631" t="s">
        <v>879</v>
      </c>
      <c r="K631" s="1">
        <v>23691</v>
      </c>
      <c r="L631" t="s">
        <v>3391</v>
      </c>
      <c r="M631" t="s">
        <v>3392</v>
      </c>
      <c r="N631" t="s">
        <v>6363</v>
      </c>
    </row>
    <row r="632" spans="1:14" x14ac:dyDescent="0.25">
      <c r="A632">
        <v>81974</v>
      </c>
      <c r="B632" t="s">
        <v>3393</v>
      </c>
      <c r="C632">
        <v>7958</v>
      </c>
      <c r="D632" t="str" cm="1">
        <f t="array" ref="D632">_xlfn.TEXTJOIN(",",TRUE,_xlfn.XLOOKUP(_xlfn.TEXTSPLIT(C632,",")*1,_xlfn._TRO_TRAILING(Artists!A:A),_xlfn._TRO_TRAILING(Artists!B:B)))</f>
        <v>José Leonilson</v>
      </c>
      <c r="E632">
        <v>1991</v>
      </c>
      <c r="F632" cm="1">
        <f t="array" ref="F632">_xlfn.REGEXEXTRACT(E632,"\d{4}")*1</f>
        <v>1991</v>
      </c>
      <c r="G632" t="s">
        <v>3394</v>
      </c>
      <c r="H632" t="s">
        <v>3395</v>
      </c>
      <c r="I632" t="s">
        <v>2248</v>
      </c>
      <c r="J632" t="s">
        <v>879</v>
      </c>
      <c r="K632" s="1">
        <v>36934</v>
      </c>
      <c r="L632" t="s">
        <v>3396</v>
      </c>
      <c r="M632" t="s">
        <v>3397</v>
      </c>
      <c r="N632" t="s">
        <v>6376</v>
      </c>
    </row>
    <row r="633" spans="1:14" x14ac:dyDescent="0.25">
      <c r="A633">
        <v>81986</v>
      </c>
      <c r="B633" t="s">
        <v>3398</v>
      </c>
      <c r="C633">
        <v>11</v>
      </c>
      <c r="D633" t="str" cm="1">
        <f t="array" ref="D633">_xlfn.TEXTJOIN(",",TRUE,_xlfn.XLOOKUP(_xlfn.TEXTSPLIT(C633,",")*1,_xlfn._TRO_TRAILING(Artists!A:A),_xlfn._TRO_TRAILING(Artists!B:B)))</f>
        <v>Jean (Hans) Arp</v>
      </c>
      <c r="E633">
        <v>1917</v>
      </c>
      <c r="F633" cm="1">
        <f t="array" ref="F633">_xlfn.REGEXEXTRACT(E633,"\d{4}")*1</f>
        <v>1917</v>
      </c>
      <c r="G633" t="s">
        <v>227</v>
      </c>
      <c r="H633" t="s">
        <v>3399</v>
      </c>
      <c r="I633" t="s">
        <v>2248</v>
      </c>
      <c r="J633" t="s">
        <v>879</v>
      </c>
      <c r="K633" s="1">
        <v>29200</v>
      </c>
      <c r="L633" t="s">
        <v>3400</v>
      </c>
      <c r="M633" t="s">
        <v>3401</v>
      </c>
      <c r="N633" t="s">
        <v>6406</v>
      </c>
    </row>
    <row r="634" spans="1:14" x14ac:dyDescent="0.25">
      <c r="A634">
        <v>82016</v>
      </c>
      <c r="B634" t="s">
        <v>3403</v>
      </c>
      <c r="C634">
        <v>6910</v>
      </c>
      <c r="D634" t="str" cm="1">
        <f t="array" ref="D634">_xlfn.TEXTJOIN(",",TRUE,_xlfn.XLOOKUP(_xlfn.TEXTSPLIT(C634,",")*1,_xlfn._TRO_TRAILING(Artists!A:A),_xlfn._TRO_TRAILING(Artists!B:B)))</f>
        <v>Rachel Whiteread</v>
      </c>
      <c r="E634">
        <v>1998</v>
      </c>
      <c r="F634" cm="1">
        <f t="array" ref="F634">_xlfn.REGEXEXTRACT(E634,"\d{4}")*1</f>
        <v>1998</v>
      </c>
      <c r="G634" t="s">
        <v>3404</v>
      </c>
      <c r="H634" t="s">
        <v>3405</v>
      </c>
      <c r="I634" t="s">
        <v>2248</v>
      </c>
      <c r="J634" t="s">
        <v>879</v>
      </c>
      <c r="K634" s="1">
        <v>36500</v>
      </c>
      <c r="L634" t="s">
        <v>3406</v>
      </c>
      <c r="M634" t="s">
        <v>3407</v>
      </c>
      <c r="N634" t="s">
        <v>6368</v>
      </c>
    </row>
    <row r="635" spans="1:14" x14ac:dyDescent="0.25">
      <c r="A635">
        <v>82041</v>
      </c>
      <c r="B635" t="s">
        <v>596</v>
      </c>
      <c r="C635">
        <v>3774</v>
      </c>
      <c r="D635" t="str" cm="1">
        <f t="array" ref="D635">_xlfn.TEXTJOIN(",",TRUE,_xlfn.XLOOKUP(_xlfn.TEXTSPLIT(C635,",")*1,_xlfn._TRO_TRAILING(Artists!A:A),_xlfn._TRO_TRAILING(Artists!B:B)))</f>
        <v>Marisol (Marisol Escobar)</v>
      </c>
      <c r="E635">
        <v>1962</v>
      </c>
      <c r="F635" cm="1">
        <f t="array" ref="F635">_xlfn.REGEXEXTRACT(E635,"\d{4}")*1</f>
        <v>1962</v>
      </c>
      <c r="G635" t="s">
        <v>3408</v>
      </c>
      <c r="H635" t="s">
        <v>3409</v>
      </c>
      <c r="I635" t="s">
        <v>2248</v>
      </c>
      <c r="J635" t="s">
        <v>879</v>
      </c>
      <c r="K635" s="1">
        <v>27071</v>
      </c>
      <c r="L635" t="s">
        <v>3410</v>
      </c>
      <c r="M635" t="s">
        <v>3411</v>
      </c>
      <c r="N635" t="s">
        <v>6394</v>
      </c>
    </row>
    <row r="636" spans="1:14" x14ac:dyDescent="0.25">
      <c r="A636">
        <v>82053</v>
      </c>
      <c r="B636" t="s">
        <v>3412</v>
      </c>
      <c r="C636">
        <v>4397</v>
      </c>
      <c r="D636" t="str" cm="1">
        <f t="array" ref="D636">_xlfn.TEXTJOIN(",",TRUE,_xlfn.XLOOKUP(_xlfn.TEXTSPLIT(C636,",")*1,_xlfn._TRO_TRAILING(Artists!A:A),_xlfn._TRO_TRAILING(Artists!B:B)))</f>
        <v>Claes Oldenburg</v>
      </c>
      <c r="E636" t="s">
        <v>666</v>
      </c>
      <c r="F636" cm="1">
        <f t="array" ref="F636">_xlfn.REGEXEXTRACT(E636,"\d{4}")*1</f>
        <v>1966</v>
      </c>
      <c r="G636" t="s">
        <v>3413</v>
      </c>
      <c r="H636" t="s">
        <v>3414</v>
      </c>
      <c r="I636" t="s">
        <v>2248</v>
      </c>
      <c r="J636" t="s">
        <v>879</v>
      </c>
      <c r="K636" s="1">
        <v>24763</v>
      </c>
      <c r="L636" t="s">
        <v>3415</v>
      </c>
      <c r="M636" t="s">
        <v>3416</v>
      </c>
      <c r="N636" t="s">
        <v>6396</v>
      </c>
    </row>
    <row r="637" spans="1:14" x14ac:dyDescent="0.25">
      <c r="A637">
        <v>82208</v>
      </c>
      <c r="B637" t="s">
        <v>3418</v>
      </c>
      <c r="C637">
        <v>4942</v>
      </c>
      <c r="D637" t="str" cm="1">
        <f t="array" ref="D637">_xlfn.TEXTJOIN(",",TRUE,_xlfn.XLOOKUP(_xlfn.TEXTSPLIT(C637,",")*1,_xlfn._TRO_TRAILING(Artists!A:A),_xlfn._TRO_TRAILING(Artists!B:B)))</f>
        <v>Diego Rivera</v>
      </c>
      <c r="E637">
        <v>1912</v>
      </c>
      <c r="F637" cm="1">
        <f t="array" ref="F637">_xlfn.REGEXEXTRACT(E637,"\d{4}")*1</f>
        <v>1912</v>
      </c>
      <c r="G637" t="s">
        <v>1034</v>
      </c>
      <c r="H637" t="s">
        <v>3419</v>
      </c>
      <c r="I637" t="s">
        <v>878</v>
      </c>
      <c r="J637" t="s">
        <v>879</v>
      </c>
      <c r="K637" s="1">
        <v>37207</v>
      </c>
      <c r="L637" t="s">
        <v>3420</v>
      </c>
      <c r="M637" t="s">
        <v>3421</v>
      </c>
      <c r="N637" t="s">
        <v>6401</v>
      </c>
    </row>
    <row r="638" spans="1:14" x14ac:dyDescent="0.25">
      <c r="A638">
        <v>82320</v>
      </c>
      <c r="B638" t="s">
        <v>3422</v>
      </c>
      <c r="C638">
        <v>3758</v>
      </c>
      <c r="D638" t="str" cm="1">
        <f t="array" ref="D638">_xlfn.TEXTJOIN(",",TRUE,_xlfn.XLOOKUP(_xlfn.TEXTSPLIT(C638,",")*1,_xlfn._TRO_TRAILING(Artists!A:A),_xlfn._TRO_TRAILING(Artists!B:B)))</f>
        <v>Brice Marden</v>
      </c>
      <c r="E638">
        <v>1973</v>
      </c>
      <c r="F638" cm="1">
        <f t="array" ref="F638">_xlfn.REGEXEXTRACT(E638,"\d{4}")*1</f>
        <v>1973</v>
      </c>
      <c r="G638" t="s">
        <v>44</v>
      </c>
      <c r="H638" t="s">
        <v>3423</v>
      </c>
      <c r="I638" t="s">
        <v>675</v>
      </c>
      <c r="J638" t="s">
        <v>674</v>
      </c>
      <c r="K638" s="1">
        <v>37236</v>
      </c>
      <c r="L638" t="s">
        <v>3424</v>
      </c>
      <c r="M638" t="s">
        <v>3425</v>
      </c>
      <c r="N638" t="s">
        <v>6380</v>
      </c>
    </row>
    <row r="639" spans="1:14" x14ac:dyDescent="0.25">
      <c r="A639">
        <v>82369</v>
      </c>
      <c r="B639" t="s">
        <v>3426</v>
      </c>
      <c r="C639" t="s">
        <v>80</v>
      </c>
      <c r="D639" t="str" cm="1">
        <f t="array" ref="D639">_xlfn.TEXTJOIN(",",TRUE,_xlfn.XLOOKUP(_xlfn.TEXTSPLIT(C639,",")*1,_xlfn._TRO_TRAILING(Artists!A:A),_xlfn._TRO_TRAILING(Artists!B:B)))</f>
        <v>Le Corbusier (Charles-Édouard Jeanneret),Pierre Jeanneret</v>
      </c>
      <c r="E639" t="s">
        <v>3427</v>
      </c>
      <c r="F639" cm="1">
        <f t="array" ref="F639">_xlfn.REGEXEXTRACT(E639,"\d{4}")*1</f>
        <v>1926</v>
      </c>
      <c r="G639" t="s">
        <v>3428</v>
      </c>
      <c r="H639" t="s">
        <v>3429</v>
      </c>
      <c r="I639" t="s">
        <v>18</v>
      </c>
      <c r="J639" t="s">
        <v>19</v>
      </c>
      <c r="K639" s="1">
        <v>25569</v>
      </c>
      <c r="L639" t="s">
        <v>3430</v>
      </c>
      <c r="M639" t="s">
        <v>3431</v>
      </c>
      <c r="N639" t="s">
        <v>6369</v>
      </c>
    </row>
    <row r="640" spans="1:14" x14ac:dyDescent="0.25">
      <c r="A640">
        <v>82533</v>
      </c>
      <c r="B640" t="s">
        <v>3255</v>
      </c>
      <c r="C640">
        <v>710</v>
      </c>
      <c r="D640" t="str" cm="1">
        <f t="array" ref="D640">_xlfn.TEXTJOIN(",",TRUE,_xlfn.XLOOKUP(_xlfn.TEXTSPLIT(C640,",")*1,_xlfn._TRO_TRAILING(Artists!A:A),_xlfn._TRO_TRAILING(Artists!B:B)))</f>
        <v>Louise Bourgeois</v>
      </c>
      <c r="E640" t="s">
        <v>3433</v>
      </c>
      <c r="F640" cm="1">
        <f t="array" ref="F640">_xlfn.REGEXEXTRACT(E640,"\d{4}")*1</f>
        <v>1949</v>
      </c>
      <c r="G640" t="s">
        <v>107</v>
      </c>
      <c r="H640" t="s">
        <v>3434</v>
      </c>
      <c r="I640" t="s">
        <v>2248</v>
      </c>
      <c r="J640" t="s">
        <v>879</v>
      </c>
      <c r="K640" s="1">
        <v>37298</v>
      </c>
      <c r="L640" t="s">
        <v>3435</v>
      </c>
      <c r="M640" t="s">
        <v>3436</v>
      </c>
      <c r="N640" t="s">
        <v>6368</v>
      </c>
    </row>
    <row r="641" spans="1:14" x14ac:dyDescent="0.25">
      <c r="A641">
        <v>83089</v>
      </c>
      <c r="B641" t="s">
        <v>3440</v>
      </c>
      <c r="C641">
        <v>5749</v>
      </c>
      <c r="D641" t="str" cm="1">
        <f t="array" ref="D641">_xlfn.TEXTJOIN(",",TRUE,_xlfn.XLOOKUP(_xlfn.TEXTSPLIT(C641,",")*1,_xlfn._TRO_TRAILING(Artists!A:A),_xlfn._TRO_TRAILING(Artists!B:B)))</f>
        <v>Luke Swank</v>
      </c>
      <c r="E641" t="s">
        <v>1311</v>
      </c>
      <c r="F641" cm="1">
        <f t="array" ref="F641">_xlfn.REGEXEXTRACT(E641,"\d{4}")*1</f>
        <v>1930</v>
      </c>
      <c r="G641" t="s">
        <v>664</v>
      </c>
      <c r="H641" t="s">
        <v>3441</v>
      </c>
      <c r="I641" t="s">
        <v>806</v>
      </c>
      <c r="J641" t="s">
        <v>1140</v>
      </c>
      <c r="K641" s="1">
        <v>14992</v>
      </c>
      <c r="L641" t="s">
        <v>3442</v>
      </c>
      <c r="M641" t="s">
        <v>3443</v>
      </c>
      <c r="N641" t="s">
        <v>6370</v>
      </c>
    </row>
    <row r="642" spans="1:14" x14ac:dyDescent="0.25">
      <c r="A642">
        <v>83778</v>
      </c>
      <c r="B642" t="s">
        <v>3445</v>
      </c>
      <c r="C642">
        <v>2595</v>
      </c>
      <c r="D642" t="str" cm="1">
        <f t="array" ref="D642">_xlfn.TEXTJOIN(",",TRUE,_xlfn.XLOOKUP(_xlfn.TEXTSPLIT(C642,",")*1,_xlfn._TRO_TRAILING(Artists!A:A),_xlfn._TRO_TRAILING(Artists!B:B)))</f>
        <v>Florence Henri</v>
      </c>
      <c r="E642">
        <v>1931</v>
      </c>
      <c r="F642" cm="1">
        <f t="array" ref="F642">_xlfn.REGEXEXTRACT(E642,"\d{4}")*1</f>
        <v>1931</v>
      </c>
      <c r="G642" t="s">
        <v>664</v>
      </c>
      <c r="H642" t="s">
        <v>3446</v>
      </c>
      <c r="I642" t="s">
        <v>806</v>
      </c>
      <c r="J642" t="s">
        <v>1140</v>
      </c>
      <c r="K642" s="1">
        <v>37238</v>
      </c>
      <c r="L642" t="s">
        <v>3447</v>
      </c>
      <c r="M642" t="s">
        <v>3448</v>
      </c>
      <c r="N642" t="s">
        <v>6386</v>
      </c>
    </row>
    <row r="643" spans="1:14" x14ac:dyDescent="0.25">
      <c r="A643">
        <v>83858</v>
      </c>
      <c r="B643" t="s">
        <v>3449</v>
      </c>
      <c r="C643">
        <v>24533</v>
      </c>
      <c r="D643" t="str" cm="1">
        <f t="array" ref="D643">_xlfn.TEXTJOIN(",",TRUE,_xlfn.XLOOKUP(_xlfn.TEXTSPLIT(C643,",")*1,_xlfn._TRO_TRAILING(Artists!A:A),_xlfn._TRO_TRAILING(Artists!B:B)))</f>
        <v>Oskar Nerlinger</v>
      </c>
      <c r="E643" t="s">
        <v>3444</v>
      </c>
      <c r="F643" cm="1">
        <f t="array" ref="F643">_xlfn.REGEXEXTRACT(E643,"\d{4}")*1</f>
        <v>1925</v>
      </c>
      <c r="G643" t="s">
        <v>664</v>
      </c>
      <c r="H643" t="s">
        <v>1240</v>
      </c>
      <c r="I643" t="s">
        <v>806</v>
      </c>
      <c r="J643" t="s">
        <v>1140</v>
      </c>
      <c r="K643" s="1">
        <v>37238</v>
      </c>
      <c r="L643" t="s">
        <v>3451</v>
      </c>
      <c r="M643" t="s">
        <v>3452</v>
      </c>
      <c r="N643" t="s">
        <v>6385</v>
      </c>
    </row>
    <row r="644" spans="1:14" x14ac:dyDescent="0.25">
      <c r="A644">
        <v>83859</v>
      </c>
      <c r="B644" t="s">
        <v>3453</v>
      </c>
      <c r="C644">
        <v>24533</v>
      </c>
      <c r="D644" t="str" cm="1">
        <f t="array" ref="D644">_xlfn.TEXTJOIN(",",TRUE,_xlfn.XLOOKUP(_xlfn.TEXTSPLIT(C644,",")*1,_xlfn._TRO_TRAILING(Artists!A:A),_xlfn._TRO_TRAILING(Artists!B:B)))</f>
        <v>Oskar Nerlinger</v>
      </c>
      <c r="E644">
        <v>1925</v>
      </c>
      <c r="F644" cm="1">
        <f t="array" ref="F644">_xlfn.REGEXEXTRACT(E644,"\d{4}")*1</f>
        <v>1925</v>
      </c>
      <c r="G644" t="s">
        <v>664</v>
      </c>
      <c r="H644" t="s">
        <v>1162</v>
      </c>
      <c r="I644" t="s">
        <v>806</v>
      </c>
      <c r="J644" t="s">
        <v>1140</v>
      </c>
      <c r="K644" s="1">
        <v>37238</v>
      </c>
      <c r="L644" t="s">
        <v>3454</v>
      </c>
      <c r="M644" t="s">
        <v>3455</v>
      </c>
      <c r="N644" t="s">
        <v>6385</v>
      </c>
    </row>
    <row r="645" spans="1:14" x14ac:dyDescent="0.25">
      <c r="A645">
        <v>84120</v>
      </c>
      <c r="B645" t="s">
        <v>51</v>
      </c>
      <c r="C645">
        <v>3758</v>
      </c>
      <c r="D645" t="str" cm="1">
        <f t="array" ref="D645">_xlfn.TEXTJOIN(",",TRUE,_xlfn.XLOOKUP(_xlfn.TEXTSPLIT(C645,",")*1,_xlfn._TRO_TRAILING(Artists!A:A),_xlfn._TRO_TRAILING(Artists!B:B)))</f>
        <v>Brice Marden</v>
      </c>
      <c r="E645">
        <v>1971</v>
      </c>
      <c r="F645" cm="1">
        <f t="array" ref="F645">_xlfn.REGEXEXTRACT(E645,"\d{4}")*1</f>
        <v>1971</v>
      </c>
      <c r="G645" t="s">
        <v>1023</v>
      </c>
      <c r="H645" t="s">
        <v>3456</v>
      </c>
      <c r="I645" t="s">
        <v>675</v>
      </c>
      <c r="J645" t="s">
        <v>674</v>
      </c>
      <c r="K645" s="1">
        <v>37355</v>
      </c>
      <c r="L645" t="s">
        <v>3457</v>
      </c>
      <c r="M645" t="s">
        <v>3458</v>
      </c>
      <c r="N645" t="s">
        <v>6380</v>
      </c>
    </row>
    <row r="646" spans="1:14" x14ac:dyDescent="0.25">
      <c r="A646">
        <v>84130</v>
      </c>
      <c r="B646" t="s">
        <v>3459</v>
      </c>
      <c r="C646">
        <v>34</v>
      </c>
      <c r="D646" t="str" cm="1">
        <f t="array" ref="D646">_xlfn.TEXTJOIN(",",TRUE,_xlfn.XLOOKUP(_xlfn.TEXTSPLIT(C646,",")*1,_xlfn._TRO_TRAILING(Artists!A:A),_xlfn._TRO_TRAILING(Artists!B:B)))</f>
        <v>Alvar Aalto</v>
      </c>
      <c r="E646">
        <v>1936</v>
      </c>
      <c r="F646" cm="1">
        <f t="array" ref="F646">_xlfn.REGEXEXTRACT(E646,"\d{4}")*1</f>
        <v>1936</v>
      </c>
      <c r="G646" t="s">
        <v>522</v>
      </c>
      <c r="H646" t="s">
        <v>3460</v>
      </c>
      <c r="I646" t="s">
        <v>95</v>
      </c>
      <c r="J646" t="s">
        <v>19</v>
      </c>
      <c r="K646" s="1">
        <v>37389</v>
      </c>
      <c r="L646" t="s">
        <v>3461</v>
      </c>
      <c r="M646" t="s">
        <v>3462</v>
      </c>
      <c r="N646" t="s">
        <v>6362</v>
      </c>
    </row>
    <row r="647" spans="1:14" x14ac:dyDescent="0.25">
      <c r="A647">
        <v>84194</v>
      </c>
      <c r="B647" t="s">
        <v>51</v>
      </c>
      <c r="C647">
        <v>6602</v>
      </c>
      <c r="D647" t="str" cm="1">
        <f t="array" ref="D647">_xlfn.TEXTJOIN(",",TRUE,_xlfn.XLOOKUP(_xlfn.TEXTSPLIT(C647,",")*1,_xlfn._TRO_TRAILING(Artists!A:A),_xlfn._TRO_TRAILING(Artists!B:B)))</f>
        <v>Lorna Simpson</v>
      </c>
      <c r="E647">
        <v>1992</v>
      </c>
      <c r="F647" cm="1">
        <f t="array" ref="F647">_xlfn.REGEXEXTRACT(E647,"\d{4}")*1</f>
        <v>1992</v>
      </c>
      <c r="G647" t="s">
        <v>3463</v>
      </c>
      <c r="H647" t="s">
        <v>3464</v>
      </c>
      <c r="I647" t="s">
        <v>806</v>
      </c>
      <c r="J647" t="s">
        <v>1140</v>
      </c>
      <c r="K647" s="1">
        <v>37539</v>
      </c>
      <c r="L647" t="s">
        <v>3465</v>
      </c>
      <c r="M647" t="s">
        <v>3466</v>
      </c>
      <c r="N647" t="s">
        <v>6376</v>
      </c>
    </row>
    <row r="648" spans="1:14" x14ac:dyDescent="0.25">
      <c r="A648">
        <v>84200</v>
      </c>
      <c r="B648" t="s">
        <v>3467</v>
      </c>
      <c r="C648">
        <v>7166</v>
      </c>
      <c r="D648" t="str" cm="1">
        <f t="array" ref="D648">_xlfn.TEXTJOIN(",",TRUE,_xlfn.XLOOKUP(_xlfn.TEXTSPLIT(C648,",")*1,_xlfn._TRO_TRAILING(Artists!A:A),_xlfn._TRO_TRAILING(Artists!B:B)))</f>
        <v>Ludwig Mies van der Rohe</v>
      </c>
      <c r="E648" t="s">
        <v>1135</v>
      </c>
      <c r="F648" cm="1">
        <f t="array" ref="F648">_xlfn.REGEXEXTRACT(E648,"\d{4}")*1</f>
        <v>1928</v>
      </c>
      <c r="G648" t="s">
        <v>3468</v>
      </c>
      <c r="H648" t="s">
        <v>3469</v>
      </c>
      <c r="I648" t="s">
        <v>18</v>
      </c>
      <c r="J648" t="s">
        <v>19</v>
      </c>
      <c r="K648" s="1">
        <v>11689</v>
      </c>
      <c r="L648" t="s">
        <v>3470</v>
      </c>
      <c r="M648" t="s">
        <v>3471</v>
      </c>
      <c r="N648" t="s">
        <v>6361</v>
      </c>
    </row>
    <row r="649" spans="1:14" x14ac:dyDescent="0.25">
      <c r="A649">
        <v>85730</v>
      </c>
      <c r="B649" t="s">
        <v>3475</v>
      </c>
      <c r="C649">
        <v>24777</v>
      </c>
      <c r="D649" t="str" cm="1">
        <f t="array" ref="D649">_xlfn.TEXTJOIN(",",TRUE,_xlfn.XLOOKUP(_xlfn.TEXTSPLIT(C649,",")*1,_xlfn._TRO_TRAILING(Artists!A:A),_xlfn._TRO_TRAILING(Artists!B:B)))</f>
        <v>Maria Magdalena Campos-Pons</v>
      </c>
      <c r="E649">
        <v>1999</v>
      </c>
      <c r="F649" cm="1">
        <f t="array" ref="F649">_xlfn.REGEXEXTRACT(E649,"\d{4}")*1</f>
        <v>1999</v>
      </c>
      <c r="G649" t="s">
        <v>3477</v>
      </c>
      <c r="H649" t="s">
        <v>3478</v>
      </c>
      <c r="I649" t="s">
        <v>29</v>
      </c>
      <c r="J649" t="s">
        <v>674</v>
      </c>
      <c r="K649" s="1">
        <v>37425</v>
      </c>
      <c r="L649" t="s">
        <v>3479</v>
      </c>
      <c r="M649" t="s">
        <v>3480</v>
      </c>
      <c r="N649" t="s">
        <v>6376</v>
      </c>
    </row>
    <row r="650" spans="1:14" x14ac:dyDescent="0.25">
      <c r="A650">
        <v>85904</v>
      </c>
      <c r="B650" t="s">
        <v>3482</v>
      </c>
      <c r="C650">
        <v>3020</v>
      </c>
      <c r="D650" t="str" cm="1">
        <f t="array" ref="D650">_xlfn.TEXTJOIN(",",TRUE,_xlfn.XLOOKUP(_xlfn.TEXTSPLIT(C650,",")*1,_xlfn._TRO_TRAILING(Artists!A:A),_xlfn._TRO_TRAILING(Artists!B:B)))</f>
        <v>E. McKnight Kauffer</v>
      </c>
      <c r="E650">
        <v>1931</v>
      </c>
      <c r="F650" cm="1">
        <f t="array" ref="F650">_xlfn.REGEXEXTRACT(E650,"\d{4}")*1</f>
        <v>1931</v>
      </c>
      <c r="G650" t="s">
        <v>472</v>
      </c>
      <c r="H650" t="s">
        <v>3481</v>
      </c>
      <c r="I650" t="s">
        <v>675</v>
      </c>
      <c r="J650" t="s">
        <v>674</v>
      </c>
      <c r="K650" s="1">
        <v>28790</v>
      </c>
      <c r="L650" t="s">
        <v>3483</v>
      </c>
      <c r="M650" t="s">
        <v>3484</v>
      </c>
      <c r="N650" t="s">
        <v>6390</v>
      </c>
    </row>
    <row r="651" spans="1:14" x14ac:dyDescent="0.25">
      <c r="A651">
        <v>85907</v>
      </c>
      <c r="B651" t="s">
        <v>3485</v>
      </c>
      <c r="C651">
        <v>3020</v>
      </c>
      <c r="D651" t="str" cm="1">
        <f t="array" ref="D651">_xlfn.TEXTJOIN(",",TRUE,_xlfn.XLOOKUP(_xlfn.TEXTSPLIT(C651,",")*1,_xlfn._TRO_TRAILING(Artists!A:A),_xlfn._TRO_TRAILING(Artists!B:B)))</f>
        <v>E. McKnight Kauffer</v>
      </c>
      <c r="E651">
        <v>1931</v>
      </c>
      <c r="F651" cm="1">
        <f t="array" ref="F651">_xlfn.REGEXEXTRACT(E651,"\d{4}")*1</f>
        <v>1931</v>
      </c>
      <c r="G651" t="s">
        <v>472</v>
      </c>
      <c r="H651" t="s">
        <v>3481</v>
      </c>
      <c r="I651" t="s">
        <v>675</v>
      </c>
      <c r="J651" t="s">
        <v>674</v>
      </c>
      <c r="K651" s="1">
        <v>28790</v>
      </c>
      <c r="L651" t="s">
        <v>3486</v>
      </c>
      <c r="M651" t="s">
        <v>3487</v>
      </c>
      <c r="N651" t="s">
        <v>6390</v>
      </c>
    </row>
    <row r="652" spans="1:14" x14ac:dyDescent="0.25">
      <c r="A652">
        <v>85908</v>
      </c>
      <c r="B652" t="s">
        <v>3488</v>
      </c>
      <c r="C652">
        <v>3020</v>
      </c>
      <c r="D652" t="str" cm="1">
        <f t="array" ref="D652">_xlfn.TEXTJOIN(",",TRUE,_xlfn.XLOOKUP(_xlfn.TEXTSPLIT(C652,",")*1,_xlfn._TRO_TRAILING(Artists!A:A),_xlfn._TRO_TRAILING(Artists!B:B)))</f>
        <v>E. McKnight Kauffer</v>
      </c>
      <c r="E652">
        <v>1931</v>
      </c>
      <c r="F652" cm="1">
        <f t="array" ref="F652">_xlfn.REGEXEXTRACT(E652,"\d{4}")*1</f>
        <v>1931</v>
      </c>
      <c r="G652" t="s">
        <v>472</v>
      </c>
      <c r="H652" t="s">
        <v>3481</v>
      </c>
      <c r="I652" t="s">
        <v>675</v>
      </c>
      <c r="J652" t="s">
        <v>674</v>
      </c>
      <c r="K652" s="1">
        <v>28790</v>
      </c>
      <c r="L652" t="s">
        <v>3489</v>
      </c>
      <c r="M652" t="s">
        <v>3490</v>
      </c>
      <c r="N652" t="s">
        <v>6390</v>
      </c>
    </row>
    <row r="653" spans="1:14" x14ac:dyDescent="0.25">
      <c r="A653">
        <v>85912</v>
      </c>
      <c r="B653" t="s">
        <v>3491</v>
      </c>
      <c r="C653">
        <v>3020</v>
      </c>
      <c r="D653" t="str" cm="1">
        <f t="array" ref="D653">_xlfn.TEXTJOIN(",",TRUE,_xlfn.XLOOKUP(_xlfn.TEXTSPLIT(C653,",")*1,_xlfn._TRO_TRAILING(Artists!A:A),_xlfn._TRO_TRAILING(Artists!B:B)))</f>
        <v>E. McKnight Kauffer</v>
      </c>
      <c r="E653">
        <v>1931</v>
      </c>
      <c r="F653" cm="1">
        <f t="array" ref="F653">_xlfn.REGEXEXTRACT(E653,"\d{4}")*1</f>
        <v>1931</v>
      </c>
      <c r="G653" t="s">
        <v>472</v>
      </c>
      <c r="H653" t="s">
        <v>3481</v>
      </c>
      <c r="I653" t="s">
        <v>675</v>
      </c>
      <c r="J653" t="s">
        <v>674</v>
      </c>
      <c r="K653" s="1">
        <v>28790</v>
      </c>
      <c r="L653" t="s">
        <v>3492</v>
      </c>
      <c r="M653" t="s">
        <v>3493</v>
      </c>
      <c r="N653" t="s">
        <v>6390</v>
      </c>
    </row>
    <row r="654" spans="1:14" x14ac:dyDescent="0.25">
      <c r="A654">
        <v>86021</v>
      </c>
      <c r="B654" t="s">
        <v>3495</v>
      </c>
      <c r="C654">
        <v>1475</v>
      </c>
      <c r="D654" t="str" cm="1">
        <f t="array" ref="D654">_xlfn.TEXTJOIN(",",TRUE,_xlfn.XLOOKUP(_xlfn.TEXTSPLIT(C654,",")*1,_xlfn._TRO_TRAILING(Artists!A:A),_xlfn._TRO_TRAILING(Artists!B:B)))</f>
        <v>Jack Delano</v>
      </c>
      <c r="E654" s="3">
        <v>14946</v>
      </c>
      <c r="F654" cm="1">
        <f t="array" ref="F654">_xlfn.REGEXEXTRACT(E654,"\d{4}")*1</f>
        <v>1494</v>
      </c>
      <c r="G654" t="s">
        <v>664</v>
      </c>
      <c r="H654" t="s">
        <v>1300</v>
      </c>
      <c r="I654" t="s">
        <v>806</v>
      </c>
      <c r="J654" t="s">
        <v>1140</v>
      </c>
      <c r="K654" s="1">
        <v>37420</v>
      </c>
      <c r="L654" t="s">
        <v>3496</v>
      </c>
      <c r="M654" t="s">
        <v>3497</v>
      </c>
      <c r="N654" t="s">
        <v>6370</v>
      </c>
    </row>
    <row r="655" spans="1:14" x14ac:dyDescent="0.25">
      <c r="A655">
        <v>86023</v>
      </c>
      <c r="B655" t="s">
        <v>3498</v>
      </c>
      <c r="C655">
        <v>1475</v>
      </c>
      <c r="D655" t="str" cm="1">
        <f t="array" ref="D655">_xlfn.TEXTJOIN(",",TRUE,_xlfn.XLOOKUP(_xlfn.TEXTSPLIT(C655,",")*1,_xlfn._TRO_TRAILING(Artists!A:A),_xlfn._TRO_TRAILING(Artists!B:B)))</f>
        <v>Jack Delano</v>
      </c>
      <c r="E655" s="3">
        <v>14916</v>
      </c>
      <c r="F655" cm="1">
        <f t="array" ref="F655">_xlfn.REGEXEXTRACT(E655,"\d{4}")*1</f>
        <v>1491</v>
      </c>
      <c r="G655" t="s">
        <v>664</v>
      </c>
      <c r="H655" t="s">
        <v>3499</v>
      </c>
      <c r="I655" t="s">
        <v>806</v>
      </c>
      <c r="J655" t="s">
        <v>1140</v>
      </c>
      <c r="K655" s="1">
        <v>37420</v>
      </c>
      <c r="L655" t="s">
        <v>3500</v>
      </c>
      <c r="M655" t="s">
        <v>3501</v>
      </c>
      <c r="N655" t="s">
        <v>6370</v>
      </c>
    </row>
    <row r="656" spans="1:14" x14ac:dyDescent="0.25">
      <c r="A656">
        <v>86474</v>
      </c>
      <c r="B656" t="s">
        <v>3502</v>
      </c>
      <c r="C656">
        <v>4324</v>
      </c>
      <c r="D656" t="str" cm="1">
        <f t="array" ref="D656">_xlfn.TEXTJOIN(",",TRUE,_xlfn.XLOOKUP(_xlfn.TEXTSPLIT(C656,",")*1,_xlfn._TRO_TRAILING(Artists!A:A),_xlfn._TRO_TRAILING(Artists!B:B)))</f>
        <v>Isamu Noguchi</v>
      </c>
      <c r="E656">
        <v>1944</v>
      </c>
      <c r="F656" cm="1">
        <f t="array" ref="F656">_xlfn.REGEXEXTRACT(E656,"\d{4}")*1</f>
        <v>1944</v>
      </c>
      <c r="G656" t="s">
        <v>3503</v>
      </c>
      <c r="H656" t="s">
        <v>3504</v>
      </c>
      <c r="I656" t="s">
        <v>95</v>
      </c>
      <c r="J656" t="s">
        <v>19</v>
      </c>
      <c r="K656" s="1">
        <v>37516</v>
      </c>
      <c r="L656" t="s">
        <v>3505</v>
      </c>
      <c r="M656" t="s">
        <v>3506</v>
      </c>
      <c r="N656" t="s">
        <v>6362</v>
      </c>
    </row>
    <row r="657" spans="1:14" x14ac:dyDescent="0.25">
      <c r="A657">
        <v>86630</v>
      </c>
      <c r="B657" t="s">
        <v>3507</v>
      </c>
      <c r="C657">
        <v>5983</v>
      </c>
      <c r="D657" t="str" cm="1">
        <f t="array" ref="D657">_xlfn.TEXTJOIN(",",TRUE,_xlfn.XLOOKUP(_xlfn.TEXTSPLIT(C657,",")*1,_xlfn._TRO_TRAILING(Artists!A:A),_xlfn._TRO_TRAILING(Artists!B:B)))</f>
        <v>Richard Tuttle</v>
      </c>
      <c r="E657">
        <v>1966</v>
      </c>
      <c r="F657" cm="1">
        <f t="array" ref="F657">_xlfn.REGEXEXTRACT(E657,"\d{4}")*1</f>
        <v>1966</v>
      </c>
      <c r="G657" t="s">
        <v>3508</v>
      </c>
      <c r="H657" t="s">
        <v>3509</v>
      </c>
      <c r="I657" t="s">
        <v>2248</v>
      </c>
      <c r="J657" t="s">
        <v>879</v>
      </c>
      <c r="K657" s="1">
        <v>37536</v>
      </c>
      <c r="L657" t="s">
        <v>3510</v>
      </c>
      <c r="M657" t="s">
        <v>3511</v>
      </c>
      <c r="N657" t="s">
        <v>6396</v>
      </c>
    </row>
    <row r="658" spans="1:14" x14ac:dyDescent="0.25">
      <c r="A658">
        <v>87099</v>
      </c>
      <c r="B658" t="s">
        <v>3512</v>
      </c>
      <c r="C658">
        <v>1053</v>
      </c>
      <c r="D658" t="str" cm="1">
        <f t="array" ref="D658">_xlfn.TEXTJOIN(",",TRUE,_xlfn.XLOOKUP(_xlfn.TEXTSPLIT(C658,",")*1,_xlfn._TRO_TRAILING(Artists!A:A),_xlfn._TRO_TRAILING(Artists!B:B)))</f>
        <v>Paul Cézanne</v>
      </c>
      <c r="E658" t="s">
        <v>1145</v>
      </c>
      <c r="F658" cm="1">
        <f t="array" ref="F658">_xlfn.REGEXEXTRACT(E658,"\d{4}")*1</f>
        <v>1903</v>
      </c>
      <c r="G658" t="s">
        <v>1034</v>
      </c>
      <c r="H658" t="s">
        <v>3513</v>
      </c>
      <c r="I658" t="s">
        <v>878</v>
      </c>
      <c r="J658" t="s">
        <v>879</v>
      </c>
      <c r="K658" s="1">
        <v>21102</v>
      </c>
      <c r="L658" t="s">
        <v>3514</v>
      </c>
      <c r="M658" t="s">
        <v>3515</v>
      </c>
      <c r="N658" t="s">
        <v>6367</v>
      </c>
    </row>
    <row r="659" spans="1:14" x14ac:dyDescent="0.25">
      <c r="A659">
        <v>87101</v>
      </c>
      <c r="B659" t="s">
        <v>1188</v>
      </c>
      <c r="C659">
        <v>1973</v>
      </c>
      <c r="D659" t="str" cm="1">
        <f t="array" ref="D659">_xlfn.TEXTJOIN(",",TRUE,_xlfn.XLOOKUP(_xlfn.TEXTSPLIT(C659,",")*1,_xlfn._TRO_TRAILING(Artists!A:A),_xlfn._TRO_TRAILING(Artists!B:B)))</f>
        <v>Robert Frank</v>
      </c>
      <c r="E659">
        <v>1958</v>
      </c>
      <c r="F659" cm="1">
        <f t="array" ref="F659">_xlfn.REGEXEXTRACT(E659,"\d{4}")*1</f>
        <v>1958</v>
      </c>
      <c r="G659" t="s">
        <v>664</v>
      </c>
      <c r="H659" t="s">
        <v>3516</v>
      </c>
      <c r="I659" t="s">
        <v>806</v>
      </c>
      <c r="J659" t="s">
        <v>1140</v>
      </c>
      <c r="K659" s="1">
        <v>42509</v>
      </c>
      <c r="L659" t="s">
        <v>3517</v>
      </c>
      <c r="M659" t="s">
        <v>3518</v>
      </c>
      <c r="N659" t="s">
        <v>6389</v>
      </c>
    </row>
    <row r="660" spans="1:14" x14ac:dyDescent="0.25">
      <c r="A660">
        <v>88254</v>
      </c>
      <c r="B660" t="s">
        <v>639</v>
      </c>
      <c r="C660">
        <v>5777</v>
      </c>
      <c r="D660" t="str" cm="1">
        <f t="array" ref="D660">_xlfn.TEXTJOIN(",",TRUE,_xlfn.XLOOKUP(_xlfn.TEXTSPLIT(C660,",")*1,_xlfn._TRO_TRAILING(Artists!A:A),_xlfn._TRO_TRAILING(Artists!B:B)))</f>
        <v>Sophie Taeuber-Arp</v>
      </c>
      <c r="E660">
        <v>1920</v>
      </c>
      <c r="F660" cm="1">
        <f t="array" ref="F660">_xlfn.REGEXEXTRACT(E660,"\d{4}")*1</f>
        <v>1920</v>
      </c>
      <c r="G660" t="s">
        <v>3522</v>
      </c>
      <c r="H660" t="s">
        <v>3523</v>
      </c>
      <c r="I660" t="s">
        <v>2248</v>
      </c>
      <c r="J660" t="s">
        <v>879</v>
      </c>
      <c r="K660" s="1">
        <v>37901</v>
      </c>
      <c r="L660" t="s">
        <v>3524</v>
      </c>
      <c r="M660" t="s">
        <v>3525</v>
      </c>
      <c r="N660" t="s">
        <v>6385</v>
      </c>
    </row>
    <row r="661" spans="1:14" x14ac:dyDescent="0.25">
      <c r="A661">
        <v>88569</v>
      </c>
      <c r="B661" t="s">
        <v>3526</v>
      </c>
      <c r="C661">
        <v>3569</v>
      </c>
      <c r="D661" t="str" cm="1">
        <f t="array" ref="D661">_xlfn.TEXTJOIN(",",TRUE,_xlfn.XLOOKUP(_xlfn.TEXTSPLIT(C661,",")*1,_xlfn._TRO_TRAILING(Artists!A:A),_xlfn._TRO_TRAILING(Artists!B:B)))</f>
        <v>El Lissitzky</v>
      </c>
      <c r="E661" t="s">
        <v>1695</v>
      </c>
      <c r="F661" cm="1">
        <f t="array" ref="F661">_xlfn.REGEXEXTRACT(E661,"\d{4}")*1</f>
        <v>1920</v>
      </c>
      <c r="G661" t="s">
        <v>807</v>
      </c>
      <c r="H661" t="s">
        <v>3527</v>
      </c>
      <c r="I661" t="s">
        <v>29</v>
      </c>
      <c r="J661" t="s">
        <v>674</v>
      </c>
      <c r="K661" s="1">
        <v>16342</v>
      </c>
      <c r="L661" t="s">
        <v>3528</v>
      </c>
      <c r="M661" t="s">
        <v>3529</v>
      </c>
      <c r="N661" t="s">
        <v>6385</v>
      </c>
    </row>
    <row r="662" spans="1:14" x14ac:dyDescent="0.25">
      <c r="A662">
        <v>88830</v>
      </c>
      <c r="B662" t="s">
        <v>3532</v>
      </c>
      <c r="C662">
        <v>26342</v>
      </c>
      <c r="D662" t="str" cm="1">
        <f t="array" ref="D662">_xlfn.TEXTJOIN(",",TRUE,_xlfn.XLOOKUP(_xlfn.TEXTSPLIT(C662,",")*1,_xlfn._TRO_TRAILING(Artists!A:A),_xlfn._TRO_TRAILING(Artists!B:B)))</f>
        <v>Michael Kalil</v>
      </c>
      <c r="E662" t="s">
        <v>3531</v>
      </c>
      <c r="F662" cm="1">
        <f t="array" ref="F662">_xlfn.REGEXEXTRACT(E662,"\d{4}")*1</f>
        <v>1983</v>
      </c>
      <c r="G662" t="s">
        <v>3533</v>
      </c>
      <c r="H662" t="s">
        <v>3534</v>
      </c>
      <c r="I662" t="s">
        <v>18</v>
      </c>
      <c r="J662" t="s">
        <v>19</v>
      </c>
      <c r="K662" s="1">
        <v>37896</v>
      </c>
      <c r="L662" t="s">
        <v>3535</v>
      </c>
      <c r="M662" t="s">
        <v>3536</v>
      </c>
      <c r="N662" t="s">
        <v>6360</v>
      </c>
    </row>
    <row r="663" spans="1:14" x14ac:dyDescent="0.25">
      <c r="A663">
        <v>88839</v>
      </c>
      <c r="B663" t="s">
        <v>3537</v>
      </c>
      <c r="C663">
        <v>26369</v>
      </c>
      <c r="D663" t="str" cm="1">
        <f t="array" ref="D663">_xlfn.TEXTJOIN(",",TRUE,_xlfn.XLOOKUP(_xlfn.TEXTSPLIT(C663,",")*1,_xlfn._TRO_TRAILING(Artists!A:A),_xlfn._TRO_TRAILING(Artists!B:B)))</f>
        <v>Mako Idemitsu</v>
      </c>
      <c r="E663">
        <v>1983</v>
      </c>
      <c r="F663" cm="1">
        <f t="array" ref="F663">_xlfn.REGEXEXTRACT(E663,"\d{4}")*1</f>
        <v>1983</v>
      </c>
      <c r="G663" t="s">
        <v>3539</v>
      </c>
      <c r="H663" t="s">
        <v>3540</v>
      </c>
      <c r="I663" t="s">
        <v>1626</v>
      </c>
      <c r="J663" t="s">
        <v>3200</v>
      </c>
      <c r="K663" s="1">
        <v>30928</v>
      </c>
      <c r="L663" t="s">
        <v>3541</v>
      </c>
      <c r="M663" t="s">
        <v>3542</v>
      </c>
      <c r="N663" t="s">
        <v>6397</v>
      </c>
    </row>
    <row r="664" spans="1:14" x14ac:dyDescent="0.25">
      <c r="A664">
        <v>88949</v>
      </c>
      <c r="B664" t="s">
        <v>3543</v>
      </c>
      <c r="C664">
        <v>3426</v>
      </c>
      <c r="D664" t="str" cm="1">
        <f t="array" ref="D664">_xlfn.TEXTJOIN(",",TRUE,_xlfn.XLOOKUP(_xlfn.TEXTSPLIT(C664,",")*1,_xlfn._TRO_TRAILING(Artists!A:A),_xlfn._TRO_TRAILING(Artists!B:B)))</f>
        <v>Le Corbusier (Charles-Édouard Jeanneret)</v>
      </c>
      <c r="E664">
        <v>1961</v>
      </c>
      <c r="F664" cm="1">
        <f t="array" ref="F664">_xlfn.REGEXEXTRACT(E664,"\d{4}")*1</f>
        <v>1961</v>
      </c>
      <c r="G664" t="s">
        <v>48</v>
      </c>
      <c r="H664" t="s">
        <v>50</v>
      </c>
      <c r="I664" t="s">
        <v>18</v>
      </c>
      <c r="J664" t="s">
        <v>19</v>
      </c>
      <c r="K664" s="1">
        <v>37896</v>
      </c>
      <c r="L664" t="s">
        <v>3544</v>
      </c>
      <c r="M664" t="s">
        <v>3545</v>
      </c>
      <c r="N664" t="s">
        <v>6360</v>
      </c>
    </row>
    <row r="665" spans="1:14" x14ac:dyDescent="0.25">
      <c r="A665">
        <v>88951</v>
      </c>
      <c r="B665" t="s">
        <v>3546</v>
      </c>
      <c r="C665">
        <v>3426</v>
      </c>
      <c r="D665" t="str" cm="1">
        <f t="array" ref="D665">_xlfn.TEXTJOIN(",",TRUE,_xlfn.XLOOKUP(_xlfn.TEXTSPLIT(C665,",")*1,_xlfn._TRO_TRAILING(Artists!A:A),_xlfn._TRO_TRAILING(Artists!B:B)))</f>
        <v>Le Corbusier (Charles-Édouard Jeanneret)</v>
      </c>
      <c r="E665">
        <v>1961</v>
      </c>
      <c r="F665" cm="1">
        <f t="array" ref="F665">_xlfn.REGEXEXTRACT(E665,"\d{4}")*1</f>
        <v>1961</v>
      </c>
      <c r="G665" t="s">
        <v>48</v>
      </c>
      <c r="H665" t="s">
        <v>50</v>
      </c>
      <c r="I665" t="s">
        <v>18</v>
      </c>
      <c r="J665" t="s">
        <v>19</v>
      </c>
      <c r="K665" s="1">
        <v>37896</v>
      </c>
      <c r="L665" t="s">
        <v>3547</v>
      </c>
      <c r="M665" t="s">
        <v>3548</v>
      </c>
      <c r="N665" t="s">
        <v>6360</v>
      </c>
    </row>
    <row r="666" spans="1:14" x14ac:dyDescent="0.25">
      <c r="A666">
        <v>88952</v>
      </c>
      <c r="B666" t="s">
        <v>3549</v>
      </c>
      <c r="C666">
        <v>3426</v>
      </c>
      <c r="D666" t="str" cm="1">
        <f t="array" ref="D666">_xlfn.TEXTJOIN(",",TRUE,_xlfn.XLOOKUP(_xlfn.TEXTSPLIT(C666,",")*1,_xlfn._TRO_TRAILING(Artists!A:A),_xlfn._TRO_TRAILING(Artists!B:B)))</f>
        <v>Le Corbusier (Charles-Édouard Jeanneret)</v>
      </c>
      <c r="E666">
        <v>1961</v>
      </c>
      <c r="F666" cm="1">
        <f t="array" ref="F666">_xlfn.REGEXEXTRACT(E666,"\d{4}")*1</f>
        <v>1961</v>
      </c>
      <c r="G666" t="s">
        <v>48</v>
      </c>
      <c r="H666" t="s">
        <v>50</v>
      </c>
      <c r="I666" t="s">
        <v>18</v>
      </c>
      <c r="J666" t="s">
        <v>19</v>
      </c>
      <c r="K666" s="1">
        <v>37896</v>
      </c>
      <c r="L666" t="s">
        <v>3550</v>
      </c>
      <c r="M666" t="s">
        <v>3551</v>
      </c>
      <c r="N666" t="s">
        <v>6360</v>
      </c>
    </row>
    <row r="667" spans="1:14" x14ac:dyDescent="0.25">
      <c r="A667">
        <v>88956</v>
      </c>
      <c r="B667" t="s">
        <v>3552</v>
      </c>
      <c r="C667">
        <v>3426</v>
      </c>
      <c r="D667" t="str" cm="1">
        <f t="array" ref="D667">_xlfn.TEXTJOIN(",",TRUE,_xlfn.XLOOKUP(_xlfn.TEXTSPLIT(C667,",")*1,_xlfn._TRO_TRAILING(Artists!A:A),_xlfn._TRO_TRAILING(Artists!B:B)))</f>
        <v>Le Corbusier (Charles-Édouard Jeanneret)</v>
      </c>
      <c r="E667">
        <v>1961</v>
      </c>
      <c r="F667" cm="1">
        <f t="array" ref="F667">_xlfn.REGEXEXTRACT(E667,"\d{4}")*1</f>
        <v>1961</v>
      </c>
      <c r="G667" t="s">
        <v>48</v>
      </c>
      <c r="H667" t="s">
        <v>50</v>
      </c>
      <c r="I667" t="s">
        <v>18</v>
      </c>
      <c r="J667" t="s">
        <v>19</v>
      </c>
      <c r="K667" s="1">
        <v>37896</v>
      </c>
      <c r="L667" t="s">
        <v>3553</v>
      </c>
      <c r="M667" t="s">
        <v>3554</v>
      </c>
      <c r="N667" t="s">
        <v>6360</v>
      </c>
    </row>
    <row r="668" spans="1:14" x14ac:dyDescent="0.25">
      <c r="A668">
        <v>89005</v>
      </c>
      <c r="B668" t="s">
        <v>3555</v>
      </c>
      <c r="C668">
        <v>1973</v>
      </c>
      <c r="D668" t="str" cm="1">
        <f t="array" ref="D668">_xlfn.TEXTJOIN(",",TRUE,_xlfn.XLOOKUP(_xlfn.TEXTSPLIT(C668,",")*1,_xlfn._TRO_TRAILING(Artists!A:A),_xlfn._TRO_TRAILING(Artists!B:B)))</f>
        <v>Robert Frank</v>
      </c>
      <c r="E668">
        <v>1951</v>
      </c>
      <c r="F668" cm="1">
        <f t="array" ref="F668">_xlfn.REGEXEXTRACT(E668,"\d{4}")*1</f>
        <v>1951</v>
      </c>
      <c r="G668" t="s">
        <v>1325</v>
      </c>
      <c r="H668" t="s">
        <v>1407</v>
      </c>
      <c r="I668" t="s">
        <v>806</v>
      </c>
      <c r="J668" t="s">
        <v>1140</v>
      </c>
      <c r="K668" s="1">
        <v>42509</v>
      </c>
      <c r="L668" t="s">
        <v>3556</v>
      </c>
      <c r="M668" t="s">
        <v>3557</v>
      </c>
      <c r="N668" t="s">
        <v>6389</v>
      </c>
    </row>
    <row r="669" spans="1:14" x14ac:dyDescent="0.25">
      <c r="A669">
        <v>89006</v>
      </c>
      <c r="B669" t="s">
        <v>1281</v>
      </c>
      <c r="C669">
        <v>1973</v>
      </c>
      <c r="D669" t="str" cm="1">
        <f t="array" ref="D669">_xlfn.TEXTJOIN(",",TRUE,_xlfn.XLOOKUP(_xlfn.TEXTSPLIT(C669,",")*1,_xlfn._TRO_TRAILING(Artists!A:A),_xlfn._TRO_TRAILING(Artists!B:B)))</f>
        <v>Robert Frank</v>
      </c>
      <c r="E669">
        <v>1951</v>
      </c>
      <c r="F669" cm="1">
        <f t="array" ref="F669">_xlfn.REGEXEXTRACT(E669,"\d{4}")*1</f>
        <v>1951</v>
      </c>
      <c r="G669" t="s">
        <v>664</v>
      </c>
      <c r="H669" t="s">
        <v>1182</v>
      </c>
      <c r="I669" t="s">
        <v>806</v>
      </c>
      <c r="J669" t="s">
        <v>1140</v>
      </c>
      <c r="K669" s="1">
        <v>42509</v>
      </c>
      <c r="L669" t="s">
        <v>3558</v>
      </c>
      <c r="M669" t="s">
        <v>3559</v>
      </c>
      <c r="N669" t="s">
        <v>6389</v>
      </c>
    </row>
    <row r="670" spans="1:14" x14ac:dyDescent="0.25">
      <c r="A670">
        <v>89041</v>
      </c>
      <c r="B670" t="s">
        <v>3560</v>
      </c>
      <c r="C670">
        <v>1973</v>
      </c>
      <c r="D670" t="str" cm="1">
        <f t="array" ref="D670">_xlfn.TEXTJOIN(",",TRUE,_xlfn.XLOOKUP(_xlfn.TEXTSPLIT(C670,",")*1,_xlfn._TRO_TRAILING(Artists!A:A),_xlfn._TRO_TRAILING(Artists!B:B)))</f>
        <v>Robert Frank</v>
      </c>
      <c r="E670">
        <v>1998</v>
      </c>
      <c r="F670" cm="1">
        <f t="array" ref="F670">_xlfn.REGEXEXTRACT(E670,"\d{4}")*1</f>
        <v>1998</v>
      </c>
      <c r="G670" t="s">
        <v>664</v>
      </c>
      <c r="H670" t="s">
        <v>3561</v>
      </c>
      <c r="I670" t="s">
        <v>806</v>
      </c>
      <c r="J670" t="s">
        <v>1140</v>
      </c>
      <c r="K670" s="1">
        <v>37903</v>
      </c>
      <c r="L670" t="s">
        <v>3562</v>
      </c>
      <c r="M670" t="s">
        <v>3563</v>
      </c>
      <c r="N670" t="s">
        <v>6389</v>
      </c>
    </row>
    <row r="671" spans="1:14" x14ac:dyDescent="0.25">
      <c r="A671">
        <v>89043</v>
      </c>
      <c r="B671" t="s">
        <v>3564</v>
      </c>
      <c r="C671">
        <v>1973</v>
      </c>
      <c r="D671" t="str" cm="1">
        <f t="array" ref="D671">_xlfn.TEXTJOIN(",",TRUE,_xlfn.XLOOKUP(_xlfn.TEXTSPLIT(C671,",")*1,_xlfn._TRO_TRAILING(Artists!A:A),_xlfn._TRO_TRAILING(Artists!B:B)))</f>
        <v>Robert Frank</v>
      </c>
      <c r="E671">
        <v>1977</v>
      </c>
      <c r="F671" cm="1">
        <f t="array" ref="F671">_xlfn.REGEXEXTRACT(E671,"\d{4}")*1</f>
        <v>1977</v>
      </c>
      <c r="G671" t="s">
        <v>664</v>
      </c>
      <c r="H671" t="s">
        <v>3565</v>
      </c>
      <c r="I671" t="s">
        <v>806</v>
      </c>
      <c r="J671" t="s">
        <v>1140</v>
      </c>
      <c r="K671" s="1">
        <v>37903</v>
      </c>
      <c r="L671" t="s">
        <v>3566</v>
      </c>
      <c r="M671" t="s">
        <v>3567</v>
      </c>
      <c r="N671" t="s">
        <v>6389</v>
      </c>
    </row>
    <row r="672" spans="1:14" x14ac:dyDescent="0.25">
      <c r="A672">
        <v>89044</v>
      </c>
      <c r="B672" t="s">
        <v>3568</v>
      </c>
      <c r="C672">
        <v>1973</v>
      </c>
      <c r="D672" t="str" cm="1">
        <f t="array" ref="D672">_xlfn.TEXTJOIN(",",TRUE,_xlfn.XLOOKUP(_xlfn.TEXTSPLIT(C672,",")*1,_xlfn._TRO_TRAILING(Artists!A:A),_xlfn._TRO_TRAILING(Artists!B:B)))</f>
        <v>Robert Frank</v>
      </c>
      <c r="E672">
        <v>1981</v>
      </c>
      <c r="F672" cm="1">
        <f t="array" ref="F672">_xlfn.REGEXEXTRACT(E672,"\d{4}")*1</f>
        <v>1981</v>
      </c>
      <c r="G672" t="s">
        <v>664</v>
      </c>
      <c r="H672" t="s">
        <v>3569</v>
      </c>
      <c r="I672" t="s">
        <v>806</v>
      </c>
      <c r="J672" t="s">
        <v>1140</v>
      </c>
      <c r="K672" s="1">
        <v>37903</v>
      </c>
      <c r="L672" t="s">
        <v>3570</v>
      </c>
      <c r="M672" t="s">
        <v>3571</v>
      </c>
      <c r="N672" t="s">
        <v>6389</v>
      </c>
    </row>
    <row r="673" spans="1:14" x14ac:dyDescent="0.25">
      <c r="A673">
        <v>89047</v>
      </c>
      <c r="B673" t="s">
        <v>3572</v>
      </c>
      <c r="C673">
        <v>1973</v>
      </c>
      <c r="D673" t="str" cm="1">
        <f t="array" ref="D673">_xlfn.TEXTJOIN(",",TRUE,_xlfn.XLOOKUP(_xlfn.TEXTSPLIT(C673,",")*1,_xlfn._TRO_TRAILING(Artists!A:A),_xlfn._TRO_TRAILING(Artists!B:B)))</f>
        <v>Robert Frank</v>
      </c>
      <c r="E673">
        <v>1995</v>
      </c>
      <c r="F673" cm="1">
        <f t="array" ref="F673">_xlfn.REGEXEXTRACT(E673,"\d{4}")*1</f>
        <v>1995</v>
      </c>
      <c r="G673" t="s">
        <v>664</v>
      </c>
      <c r="H673" t="s">
        <v>3573</v>
      </c>
      <c r="I673" t="s">
        <v>806</v>
      </c>
      <c r="J673" t="s">
        <v>1140</v>
      </c>
      <c r="K673" s="1">
        <v>37903</v>
      </c>
      <c r="L673" t="s">
        <v>3574</v>
      </c>
      <c r="M673" t="s">
        <v>3575</v>
      </c>
      <c r="N673" t="s">
        <v>6389</v>
      </c>
    </row>
    <row r="674" spans="1:14" x14ac:dyDescent="0.25">
      <c r="A674">
        <v>89049</v>
      </c>
      <c r="B674" t="s">
        <v>3576</v>
      </c>
      <c r="C674">
        <v>1973</v>
      </c>
      <c r="D674" t="str" cm="1">
        <f t="array" ref="D674">_xlfn.TEXTJOIN(",",TRUE,_xlfn.XLOOKUP(_xlfn.TEXTSPLIT(C674,",")*1,_xlfn._TRO_TRAILING(Artists!A:A),_xlfn._TRO_TRAILING(Artists!B:B)))</f>
        <v>Robert Frank</v>
      </c>
      <c r="E674" s="2">
        <v>1998</v>
      </c>
      <c r="F674" cm="1">
        <f t="array" ref="F674">_xlfn.REGEXEXTRACT(E674,"\d{4}")*1</f>
        <v>1998</v>
      </c>
      <c r="G674" t="s">
        <v>664</v>
      </c>
      <c r="H674" t="s">
        <v>3577</v>
      </c>
      <c r="I674" t="s">
        <v>806</v>
      </c>
      <c r="J674" t="s">
        <v>1140</v>
      </c>
      <c r="K674" s="1">
        <v>37903</v>
      </c>
      <c r="L674" t="s">
        <v>3578</v>
      </c>
      <c r="M674" t="s">
        <v>3579</v>
      </c>
      <c r="N674" t="s">
        <v>6389</v>
      </c>
    </row>
    <row r="675" spans="1:14" x14ac:dyDescent="0.25">
      <c r="A675">
        <v>89057</v>
      </c>
      <c r="B675" t="s">
        <v>3580</v>
      </c>
      <c r="C675">
        <v>1973</v>
      </c>
      <c r="D675" t="str" cm="1">
        <f t="array" ref="D675">_xlfn.TEXTJOIN(",",TRUE,_xlfn.XLOOKUP(_xlfn.TEXTSPLIT(C675,",")*1,_xlfn._TRO_TRAILING(Artists!A:A),_xlfn._TRO_TRAILING(Artists!B:B)))</f>
        <v>Robert Frank</v>
      </c>
      <c r="E675">
        <v>1978</v>
      </c>
      <c r="F675" cm="1">
        <f t="array" ref="F675">_xlfn.REGEXEXTRACT(E675,"\d{4}")*1</f>
        <v>1978</v>
      </c>
      <c r="G675" t="s">
        <v>664</v>
      </c>
      <c r="H675" t="s">
        <v>3581</v>
      </c>
      <c r="I675" t="s">
        <v>806</v>
      </c>
      <c r="J675" t="s">
        <v>1140</v>
      </c>
      <c r="K675" s="1">
        <v>37903</v>
      </c>
      <c r="L675" t="s">
        <v>3582</v>
      </c>
      <c r="M675" t="s">
        <v>3583</v>
      </c>
      <c r="N675" t="s">
        <v>6389</v>
      </c>
    </row>
    <row r="676" spans="1:14" x14ac:dyDescent="0.25">
      <c r="A676">
        <v>89060</v>
      </c>
      <c r="B676" t="s">
        <v>51</v>
      </c>
      <c r="C676">
        <v>1973</v>
      </c>
      <c r="D676" t="str" cm="1">
        <f t="array" ref="D676">_xlfn.TEXTJOIN(",",TRUE,_xlfn.XLOOKUP(_xlfn.TEXTSPLIT(C676,",")*1,_xlfn._TRO_TRAILING(Artists!A:A),_xlfn._TRO_TRAILING(Artists!B:B)))</f>
        <v>Robert Frank</v>
      </c>
      <c r="E676">
        <v>1995</v>
      </c>
      <c r="F676" cm="1">
        <f t="array" ref="F676">_xlfn.REGEXEXTRACT(E676,"\d{4}")*1</f>
        <v>1995</v>
      </c>
      <c r="G676" t="s">
        <v>664</v>
      </c>
      <c r="H676" t="s">
        <v>3584</v>
      </c>
      <c r="I676" t="s">
        <v>806</v>
      </c>
      <c r="J676" t="s">
        <v>1140</v>
      </c>
      <c r="K676" s="1">
        <v>37903</v>
      </c>
      <c r="L676" t="s">
        <v>3585</v>
      </c>
      <c r="M676" t="s">
        <v>3586</v>
      </c>
      <c r="N676" t="s">
        <v>6389</v>
      </c>
    </row>
    <row r="677" spans="1:14" x14ac:dyDescent="0.25">
      <c r="A677">
        <v>89061</v>
      </c>
      <c r="B677" t="s">
        <v>3587</v>
      </c>
      <c r="C677">
        <v>1973</v>
      </c>
      <c r="D677" t="str" cm="1">
        <f t="array" ref="D677">_xlfn.TEXTJOIN(",",TRUE,_xlfn.XLOOKUP(_xlfn.TEXTSPLIT(C677,",")*1,_xlfn._TRO_TRAILING(Artists!A:A),_xlfn._TRO_TRAILING(Artists!B:B)))</f>
        <v>Robert Frank</v>
      </c>
      <c r="E677">
        <v>1996</v>
      </c>
      <c r="F677" cm="1">
        <f t="array" ref="F677">_xlfn.REGEXEXTRACT(E677,"\d{4}")*1</f>
        <v>1996</v>
      </c>
      <c r="G677" t="s">
        <v>664</v>
      </c>
      <c r="H677" t="s">
        <v>3588</v>
      </c>
      <c r="I677" t="s">
        <v>806</v>
      </c>
      <c r="J677" t="s">
        <v>1140</v>
      </c>
      <c r="K677" s="1">
        <v>37903</v>
      </c>
      <c r="L677" t="s">
        <v>3589</v>
      </c>
      <c r="M677" t="s">
        <v>3590</v>
      </c>
      <c r="N677" t="s">
        <v>6389</v>
      </c>
    </row>
    <row r="678" spans="1:14" x14ac:dyDescent="0.25">
      <c r="A678">
        <v>89063</v>
      </c>
      <c r="B678" t="s">
        <v>1460</v>
      </c>
      <c r="C678">
        <v>1973</v>
      </c>
      <c r="D678" t="str" cm="1">
        <f t="array" ref="D678">_xlfn.TEXTJOIN(",",TRUE,_xlfn.XLOOKUP(_xlfn.TEXTSPLIT(C678,",")*1,_xlfn._TRO_TRAILING(Artists!A:A),_xlfn._TRO_TRAILING(Artists!B:B)))</f>
        <v>Robert Frank</v>
      </c>
      <c r="E678">
        <v>1966</v>
      </c>
      <c r="F678" cm="1">
        <f t="array" ref="F678">_xlfn.REGEXEXTRACT(E678,"\d{4}")*1</f>
        <v>1966</v>
      </c>
      <c r="G678" t="s">
        <v>1175</v>
      </c>
      <c r="H678" t="s">
        <v>3591</v>
      </c>
      <c r="I678" t="s">
        <v>806</v>
      </c>
      <c r="J678" t="s">
        <v>1140</v>
      </c>
      <c r="K678" s="1">
        <v>37903</v>
      </c>
      <c r="L678" t="s">
        <v>3592</v>
      </c>
      <c r="M678" t="s">
        <v>3593</v>
      </c>
      <c r="N678" t="s">
        <v>6389</v>
      </c>
    </row>
    <row r="679" spans="1:14" x14ac:dyDescent="0.25">
      <c r="A679">
        <v>89067</v>
      </c>
      <c r="B679" t="s">
        <v>3594</v>
      </c>
      <c r="C679">
        <v>1973</v>
      </c>
      <c r="D679" t="str" cm="1">
        <f t="array" ref="D679">_xlfn.TEXTJOIN(",",TRUE,_xlfn.XLOOKUP(_xlfn.TEXTSPLIT(C679,",")*1,_xlfn._TRO_TRAILING(Artists!A:A),_xlfn._TRO_TRAILING(Artists!B:B)))</f>
        <v>Robert Frank</v>
      </c>
      <c r="E679" t="s">
        <v>2557</v>
      </c>
      <c r="F679" cm="1">
        <f t="array" ref="F679">_xlfn.REGEXEXTRACT(E679,"\d{4}")*1</f>
        <v>1954</v>
      </c>
      <c r="G679" t="s">
        <v>664</v>
      </c>
      <c r="H679" t="s">
        <v>3595</v>
      </c>
      <c r="I679" t="s">
        <v>806</v>
      </c>
      <c r="J679" t="s">
        <v>1140</v>
      </c>
      <c r="K679" s="1">
        <v>37903</v>
      </c>
      <c r="L679" t="s">
        <v>3596</v>
      </c>
      <c r="M679" t="s">
        <v>3597</v>
      </c>
      <c r="N679" t="s">
        <v>6389</v>
      </c>
    </row>
    <row r="680" spans="1:14" x14ac:dyDescent="0.25">
      <c r="A680">
        <v>89070</v>
      </c>
      <c r="B680" t="s">
        <v>3598</v>
      </c>
      <c r="C680">
        <v>1973</v>
      </c>
      <c r="D680" t="str" cm="1">
        <f t="array" ref="D680">_xlfn.TEXTJOIN(",",TRUE,_xlfn.XLOOKUP(_xlfn.TEXTSPLIT(C680,",")*1,_xlfn._TRO_TRAILING(Artists!A:A),_xlfn._TRO_TRAILING(Artists!B:B)))</f>
        <v>Robert Frank</v>
      </c>
      <c r="E680" t="s">
        <v>491</v>
      </c>
      <c r="F680" cm="1">
        <f t="array" ref="F680">_xlfn.REGEXEXTRACT(E680,"\d{4}")*1</f>
        <v>1960</v>
      </c>
      <c r="G680" t="s">
        <v>664</v>
      </c>
      <c r="H680" t="s">
        <v>3599</v>
      </c>
      <c r="I680" t="s">
        <v>806</v>
      </c>
      <c r="J680" t="s">
        <v>1140</v>
      </c>
      <c r="K680" s="1">
        <v>37903</v>
      </c>
      <c r="L680" t="s">
        <v>3600</v>
      </c>
      <c r="M680" t="s">
        <v>3601</v>
      </c>
      <c r="N680" t="s">
        <v>6389</v>
      </c>
    </row>
    <row r="681" spans="1:14" x14ac:dyDescent="0.25">
      <c r="A681">
        <v>89073</v>
      </c>
      <c r="B681" t="s">
        <v>3602</v>
      </c>
      <c r="C681">
        <v>1973</v>
      </c>
      <c r="D681" t="str" cm="1">
        <f t="array" ref="D681">_xlfn.TEXTJOIN(",",TRUE,_xlfn.XLOOKUP(_xlfn.TEXTSPLIT(C681,",")*1,_xlfn._TRO_TRAILING(Artists!A:A),_xlfn._TRO_TRAILING(Artists!B:B)))</f>
        <v>Robert Frank</v>
      </c>
      <c r="E681">
        <v>1962</v>
      </c>
      <c r="F681" cm="1">
        <f t="array" ref="F681">_xlfn.REGEXEXTRACT(E681,"\d{4}")*1</f>
        <v>1962</v>
      </c>
      <c r="G681" t="s">
        <v>664</v>
      </c>
      <c r="H681" t="s">
        <v>3603</v>
      </c>
      <c r="I681" t="s">
        <v>806</v>
      </c>
      <c r="J681" t="s">
        <v>1140</v>
      </c>
      <c r="K681" s="1">
        <v>37903</v>
      </c>
      <c r="L681" t="s">
        <v>3604</v>
      </c>
      <c r="M681" t="s">
        <v>3605</v>
      </c>
      <c r="N681" t="s">
        <v>6389</v>
      </c>
    </row>
    <row r="682" spans="1:14" x14ac:dyDescent="0.25">
      <c r="A682">
        <v>89078</v>
      </c>
      <c r="B682" t="s">
        <v>3606</v>
      </c>
      <c r="C682">
        <v>1973</v>
      </c>
      <c r="D682" t="str" cm="1">
        <f t="array" ref="D682">_xlfn.TEXTJOIN(",",TRUE,_xlfn.XLOOKUP(_xlfn.TEXTSPLIT(C682,",")*1,_xlfn._TRO_TRAILING(Artists!A:A),_xlfn._TRO_TRAILING(Artists!B:B)))</f>
        <v>Robert Frank</v>
      </c>
      <c r="E682" t="s">
        <v>208</v>
      </c>
      <c r="F682" cm="1">
        <f t="array" ref="F682">_xlfn.REGEXEXTRACT(E682,"\d{4}")*1</f>
        <v>1956</v>
      </c>
      <c r="G682" t="s">
        <v>664</v>
      </c>
      <c r="H682" t="s">
        <v>3607</v>
      </c>
      <c r="I682" t="s">
        <v>806</v>
      </c>
      <c r="J682" t="s">
        <v>1140</v>
      </c>
      <c r="K682" s="1">
        <v>37903</v>
      </c>
      <c r="L682" t="s">
        <v>3608</v>
      </c>
      <c r="M682" t="s">
        <v>3609</v>
      </c>
      <c r="N682" t="s">
        <v>6389</v>
      </c>
    </row>
    <row r="683" spans="1:14" x14ac:dyDescent="0.25">
      <c r="A683">
        <v>89085</v>
      </c>
      <c r="B683" t="s">
        <v>3610</v>
      </c>
      <c r="C683">
        <v>1973</v>
      </c>
      <c r="D683" t="str" cm="1">
        <f t="array" ref="D683">_xlfn.TEXTJOIN(",",TRUE,_xlfn.XLOOKUP(_xlfn.TEXTSPLIT(C683,",")*1,_xlfn._TRO_TRAILING(Artists!A:A),_xlfn._TRO_TRAILING(Artists!B:B)))</f>
        <v>Robert Frank</v>
      </c>
      <c r="E683">
        <v>1962</v>
      </c>
      <c r="F683" cm="1">
        <f t="array" ref="F683">_xlfn.REGEXEXTRACT(E683,"\d{4}")*1</f>
        <v>1962</v>
      </c>
      <c r="G683" t="s">
        <v>664</v>
      </c>
      <c r="H683" t="s">
        <v>3611</v>
      </c>
      <c r="I683" t="s">
        <v>806</v>
      </c>
      <c r="J683" t="s">
        <v>1140</v>
      </c>
      <c r="K683" s="1">
        <v>37903</v>
      </c>
      <c r="L683" t="s">
        <v>3612</v>
      </c>
      <c r="M683" t="s">
        <v>3613</v>
      </c>
      <c r="N683" t="s">
        <v>6389</v>
      </c>
    </row>
    <row r="684" spans="1:14" x14ac:dyDescent="0.25">
      <c r="A684">
        <v>89086</v>
      </c>
      <c r="B684" t="s">
        <v>3614</v>
      </c>
      <c r="C684">
        <v>1973</v>
      </c>
      <c r="D684" t="str" cm="1">
        <f t="array" ref="D684">_xlfn.TEXTJOIN(",",TRUE,_xlfn.XLOOKUP(_xlfn.TEXTSPLIT(C684,",")*1,_xlfn._TRO_TRAILING(Artists!A:A),_xlfn._TRO_TRAILING(Artists!B:B)))</f>
        <v>Robert Frank</v>
      </c>
      <c r="E684">
        <v>2002</v>
      </c>
      <c r="F684" cm="1">
        <f t="array" ref="F684">_xlfn.REGEXEXTRACT(E684,"\d{4}")*1</f>
        <v>2002</v>
      </c>
      <c r="G684" t="s">
        <v>664</v>
      </c>
      <c r="H684" t="s">
        <v>3615</v>
      </c>
      <c r="I684" t="s">
        <v>806</v>
      </c>
      <c r="J684" t="s">
        <v>1140</v>
      </c>
      <c r="K684" s="1">
        <v>37903</v>
      </c>
      <c r="L684" t="s">
        <v>3616</v>
      </c>
      <c r="M684" t="s">
        <v>3617</v>
      </c>
      <c r="N684" t="s">
        <v>6389</v>
      </c>
    </row>
    <row r="685" spans="1:14" x14ac:dyDescent="0.25">
      <c r="A685">
        <v>89276</v>
      </c>
      <c r="B685" t="s">
        <v>3621</v>
      </c>
      <c r="C685">
        <v>2600</v>
      </c>
      <c r="D685" t="str" cm="1">
        <f t="array" ref="D685">_xlfn.TEXTJOIN(",",TRUE,_xlfn.XLOOKUP(_xlfn.TEXTSPLIT(C685,",")*1,_xlfn._TRO_TRAILING(Artists!A:A),_xlfn._TRO_TRAILING(Artists!B:B)))</f>
        <v>Barbara Hepworth</v>
      </c>
      <c r="E685">
        <v>1937</v>
      </c>
      <c r="F685" cm="1">
        <f t="array" ref="F685">_xlfn.REGEXEXTRACT(E685,"\d{4}")*1</f>
        <v>1937</v>
      </c>
      <c r="G685" t="s">
        <v>2990</v>
      </c>
      <c r="H685" t="s">
        <v>54</v>
      </c>
      <c r="I685" t="s">
        <v>2248</v>
      </c>
      <c r="J685" t="s">
        <v>879</v>
      </c>
      <c r="K685" s="1">
        <v>38055</v>
      </c>
      <c r="L685" t="s">
        <v>3622</v>
      </c>
      <c r="M685" t="s">
        <v>3623</v>
      </c>
      <c r="N685" t="s">
        <v>6377</v>
      </c>
    </row>
    <row r="686" spans="1:14" x14ac:dyDescent="0.25">
      <c r="A686">
        <v>89538</v>
      </c>
      <c r="B686" t="s">
        <v>3624</v>
      </c>
      <c r="C686">
        <v>5360</v>
      </c>
      <c r="D686" t="str" cm="1">
        <f t="array" ref="D686">_xlfn.TEXTJOIN(",",TRUE,_xlfn.XLOOKUP(_xlfn.TEXTSPLIT(C686,",")*1,_xlfn._TRO_TRAILING(Artists!A:A),_xlfn._TRO_TRAILING(Artists!B:B)))</f>
        <v>Gino Severini</v>
      </c>
      <c r="E686">
        <v>1914</v>
      </c>
      <c r="F686" cm="1">
        <f t="array" ref="F686">_xlfn.REGEXEXTRACT(E686,"\d{4}")*1</f>
        <v>1914</v>
      </c>
      <c r="G686" t="s">
        <v>1034</v>
      </c>
      <c r="H686" t="s">
        <v>920</v>
      </c>
      <c r="I686" t="s">
        <v>878</v>
      </c>
      <c r="J686" t="s">
        <v>879</v>
      </c>
      <c r="K686" s="1">
        <v>38055</v>
      </c>
      <c r="L686" t="s">
        <v>3625</v>
      </c>
      <c r="M686" t="s">
        <v>3626</v>
      </c>
      <c r="N686" t="s">
        <v>6401</v>
      </c>
    </row>
    <row r="687" spans="1:14" x14ac:dyDescent="0.25">
      <c r="A687">
        <v>89731</v>
      </c>
      <c r="B687" t="s">
        <v>3628</v>
      </c>
      <c r="C687">
        <v>9953</v>
      </c>
      <c r="D687" t="str" cm="1">
        <f t="array" ref="D687">_xlfn.TEXTJOIN(",",TRUE,_xlfn.XLOOKUP(_xlfn.TEXTSPLIT(C687,",")*1,_xlfn._TRO_TRAILING(Artists!A:A),_xlfn._TRO_TRAILING(Artists!B:B)))</f>
        <v>American Steel &amp; Wire Co., Worcester, MA</v>
      </c>
      <c r="E687" t="s">
        <v>103</v>
      </c>
      <c r="F687" cm="1">
        <f t="array" ref="F687">_xlfn.REGEXEXTRACT(E687,"\d{4}")*1</f>
        <v>1920</v>
      </c>
      <c r="G687" t="s">
        <v>176</v>
      </c>
      <c r="H687" t="s">
        <v>3629</v>
      </c>
      <c r="I687" t="s">
        <v>95</v>
      </c>
      <c r="J687" t="s">
        <v>19</v>
      </c>
      <c r="K687" s="1">
        <v>38099</v>
      </c>
      <c r="L687" t="s">
        <v>3630</v>
      </c>
      <c r="M687" t="s">
        <v>3631</v>
      </c>
      <c r="N687" t="s">
        <v>6361</v>
      </c>
    </row>
    <row r="688" spans="1:14" x14ac:dyDescent="0.25">
      <c r="A688">
        <v>89828</v>
      </c>
      <c r="B688" t="s">
        <v>3632</v>
      </c>
      <c r="C688" t="s">
        <v>3633</v>
      </c>
      <c r="D688" t="str" cm="1">
        <f t="array" ref="D688">_xlfn.TEXTJOIN(",",TRUE,_xlfn.XLOOKUP(_xlfn.TEXTSPLIT(C688,",")*1,_xlfn._TRO_TRAILING(Artists!A:A),_xlfn._TRO_TRAILING(Artists!B:B)))</f>
        <v>Donato D'Urbino,Jonathan De Pas,Paolo Lomazzi,Giorgio DeCurso</v>
      </c>
      <c r="E688">
        <v>1971</v>
      </c>
      <c r="F688" cm="1">
        <f t="array" ref="F688">_xlfn.REGEXEXTRACT(E688,"\d{4}")*1</f>
        <v>1971</v>
      </c>
      <c r="G688" t="s">
        <v>114</v>
      </c>
      <c r="H688" t="s">
        <v>3634</v>
      </c>
      <c r="I688" t="s">
        <v>95</v>
      </c>
      <c r="J688" t="s">
        <v>19</v>
      </c>
      <c r="K688" s="1">
        <v>39827</v>
      </c>
      <c r="L688" t="s">
        <v>3635</v>
      </c>
      <c r="M688" t="s">
        <v>3636</v>
      </c>
      <c r="N688" t="s">
        <v>6362</v>
      </c>
    </row>
    <row r="689" spans="1:14" x14ac:dyDescent="0.25">
      <c r="A689">
        <v>89960</v>
      </c>
      <c r="B689" t="s">
        <v>51</v>
      </c>
      <c r="C689">
        <v>3615</v>
      </c>
      <c r="D689" t="str" cm="1">
        <f t="array" ref="D689">_xlfn.TEXTJOIN(",",TRUE,_xlfn.XLOOKUP(_xlfn.TEXTSPLIT(C689,",")*1,_xlfn._TRO_TRAILING(Artists!A:A),_xlfn._TRO_TRAILING(Artists!B:B)))</f>
        <v>Lee Lozano</v>
      </c>
      <c r="E689">
        <v>1963</v>
      </c>
      <c r="F689" cm="1">
        <f t="array" ref="F689">_xlfn.REGEXEXTRACT(E689,"\d{4}")*1</f>
        <v>1963</v>
      </c>
      <c r="G689" t="s">
        <v>2194</v>
      </c>
      <c r="H689" t="s">
        <v>3637</v>
      </c>
      <c r="I689" t="s">
        <v>878</v>
      </c>
      <c r="J689" t="s">
        <v>879</v>
      </c>
      <c r="K689" s="1">
        <v>38055</v>
      </c>
      <c r="L689" t="s">
        <v>3638</v>
      </c>
      <c r="M689" t="s">
        <v>3639</v>
      </c>
      <c r="N689" t="s">
        <v>6398</v>
      </c>
    </row>
    <row r="690" spans="1:14" x14ac:dyDescent="0.25">
      <c r="A690">
        <v>90111</v>
      </c>
      <c r="B690" t="s">
        <v>3641</v>
      </c>
      <c r="C690" t="s">
        <v>3642</v>
      </c>
      <c r="D690" t="str" cm="1">
        <f t="array" ref="D690">_xlfn.TEXTJOIN(",",TRUE,_xlfn.XLOOKUP(_xlfn.TEXTSPLIT(C690,",")*1,_xlfn._TRO_TRAILING(Artists!A:A),_xlfn._TRO_TRAILING(Artists!B:B)))</f>
        <v>Charles B. Stilwell,Margaret E. Knight</v>
      </c>
      <c r="E690" t="s">
        <v>3643</v>
      </c>
      <c r="F690" cm="1">
        <f t="array" ref="F690">_xlfn.REGEXEXTRACT(E690,"\d{4}")*1</f>
        <v>1870</v>
      </c>
      <c r="G690" t="s">
        <v>57</v>
      </c>
      <c r="H690" t="s">
        <v>3644</v>
      </c>
      <c r="I690" t="s">
        <v>95</v>
      </c>
      <c r="J690" t="s">
        <v>19</v>
      </c>
      <c r="K690" s="1">
        <v>38398</v>
      </c>
      <c r="L690" t="s">
        <v>3645</v>
      </c>
      <c r="M690" t="s">
        <v>3646</v>
      </c>
      <c r="N690" t="s">
        <v>6370</v>
      </c>
    </row>
    <row r="691" spans="1:14" x14ac:dyDescent="0.25">
      <c r="A691">
        <v>90664</v>
      </c>
      <c r="B691" t="s">
        <v>3647</v>
      </c>
      <c r="C691">
        <v>256</v>
      </c>
      <c r="D691" t="str" cm="1">
        <f t="array" ref="D691">_xlfn.TEXTJOIN(",",TRUE,_xlfn.XLOOKUP(_xlfn.TEXTSPLIT(C691,",")*1,_xlfn._TRO_TRAILING(Artists!A:A),_xlfn._TRO_TRAILING(Artists!B:B)))</f>
        <v>Alice Aycock</v>
      </c>
      <c r="E691">
        <v>1984</v>
      </c>
      <c r="F691" cm="1">
        <f t="array" ref="F691">_xlfn.REGEXEXTRACT(E691,"\d{4}")*1</f>
        <v>1984</v>
      </c>
      <c r="G691" t="s">
        <v>3648</v>
      </c>
      <c r="H691" t="s">
        <v>3649</v>
      </c>
      <c r="I691" t="s">
        <v>675</v>
      </c>
      <c r="J691" t="s">
        <v>674</v>
      </c>
      <c r="K691" s="1">
        <v>38118</v>
      </c>
      <c r="L691" t="s">
        <v>3650</v>
      </c>
      <c r="M691" t="s">
        <v>3651</v>
      </c>
      <c r="N691" t="s">
        <v>6381</v>
      </c>
    </row>
    <row r="692" spans="1:14" x14ac:dyDescent="0.25">
      <c r="A692">
        <v>90709</v>
      </c>
      <c r="B692" t="s">
        <v>3652</v>
      </c>
      <c r="C692">
        <v>3787</v>
      </c>
      <c r="D692" t="str" cm="1">
        <f t="array" ref="D692">_xlfn.TEXTJOIN(",",TRUE,_xlfn.XLOOKUP(_xlfn.TEXTSPLIT(C692,",")*1,_xlfn._TRO_TRAILING(Artists!A:A),_xlfn._TRO_TRAILING(Artists!B:B)))</f>
        <v>Agnes Martin</v>
      </c>
      <c r="E692">
        <v>1963</v>
      </c>
      <c r="F692" cm="1">
        <f t="array" ref="F692">_xlfn.REGEXEXTRACT(E692,"\d{4}")*1</f>
        <v>1963</v>
      </c>
      <c r="G692" t="s">
        <v>3653</v>
      </c>
      <c r="H692" t="s">
        <v>3654</v>
      </c>
      <c r="I692" t="s">
        <v>675</v>
      </c>
      <c r="J692" t="s">
        <v>674</v>
      </c>
      <c r="K692" s="1">
        <v>38118</v>
      </c>
      <c r="L692" t="s">
        <v>3655</v>
      </c>
      <c r="M692" t="s">
        <v>3656</v>
      </c>
      <c r="N692" t="s">
        <v>6363</v>
      </c>
    </row>
    <row r="693" spans="1:14" x14ac:dyDescent="0.25">
      <c r="A693">
        <v>91109</v>
      </c>
      <c r="B693" t="s">
        <v>3657</v>
      </c>
      <c r="C693">
        <v>1752</v>
      </c>
      <c r="D693" t="str" cm="1">
        <f t="array" ref="D693">_xlfn.TEXTJOIN(",",TRUE,_xlfn.XLOOKUP(_xlfn.TEXTSPLIT(C693,",")*1,_xlfn._TRO_TRAILING(Artists!A:A),_xlfn._TRO_TRAILING(Artists!B:B)))</f>
        <v>Max Ernst</v>
      </c>
      <c r="E693">
        <v>1920</v>
      </c>
      <c r="F693" cm="1">
        <f t="array" ref="F693">_xlfn.REGEXEXTRACT(E693,"\d{4}")*1</f>
        <v>1920</v>
      </c>
      <c r="G693" t="s">
        <v>1593</v>
      </c>
      <c r="H693" t="s">
        <v>3658</v>
      </c>
      <c r="I693" t="s">
        <v>29</v>
      </c>
      <c r="J693" t="s">
        <v>674</v>
      </c>
      <c r="K693" s="1">
        <v>13100</v>
      </c>
      <c r="L693" t="s">
        <v>3659</v>
      </c>
      <c r="M693" t="s">
        <v>3660</v>
      </c>
      <c r="N693" t="s">
        <v>6385</v>
      </c>
    </row>
    <row r="694" spans="1:14" x14ac:dyDescent="0.25">
      <c r="A694">
        <v>91110</v>
      </c>
      <c r="B694" t="s">
        <v>3661</v>
      </c>
      <c r="C694">
        <v>1752</v>
      </c>
      <c r="D694" t="str" cm="1">
        <f t="array" ref="D694">_xlfn.TEXTJOIN(",",TRUE,_xlfn.XLOOKUP(_xlfn.TEXTSPLIT(C694,",")*1,_xlfn._TRO_TRAILING(Artists!A:A),_xlfn._TRO_TRAILING(Artists!B:B)))</f>
        <v>Max Ernst</v>
      </c>
      <c r="E694">
        <v>1920</v>
      </c>
      <c r="F694" cm="1">
        <f t="array" ref="F694">_xlfn.REGEXEXTRACT(E694,"\d{4}")*1</f>
        <v>1920</v>
      </c>
      <c r="G694" t="s">
        <v>1593</v>
      </c>
      <c r="H694" t="s">
        <v>3662</v>
      </c>
      <c r="I694" t="s">
        <v>29</v>
      </c>
      <c r="J694" t="s">
        <v>674</v>
      </c>
      <c r="K694" s="1">
        <v>13100</v>
      </c>
      <c r="L694" t="s">
        <v>3663</v>
      </c>
      <c r="M694" t="s">
        <v>3664</v>
      </c>
      <c r="N694" t="s">
        <v>6385</v>
      </c>
    </row>
    <row r="695" spans="1:14" x14ac:dyDescent="0.25">
      <c r="A695">
        <v>91111</v>
      </c>
      <c r="B695" t="s">
        <v>3665</v>
      </c>
      <c r="C695">
        <v>1752</v>
      </c>
      <c r="D695" t="str" cm="1">
        <f t="array" ref="D695">_xlfn.TEXTJOIN(",",TRUE,_xlfn.XLOOKUP(_xlfn.TEXTSPLIT(C695,",")*1,_xlfn._TRO_TRAILING(Artists!A:A),_xlfn._TRO_TRAILING(Artists!B:B)))</f>
        <v>Max Ernst</v>
      </c>
      <c r="E695">
        <v>1920</v>
      </c>
      <c r="F695" cm="1">
        <f t="array" ref="F695">_xlfn.REGEXEXTRACT(E695,"\d{4}")*1</f>
        <v>1920</v>
      </c>
      <c r="G695" t="s">
        <v>1593</v>
      </c>
      <c r="H695" t="s">
        <v>3666</v>
      </c>
      <c r="I695" t="s">
        <v>29</v>
      </c>
      <c r="J695" t="s">
        <v>674</v>
      </c>
      <c r="K695" s="1">
        <v>13100</v>
      </c>
      <c r="L695" t="s">
        <v>3667</v>
      </c>
      <c r="M695" t="s">
        <v>3668</v>
      </c>
      <c r="N695" t="s">
        <v>6385</v>
      </c>
    </row>
    <row r="696" spans="1:14" x14ac:dyDescent="0.25">
      <c r="A696">
        <v>91754</v>
      </c>
      <c r="B696" t="s">
        <v>3669</v>
      </c>
      <c r="C696">
        <v>281</v>
      </c>
      <c r="D696" t="str" cm="1">
        <f t="array" ref="D696">_xlfn.TEXTJOIN(",",TRUE,_xlfn.XLOOKUP(_xlfn.TEXTSPLIT(C696,",")*1,_xlfn._TRO_TRAILING(Artists!A:A),_xlfn._TRO_TRAILING(Artists!B:B)))</f>
        <v>Jo Baer</v>
      </c>
      <c r="E696">
        <v>1963</v>
      </c>
      <c r="F696" cm="1">
        <f t="array" ref="F696">_xlfn.REGEXEXTRACT(E696,"\d{4}")*1</f>
        <v>1963</v>
      </c>
      <c r="G696" t="s">
        <v>69</v>
      </c>
      <c r="H696" t="s">
        <v>1036</v>
      </c>
      <c r="I696" t="s">
        <v>675</v>
      </c>
      <c r="J696" t="s">
        <v>674</v>
      </c>
      <c r="K696" s="1">
        <v>37964</v>
      </c>
      <c r="L696" t="s">
        <v>3670</v>
      </c>
      <c r="M696" t="s">
        <v>3671</v>
      </c>
      <c r="N696" t="s">
        <v>6376</v>
      </c>
    </row>
    <row r="697" spans="1:14" x14ac:dyDescent="0.25">
      <c r="A697">
        <v>91755</v>
      </c>
      <c r="B697" t="s">
        <v>3672</v>
      </c>
      <c r="C697">
        <v>281</v>
      </c>
      <c r="D697" t="str" cm="1">
        <f t="array" ref="D697">_xlfn.TEXTJOIN(",",TRUE,_xlfn.XLOOKUP(_xlfn.TEXTSPLIT(C697,",")*1,_xlfn._TRO_TRAILING(Artists!A:A),_xlfn._TRO_TRAILING(Artists!B:B)))</f>
        <v>Jo Baer</v>
      </c>
      <c r="E697">
        <v>1963</v>
      </c>
      <c r="F697" cm="1">
        <f t="array" ref="F697">_xlfn.REGEXEXTRACT(E697,"\d{4}")*1</f>
        <v>1963</v>
      </c>
      <c r="G697" t="s">
        <v>69</v>
      </c>
      <c r="H697" t="s">
        <v>1036</v>
      </c>
      <c r="I697" t="s">
        <v>675</v>
      </c>
      <c r="J697" t="s">
        <v>674</v>
      </c>
      <c r="K697" s="1">
        <v>37964</v>
      </c>
      <c r="L697" t="s">
        <v>3673</v>
      </c>
      <c r="M697" t="s">
        <v>3674</v>
      </c>
      <c r="N697" t="s">
        <v>6376</v>
      </c>
    </row>
    <row r="698" spans="1:14" x14ac:dyDescent="0.25">
      <c r="A698">
        <v>91756</v>
      </c>
      <c r="B698" t="s">
        <v>3675</v>
      </c>
      <c r="C698">
        <v>281</v>
      </c>
      <c r="D698" t="str" cm="1">
        <f t="array" ref="D698">_xlfn.TEXTJOIN(",",TRUE,_xlfn.XLOOKUP(_xlfn.TEXTSPLIT(C698,",")*1,_xlfn._TRO_TRAILING(Artists!A:A),_xlfn._TRO_TRAILING(Artists!B:B)))</f>
        <v>Jo Baer</v>
      </c>
      <c r="E698">
        <v>1963</v>
      </c>
      <c r="F698" cm="1">
        <f t="array" ref="F698">_xlfn.REGEXEXTRACT(E698,"\d{4}")*1</f>
        <v>1963</v>
      </c>
      <c r="G698" t="s">
        <v>69</v>
      </c>
      <c r="H698" t="s">
        <v>1036</v>
      </c>
      <c r="I698" t="s">
        <v>675</v>
      </c>
      <c r="J698" t="s">
        <v>674</v>
      </c>
      <c r="K698" s="1">
        <v>37964</v>
      </c>
      <c r="L698" t="s">
        <v>3676</v>
      </c>
      <c r="M698" t="s">
        <v>3677</v>
      </c>
      <c r="N698" t="s">
        <v>6376</v>
      </c>
    </row>
    <row r="699" spans="1:14" x14ac:dyDescent="0.25">
      <c r="A699">
        <v>91757</v>
      </c>
      <c r="B699" t="s">
        <v>3678</v>
      </c>
      <c r="C699">
        <v>281</v>
      </c>
      <c r="D699" t="str" cm="1">
        <f t="array" ref="D699">_xlfn.TEXTJOIN(",",TRUE,_xlfn.XLOOKUP(_xlfn.TEXTSPLIT(C699,",")*1,_xlfn._TRO_TRAILING(Artists!A:A),_xlfn._TRO_TRAILING(Artists!B:B)))</f>
        <v>Jo Baer</v>
      </c>
      <c r="E699">
        <v>1963</v>
      </c>
      <c r="F699" cm="1">
        <f t="array" ref="F699">_xlfn.REGEXEXTRACT(E699,"\d{4}")*1</f>
        <v>1963</v>
      </c>
      <c r="G699" t="s">
        <v>69</v>
      </c>
      <c r="H699" t="s">
        <v>1036</v>
      </c>
      <c r="I699" t="s">
        <v>675</v>
      </c>
      <c r="J699" t="s">
        <v>674</v>
      </c>
      <c r="K699" s="1">
        <v>37964</v>
      </c>
      <c r="L699" t="s">
        <v>3679</v>
      </c>
      <c r="M699" t="s">
        <v>3680</v>
      </c>
      <c r="N699" t="s">
        <v>6376</v>
      </c>
    </row>
    <row r="700" spans="1:14" x14ac:dyDescent="0.25">
      <c r="A700">
        <v>91758</v>
      </c>
      <c r="B700" t="s">
        <v>3681</v>
      </c>
      <c r="C700">
        <v>281</v>
      </c>
      <c r="D700" t="str" cm="1">
        <f t="array" ref="D700">_xlfn.TEXTJOIN(",",TRUE,_xlfn.XLOOKUP(_xlfn.TEXTSPLIT(C700,",")*1,_xlfn._TRO_TRAILING(Artists!A:A),_xlfn._TRO_TRAILING(Artists!B:B)))</f>
        <v>Jo Baer</v>
      </c>
      <c r="E700">
        <v>1963</v>
      </c>
      <c r="F700" cm="1">
        <f t="array" ref="F700">_xlfn.REGEXEXTRACT(E700,"\d{4}")*1</f>
        <v>1963</v>
      </c>
      <c r="G700" t="s">
        <v>69</v>
      </c>
      <c r="H700" t="s">
        <v>1036</v>
      </c>
      <c r="I700" t="s">
        <v>675</v>
      </c>
      <c r="J700" t="s">
        <v>674</v>
      </c>
      <c r="K700" s="1">
        <v>37964</v>
      </c>
      <c r="L700" t="s">
        <v>3682</v>
      </c>
      <c r="M700" t="s">
        <v>3683</v>
      </c>
      <c r="N700" t="s">
        <v>6376</v>
      </c>
    </row>
    <row r="701" spans="1:14" x14ac:dyDescent="0.25">
      <c r="A701">
        <v>91762</v>
      </c>
      <c r="B701" t="s">
        <v>3684</v>
      </c>
      <c r="C701">
        <v>6636</v>
      </c>
      <c r="D701" t="str" cm="1">
        <f t="array" ref="D701">_xlfn.TEXTJOIN(",",TRUE,_xlfn.XLOOKUP(_xlfn.TEXTSPLIT(C701,",")*1,_xlfn._TRO_TRAILING(Artists!A:A),_xlfn._TRO_TRAILING(Artists!B:B)))</f>
        <v>Gordon Matta-Clark</v>
      </c>
      <c r="E701">
        <v>1974</v>
      </c>
      <c r="F701" cm="1">
        <f t="array" ref="F701">_xlfn.REGEXEXTRACT(E701,"\d{4}")*1</f>
        <v>1974</v>
      </c>
      <c r="G701" t="s">
        <v>3685</v>
      </c>
      <c r="H701" t="s">
        <v>3686</v>
      </c>
      <c r="I701" t="s">
        <v>2248</v>
      </c>
      <c r="J701" t="s">
        <v>879</v>
      </c>
      <c r="K701" s="1">
        <v>38146</v>
      </c>
      <c r="L701" t="s">
        <v>3687</v>
      </c>
      <c r="M701" t="s">
        <v>3688</v>
      </c>
      <c r="N701" t="s">
        <v>6417</v>
      </c>
    </row>
    <row r="702" spans="1:14" x14ac:dyDescent="0.25">
      <c r="A702">
        <v>91770</v>
      </c>
      <c r="B702" t="s">
        <v>3690</v>
      </c>
      <c r="C702">
        <v>7715</v>
      </c>
      <c r="D702" t="str" cm="1">
        <f t="array" ref="D702">_xlfn.TEXTJOIN(",",TRUE,_xlfn.XLOOKUP(_xlfn.TEXTSPLIT(C702,",")*1,_xlfn._TRO_TRAILING(Artists!A:A),_xlfn._TRO_TRAILING(Artists!B:B)))</f>
        <v>Hélio Oiticica</v>
      </c>
      <c r="E702">
        <v>1960</v>
      </c>
      <c r="F702" cm="1">
        <f t="array" ref="F702">_xlfn.REGEXEXTRACT(E702,"\d{4}")*1</f>
        <v>1960</v>
      </c>
      <c r="G702" t="s">
        <v>1927</v>
      </c>
      <c r="H702" t="s">
        <v>3691</v>
      </c>
      <c r="I702" t="s">
        <v>878</v>
      </c>
      <c r="J702" t="s">
        <v>879</v>
      </c>
      <c r="K702" s="1">
        <v>38146</v>
      </c>
      <c r="L702" t="s">
        <v>3692</v>
      </c>
      <c r="M702" t="s">
        <v>3693</v>
      </c>
      <c r="N702" t="s">
        <v>6371</v>
      </c>
    </row>
    <row r="703" spans="1:14" x14ac:dyDescent="0.25">
      <c r="A703">
        <v>91774</v>
      </c>
      <c r="B703" t="s">
        <v>3694</v>
      </c>
      <c r="C703">
        <v>5907</v>
      </c>
      <c r="D703" t="str" cm="1">
        <f t="array" ref="D703">_xlfn.TEXTJOIN(",",TRUE,_xlfn.XLOOKUP(_xlfn.TEXTSPLIT(C703,",")*1,_xlfn._TRO_TRAILING(Artists!A:A),_xlfn._TRO_TRAILING(Artists!B:B)))</f>
        <v>Joaquín Torres-García</v>
      </c>
      <c r="E703">
        <v>1938</v>
      </c>
      <c r="F703" cm="1">
        <f t="array" ref="F703">_xlfn.REGEXEXTRACT(E703,"\d{4}")*1</f>
        <v>1938</v>
      </c>
      <c r="G703" t="s">
        <v>3695</v>
      </c>
      <c r="H703" t="s">
        <v>3696</v>
      </c>
      <c r="I703" t="s">
        <v>878</v>
      </c>
      <c r="J703" t="s">
        <v>879</v>
      </c>
      <c r="K703" s="1">
        <v>38146</v>
      </c>
      <c r="L703" t="s">
        <v>3697</v>
      </c>
      <c r="M703" t="s">
        <v>3698</v>
      </c>
      <c r="N703" t="s">
        <v>6399</v>
      </c>
    </row>
    <row r="704" spans="1:14" x14ac:dyDescent="0.25">
      <c r="A704">
        <v>91791</v>
      </c>
      <c r="B704" t="s">
        <v>189</v>
      </c>
      <c r="C704">
        <v>1968</v>
      </c>
      <c r="D704" t="str" cm="1">
        <f t="array" ref="D704">_xlfn.TEXTJOIN(",",TRUE,_xlfn.XLOOKUP(_xlfn.TEXTSPLIT(C704,",")*1,_xlfn._TRO_TRAILING(Artists!A:A),_xlfn._TRO_TRAILING(Artists!B:B)))</f>
        <v>Kaj Franck</v>
      </c>
      <c r="E704">
        <v>1954</v>
      </c>
      <c r="F704" cm="1">
        <f t="array" ref="F704">_xlfn.REGEXEXTRACT(E704,"\d{4}")*1</f>
        <v>1954</v>
      </c>
      <c r="G704" t="s">
        <v>190</v>
      </c>
      <c r="H704" t="s">
        <v>3699</v>
      </c>
      <c r="I704" t="s">
        <v>95</v>
      </c>
      <c r="J704" t="s">
        <v>19</v>
      </c>
      <c r="K704" s="1">
        <v>33618</v>
      </c>
      <c r="L704" t="s">
        <v>3700</v>
      </c>
      <c r="M704" t="s">
        <v>197</v>
      </c>
      <c r="N704" t="s">
        <v>6362</v>
      </c>
    </row>
    <row r="705" spans="1:14" x14ac:dyDescent="0.25">
      <c r="A705">
        <v>91792</v>
      </c>
      <c r="B705" t="s">
        <v>189</v>
      </c>
      <c r="C705">
        <v>1968</v>
      </c>
      <c r="D705" t="str" cm="1">
        <f t="array" ref="D705">_xlfn.TEXTJOIN(",",TRUE,_xlfn.XLOOKUP(_xlfn.TEXTSPLIT(C705,",")*1,_xlfn._TRO_TRAILING(Artists!A:A),_xlfn._TRO_TRAILING(Artists!B:B)))</f>
        <v>Kaj Franck</v>
      </c>
      <c r="E705">
        <v>1954</v>
      </c>
      <c r="F705" cm="1">
        <f t="array" ref="F705">_xlfn.REGEXEXTRACT(E705,"\d{4}")*1</f>
        <v>1954</v>
      </c>
      <c r="G705" t="s">
        <v>190</v>
      </c>
      <c r="H705" t="s">
        <v>3699</v>
      </c>
      <c r="I705" t="s">
        <v>95</v>
      </c>
      <c r="J705" t="s">
        <v>19</v>
      </c>
      <c r="K705" s="1">
        <v>33618</v>
      </c>
      <c r="L705" t="s">
        <v>3701</v>
      </c>
      <c r="M705" t="s">
        <v>197</v>
      </c>
      <c r="N705" t="s">
        <v>6362</v>
      </c>
    </row>
    <row r="706" spans="1:14" x14ac:dyDescent="0.25">
      <c r="A706">
        <v>91793</v>
      </c>
      <c r="B706" t="s">
        <v>189</v>
      </c>
      <c r="C706">
        <v>1968</v>
      </c>
      <c r="D706" t="str" cm="1">
        <f t="array" ref="D706">_xlfn.TEXTJOIN(",",TRUE,_xlfn.XLOOKUP(_xlfn.TEXTSPLIT(C706,",")*1,_xlfn._TRO_TRAILING(Artists!A:A),_xlfn._TRO_TRAILING(Artists!B:B)))</f>
        <v>Kaj Franck</v>
      </c>
      <c r="E706">
        <v>1954</v>
      </c>
      <c r="F706" cm="1">
        <f t="array" ref="F706">_xlfn.REGEXEXTRACT(E706,"\d{4}")*1</f>
        <v>1954</v>
      </c>
      <c r="G706" t="s">
        <v>190</v>
      </c>
      <c r="H706" t="s">
        <v>3699</v>
      </c>
      <c r="I706" t="s">
        <v>95</v>
      </c>
      <c r="J706" t="s">
        <v>19</v>
      </c>
      <c r="K706" s="1">
        <v>33618</v>
      </c>
      <c r="L706" t="s">
        <v>3702</v>
      </c>
      <c r="M706" t="s">
        <v>197</v>
      </c>
      <c r="N706" t="s">
        <v>6362</v>
      </c>
    </row>
    <row r="707" spans="1:14" x14ac:dyDescent="0.25">
      <c r="A707">
        <v>91794</v>
      </c>
      <c r="B707" t="s">
        <v>189</v>
      </c>
      <c r="C707">
        <v>1968</v>
      </c>
      <c r="D707" t="str" cm="1">
        <f t="array" ref="D707">_xlfn.TEXTJOIN(",",TRUE,_xlfn.XLOOKUP(_xlfn.TEXTSPLIT(C707,",")*1,_xlfn._TRO_TRAILING(Artists!A:A),_xlfn._TRO_TRAILING(Artists!B:B)))</f>
        <v>Kaj Franck</v>
      </c>
      <c r="E707">
        <v>1954</v>
      </c>
      <c r="F707" cm="1">
        <f t="array" ref="F707">_xlfn.REGEXEXTRACT(E707,"\d{4}")*1</f>
        <v>1954</v>
      </c>
      <c r="G707" t="s">
        <v>190</v>
      </c>
      <c r="H707" t="s">
        <v>3699</v>
      </c>
      <c r="I707" t="s">
        <v>95</v>
      </c>
      <c r="J707" t="s">
        <v>19</v>
      </c>
      <c r="K707" s="1">
        <v>33618</v>
      </c>
      <c r="L707" t="s">
        <v>3703</v>
      </c>
      <c r="M707" t="s">
        <v>197</v>
      </c>
      <c r="N707" t="s">
        <v>6362</v>
      </c>
    </row>
    <row r="708" spans="1:14" x14ac:dyDescent="0.25">
      <c r="A708">
        <v>91795</v>
      </c>
      <c r="B708" t="s">
        <v>189</v>
      </c>
      <c r="C708">
        <v>1968</v>
      </c>
      <c r="D708" t="str" cm="1">
        <f t="array" ref="D708">_xlfn.TEXTJOIN(",",TRUE,_xlfn.XLOOKUP(_xlfn.TEXTSPLIT(C708,",")*1,_xlfn._TRO_TRAILING(Artists!A:A),_xlfn._TRO_TRAILING(Artists!B:B)))</f>
        <v>Kaj Franck</v>
      </c>
      <c r="E708">
        <v>1954</v>
      </c>
      <c r="F708" cm="1">
        <f t="array" ref="F708">_xlfn.REGEXEXTRACT(E708,"\d{4}")*1</f>
        <v>1954</v>
      </c>
      <c r="G708" t="s">
        <v>190</v>
      </c>
      <c r="H708" t="s">
        <v>3699</v>
      </c>
      <c r="I708" t="s">
        <v>95</v>
      </c>
      <c r="J708" t="s">
        <v>19</v>
      </c>
      <c r="K708" s="1">
        <v>33618</v>
      </c>
      <c r="L708" t="s">
        <v>3704</v>
      </c>
      <c r="M708" t="s">
        <v>197</v>
      </c>
      <c r="N708" t="s">
        <v>6362</v>
      </c>
    </row>
    <row r="709" spans="1:14" x14ac:dyDescent="0.25">
      <c r="A709">
        <v>91796</v>
      </c>
      <c r="B709" t="s">
        <v>189</v>
      </c>
      <c r="C709">
        <v>1968</v>
      </c>
      <c r="D709" t="str" cm="1">
        <f t="array" ref="D709">_xlfn.TEXTJOIN(",",TRUE,_xlfn.XLOOKUP(_xlfn.TEXTSPLIT(C709,",")*1,_xlfn._TRO_TRAILING(Artists!A:A),_xlfn._TRO_TRAILING(Artists!B:B)))</f>
        <v>Kaj Franck</v>
      </c>
      <c r="E709">
        <v>1954</v>
      </c>
      <c r="F709" cm="1">
        <f t="array" ref="F709">_xlfn.REGEXEXTRACT(E709,"\d{4}")*1</f>
        <v>1954</v>
      </c>
      <c r="G709" t="s">
        <v>190</v>
      </c>
      <c r="H709" t="s">
        <v>3699</v>
      </c>
      <c r="I709" t="s">
        <v>95</v>
      </c>
      <c r="J709" t="s">
        <v>19</v>
      </c>
      <c r="K709" s="1">
        <v>33618</v>
      </c>
      <c r="L709" t="s">
        <v>3705</v>
      </c>
      <c r="M709" t="s">
        <v>197</v>
      </c>
      <c r="N709" t="s">
        <v>6362</v>
      </c>
    </row>
    <row r="710" spans="1:14" x14ac:dyDescent="0.25">
      <c r="A710">
        <v>91954</v>
      </c>
      <c r="B710" t="s">
        <v>3707</v>
      </c>
      <c r="C710">
        <v>27482</v>
      </c>
      <c r="D710" t="str" cm="1">
        <f t="array" ref="D710">_xlfn.TEXTJOIN(",",TRUE,_xlfn.XLOOKUP(_xlfn.TEXTSPLIT(C710,",")*1,_xlfn._TRO_TRAILING(Artists!A:A),_xlfn._TRO_TRAILING(Artists!B:B)))</f>
        <v>Solari di Udine, Italy</v>
      </c>
      <c r="E710">
        <v>1996</v>
      </c>
      <c r="F710" cm="1">
        <f t="array" ref="F710">_xlfn.REGEXEXTRACT(E710,"\d{4}")*1</f>
        <v>1996</v>
      </c>
      <c r="G710" t="s">
        <v>3709</v>
      </c>
      <c r="H710" t="s">
        <v>3710</v>
      </c>
      <c r="I710" t="s">
        <v>95</v>
      </c>
      <c r="J710" t="s">
        <v>19</v>
      </c>
      <c r="K710" s="1">
        <v>38274</v>
      </c>
      <c r="L710" t="s">
        <v>3711</v>
      </c>
      <c r="M710" t="s">
        <v>3712</v>
      </c>
      <c r="N710" t="s">
        <v>6365</v>
      </c>
    </row>
    <row r="711" spans="1:14" x14ac:dyDescent="0.25">
      <c r="A711">
        <v>92888</v>
      </c>
      <c r="B711" t="s">
        <v>3520</v>
      </c>
      <c r="C711">
        <v>6910</v>
      </c>
      <c r="D711" t="str" cm="1">
        <f t="array" ref="D711">_xlfn.TEXTJOIN(",",TRUE,_xlfn.XLOOKUP(_xlfn.TEXTSPLIT(C711,",")*1,_xlfn._TRO_TRAILING(Artists!A:A),_xlfn._TRO_TRAILING(Artists!B:B)))</f>
        <v>Rachel Whiteread</v>
      </c>
      <c r="E711">
        <v>2002</v>
      </c>
      <c r="F711" cm="1">
        <f t="array" ref="F711">_xlfn.REGEXEXTRACT(E711,"\d{4}")*1</f>
        <v>2002</v>
      </c>
      <c r="G711" t="s">
        <v>3714</v>
      </c>
      <c r="H711" t="s">
        <v>3715</v>
      </c>
      <c r="I711" t="s">
        <v>29</v>
      </c>
      <c r="J711" t="s">
        <v>674</v>
      </c>
      <c r="K711" s="1">
        <v>37691</v>
      </c>
      <c r="L711" t="s">
        <v>3716</v>
      </c>
      <c r="M711" t="s">
        <v>3521</v>
      </c>
      <c r="N711" t="s">
        <v>6365</v>
      </c>
    </row>
    <row r="712" spans="1:14" x14ac:dyDescent="0.25">
      <c r="A712">
        <v>92889</v>
      </c>
      <c r="B712" t="s">
        <v>3520</v>
      </c>
      <c r="C712">
        <v>6910</v>
      </c>
      <c r="D712" t="str" cm="1">
        <f t="array" ref="D712">_xlfn.TEXTJOIN(",",TRUE,_xlfn.XLOOKUP(_xlfn.TEXTSPLIT(C712,",")*1,_xlfn._TRO_TRAILING(Artists!A:A),_xlfn._TRO_TRAILING(Artists!B:B)))</f>
        <v>Rachel Whiteread</v>
      </c>
      <c r="E712">
        <v>2002</v>
      </c>
      <c r="F712" cm="1">
        <f t="array" ref="F712">_xlfn.REGEXEXTRACT(E712,"\d{4}")*1</f>
        <v>2002</v>
      </c>
      <c r="G712" t="s">
        <v>3714</v>
      </c>
      <c r="H712" t="s">
        <v>3717</v>
      </c>
      <c r="I712" t="s">
        <v>29</v>
      </c>
      <c r="J712" t="s">
        <v>674</v>
      </c>
      <c r="K712" s="1">
        <v>37691</v>
      </c>
      <c r="L712" t="s">
        <v>3718</v>
      </c>
      <c r="M712" t="s">
        <v>3719</v>
      </c>
      <c r="N712" t="s">
        <v>6365</v>
      </c>
    </row>
    <row r="713" spans="1:14" x14ac:dyDescent="0.25">
      <c r="A713">
        <v>92890</v>
      </c>
      <c r="B713" t="s">
        <v>3520</v>
      </c>
      <c r="C713">
        <v>6910</v>
      </c>
      <c r="D713" t="str" cm="1">
        <f t="array" ref="D713">_xlfn.TEXTJOIN(",",TRUE,_xlfn.XLOOKUP(_xlfn.TEXTSPLIT(C713,",")*1,_xlfn._TRO_TRAILING(Artists!A:A),_xlfn._TRO_TRAILING(Artists!B:B)))</f>
        <v>Rachel Whiteread</v>
      </c>
      <c r="E713">
        <v>2002</v>
      </c>
      <c r="F713" cm="1">
        <f t="array" ref="F713">_xlfn.REGEXEXTRACT(E713,"\d{4}")*1</f>
        <v>2002</v>
      </c>
      <c r="G713" t="s">
        <v>3714</v>
      </c>
      <c r="H713" t="s">
        <v>3717</v>
      </c>
      <c r="I713" t="s">
        <v>29</v>
      </c>
      <c r="J713" t="s">
        <v>674</v>
      </c>
      <c r="K713" s="1">
        <v>37691</v>
      </c>
      <c r="L713" t="s">
        <v>3720</v>
      </c>
      <c r="M713" t="s">
        <v>3721</v>
      </c>
      <c r="N713" t="s">
        <v>6365</v>
      </c>
    </row>
    <row r="714" spans="1:14" x14ac:dyDescent="0.25">
      <c r="A714">
        <v>92891</v>
      </c>
      <c r="B714" t="s">
        <v>3520</v>
      </c>
      <c r="C714">
        <v>6910</v>
      </c>
      <c r="D714" t="str" cm="1">
        <f t="array" ref="D714">_xlfn.TEXTJOIN(",",TRUE,_xlfn.XLOOKUP(_xlfn.TEXTSPLIT(C714,",")*1,_xlfn._TRO_TRAILING(Artists!A:A),_xlfn._TRO_TRAILING(Artists!B:B)))</f>
        <v>Rachel Whiteread</v>
      </c>
      <c r="E714">
        <v>2002</v>
      </c>
      <c r="F714" cm="1">
        <f t="array" ref="F714">_xlfn.REGEXEXTRACT(E714,"\d{4}")*1</f>
        <v>2002</v>
      </c>
      <c r="G714" t="s">
        <v>3714</v>
      </c>
      <c r="H714" t="s">
        <v>3717</v>
      </c>
      <c r="I714" t="s">
        <v>29</v>
      </c>
      <c r="J714" t="s">
        <v>674</v>
      </c>
      <c r="K714" s="1">
        <v>37691</v>
      </c>
      <c r="L714" t="s">
        <v>3722</v>
      </c>
      <c r="M714" t="s">
        <v>3723</v>
      </c>
      <c r="N714" t="s">
        <v>6365</v>
      </c>
    </row>
    <row r="715" spans="1:14" x14ac:dyDescent="0.25">
      <c r="A715">
        <v>92892</v>
      </c>
      <c r="B715" t="s">
        <v>3520</v>
      </c>
      <c r="C715">
        <v>6910</v>
      </c>
      <c r="D715" t="str" cm="1">
        <f t="array" ref="D715">_xlfn.TEXTJOIN(",",TRUE,_xlfn.XLOOKUP(_xlfn.TEXTSPLIT(C715,",")*1,_xlfn._TRO_TRAILING(Artists!A:A),_xlfn._TRO_TRAILING(Artists!B:B)))</f>
        <v>Rachel Whiteread</v>
      </c>
      <c r="E715">
        <v>2002</v>
      </c>
      <c r="F715" cm="1">
        <f t="array" ref="F715">_xlfn.REGEXEXTRACT(E715,"\d{4}")*1</f>
        <v>2002</v>
      </c>
      <c r="G715" t="s">
        <v>3714</v>
      </c>
      <c r="H715" t="s">
        <v>3717</v>
      </c>
      <c r="I715" t="s">
        <v>29</v>
      </c>
      <c r="J715" t="s">
        <v>674</v>
      </c>
      <c r="K715" s="1">
        <v>37691</v>
      </c>
      <c r="L715" t="s">
        <v>3724</v>
      </c>
      <c r="M715" t="s">
        <v>3725</v>
      </c>
      <c r="N715" t="s">
        <v>6365</v>
      </c>
    </row>
    <row r="716" spans="1:14" x14ac:dyDescent="0.25">
      <c r="A716">
        <v>93068</v>
      </c>
      <c r="B716" t="s">
        <v>3726</v>
      </c>
      <c r="C716">
        <v>5933</v>
      </c>
      <c r="D716" t="str" cm="1">
        <f t="array" ref="D716">_xlfn.TEXTJOIN(",",TRUE,_xlfn.XLOOKUP(_xlfn.TEXTSPLIT(C716,",")*1,_xlfn._TRO_TRAILING(Artists!A:A),_xlfn._TRO_TRAILING(Artists!B:B)))</f>
        <v>Rosemarie Trockel</v>
      </c>
      <c r="E716">
        <v>1993</v>
      </c>
      <c r="F716" cm="1">
        <f t="array" ref="F716">_xlfn.REGEXEXTRACT(E716,"\d{4}")*1</f>
        <v>1993</v>
      </c>
      <c r="G716" t="s">
        <v>3727</v>
      </c>
      <c r="H716" t="s">
        <v>3728</v>
      </c>
      <c r="I716" t="s">
        <v>29</v>
      </c>
      <c r="J716" t="s">
        <v>674</v>
      </c>
      <c r="K716" s="1">
        <v>35016</v>
      </c>
      <c r="L716" t="s">
        <v>3729</v>
      </c>
      <c r="M716" t="s">
        <v>3730</v>
      </c>
      <c r="N716" t="s">
        <v>6376</v>
      </c>
    </row>
    <row r="717" spans="1:14" x14ac:dyDescent="0.25">
      <c r="A717">
        <v>93069</v>
      </c>
      <c r="B717" t="s">
        <v>3726</v>
      </c>
      <c r="C717">
        <v>5933</v>
      </c>
      <c r="D717" t="str" cm="1">
        <f t="array" ref="D717">_xlfn.TEXTJOIN(",",TRUE,_xlfn.XLOOKUP(_xlfn.TEXTSPLIT(C717,",")*1,_xlfn._TRO_TRAILING(Artists!A:A),_xlfn._TRO_TRAILING(Artists!B:B)))</f>
        <v>Rosemarie Trockel</v>
      </c>
      <c r="E717">
        <v>1993</v>
      </c>
      <c r="F717" cm="1">
        <f t="array" ref="F717">_xlfn.REGEXEXTRACT(E717,"\d{4}")*1</f>
        <v>1993</v>
      </c>
      <c r="G717" t="s">
        <v>3727</v>
      </c>
      <c r="H717" t="s">
        <v>3731</v>
      </c>
      <c r="I717" t="s">
        <v>29</v>
      </c>
      <c r="J717" t="s">
        <v>674</v>
      </c>
      <c r="K717" s="1">
        <v>35016</v>
      </c>
      <c r="L717" t="s">
        <v>3732</v>
      </c>
      <c r="M717" t="s">
        <v>3733</v>
      </c>
      <c r="N717" t="s">
        <v>6376</v>
      </c>
    </row>
    <row r="718" spans="1:14" x14ac:dyDescent="0.25">
      <c r="A718">
        <v>93070</v>
      </c>
      <c r="B718" t="s">
        <v>3726</v>
      </c>
      <c r="C718">
        <v>5933</v>
      </c>
      <c r="D718" t="str" cm="1">
        <f t="array" ref="D718">_xlfn.TEXTJOIN(",",TRUE,_xlfn.XLOOKUP(_xlfn.TEXTSPLIT(C718,",")*1,_xlfn._TRO_TRAILING(Artists!A:A),_xlfn._TRO_TRAILING(Artists!B:B)))</f>
        <v>Rosemarie Trockel</v>
      </c>
      <c r="E718">
        <v>1993</v>
      </c>
      <c r="F718" cm="1">
        <f t="array" ref="F718">_xlfn.REGEXEXTRACT(E718,"\d{4}")*1</f>
        <v>1993</v>
      </c>
      <c r="G718" t="s">
        <v>3727</v>
      </c>
      <c r="H718" t="s">
        <v>3734</v>
      </c>
      <c r="I718" t="s">
        <v>29</v>
      </c>
      <c r="J718" t="s">
        <v>674</v>
      </c>
      <c r="K718" s="1">
        <v>35016</v>
      </c>
      <c r="L718" t="s">
        <v>3735</v>
      </c>
      <c r="M718" t="s">
        <v>3736</v>
      </c>
      <c r="N718" t="s">
        <v>6376</v>
      </c>
    </row>
    <row r="719" spans="1:14" x14ac:dyDescent="0.25">
      <c r="A719">
        <v>93071</v>
      </c>
      <c r="B719" t="s">
        <v>3726</v>
      </c>
      <c r="C719">
        <v>5933</v>
      </c>
      <c r="D719" t="str" cm="1">
        <f t="array" ref="D719">_xlfn.TEXTJOIN(",",TRUE,_xlfn.XLOOKUP(_xlfn.TEXTSPLIT(C719,",")*1,_xlfn._TRO_TRAILING(Artists!A:A),_xlfn._TRO_TRAILING(Artists!B:B)))</f>
        <v>Rosemarie Trockel</v>
      </c>
      <c r="E719">
        <v>1993</v>
      </c>
      <c r="F719" cm="1">
        <f t="array" ref="F719">_xlfn.REGEXEXTRACT(E719,"\d{4}")*1</f>
        <v>1993</v>
      </c>
      <c r="G719" t="s">
        <v>3727</v>
      </c>
      <c r="H719" t="s">
        <v>3737</v>
      </c>
      <c r="I719" t="s">
        <v>29</v>
      </c>
      <c r="J719" t="s">
        <v>674</v>
      </c>
      <c r="K719" s="1">
        <v>35016</v>
      </c>
      <c r="L719" t="s">
        <v>3738</v>
      </c>
      <c r="M719" t="s">
        <v>3739</v>
      </c>
      <c r="N719" t="s">
        <v>6376</v>
      </c>
    </row>
    <row r="720" spans="1:14" x14ac:dyDescent="0.25">
      <c r="A720">
        <v>93072</v>
      </c>
      <c r="B720" t="s">
        <v>3726</v>
      </c>
      <c r="C720">
        <v>5933</v>
      </c>
      <c r="D720" t="str" cm="1">
        <f t="array" ref="D720">_xlfn.TEXTJOIN(",",TRUE,_xlfn.XLOOKUP(_xlfn.TEXTSPLIT(C720,",")*1,_xlfn._TRO_TRAILING(Artists!A:A),_xlfn._TRO_TRAILING(Artists!B:B)))</f>
        <v>Rosemarie Trockel</v>
      </c>
      <c r="E720">
        <v>1993</v>
      </c>
      <c r="F720" cm="1">
        <f t="array" ref="F720">_xlfn.REGEXEXTRACT(E720,"\d{4}")*1</f>
        <v>1993</v>
      </c>
      <c r="G720" t="s">
        <v>3727</v>
      </c>
      <c r="H720" t="s">
        <v>3740</v>
      </c>
      <c r="I720" t="s">
        <v>29</v>
      </c>
      <c r="J720" t="s">
        <v>674</v>
      </c>
      <c r="K720" s="1">
        <v>35016</v>
      </c>
      <c r="L720" t="s">
        <v>3741</v>
      </c>
      <c r="M720" t="s">
        <v>3742</v>
      </c>
      <c r="N720" t="s">
        <v>6376</v>
      </c>
    </row>
    <row r="721" spans="1:14" x14ac:dyDescent="0.25">
      <c r="A721">
        <v>93073</v>
      </c>
      <c r="B721" t="s">
        <v>3726</v>
      </c>
      <c r="C721">
        <v>5933</v>
      </c>
      <c r="D721" t="str" cm="1">
        <f t="array" ref="D721">_xlfn.TEXTJOIN(",",TRUE,_xlfn.XLOOKUP(_xlfn.TEXTSPLIT(C721,",")*1,_xlfn._TRO_TRAILING(Artists!A:A),_xlfn._TRO_TRAILING(Artists!B:B)))</f>
        <v>Rosemarie Trockel</v>
      </c>
      <c r="E721">
        <v>1993</v>
      </c>
      <c r="F721" cm="1">
        <f t="array" ref="F721">_xlfn.REGEXEXTRACT(E721,"\d{4}")*1</f>
        <v>1993</v>
      </c>
      <c r="G721" t="s">
        <v>3727</v>
      </c>
      <c r="H721" t="s">
        <v>3743</v>
      </c>
      <c r="I721" t="s">
        <v>29</v>
      </c>
      <c r="J721" t="s">
        <v>674</v>
      </c>
      <c r="K721" s="1">
        <v>35016</v>
      </c>
      <c r="L721" t="s">
        <v>3744</v>
      </c>
      <c r="M721" t="s">
        <v>3745</v>
      </c>
      <c r="N721" t="s">
        <v>6376</v>
      </c>
    </row>
    <row r="722" spans="1:14" x14ac:dyDescent="0.25">
      <c r="A722">
        <v>93074</v>
      </c>
      <c r="B722" t="s">
        <v>3726</v>
      </c>
      <c r="C722">
        <v>5933</v>
      </c>
      <c r="D722" t="str" cm="1">
        <f t="array" ref="D722">_xlfn.TEXTJOIN(",",TRUE,_xlfn.XLOOKUP(_xlfn.TEXTSPLIT(C722,",")*1,_xlfn._TRO_TRAILING(Artists!A:A),_xlfn._TRO_TRAILING(Artists!B:B)))</f>
        <v>Rosemarie Trockel</v>
      </c>
      <c r="E722">
        <v>1993</v>
      </c>
      <c r="F722" cm="1">
        <f t="array" ref="F722">_xlfn.REGEXEXTRACT(E722,"\d{4}")*1</f>
        <v>1993</v>
      </c>
      <c r="G722" t="s">
        <v>3727</v>
      </c>
      <c r="H722" t="s">
        <v>3746</v>
      </c>
      <c r="I722" t="s">
        <v>29</v>
      </c>
      <c r="J722" t="s">
        <v>674</v>
      </c>
      <c r="K722" s="1">
        <v>35016</v>
      </c>
      <c r="L722" t="s">
        <v>3747</v>
      </c>
      <c r="M722" t="s">
        <v>3748</v>
      </c>
      <c r="N722" t="s">
        <v>6376</v>
      </c>
    </row>
    <row r="723" spans="1:14" x14ac:dyDescent="0.25">
      <c r="A723">
        <v>93075</v>
      </c>
      <c r="B723" t="s">
        <v>3726</v>
      </c>
      <c r="C723">
        <v>5933</v>
      </c>
      <c r="D723" t="str" cm="1">
        <f t="array" ref="D723">_xlfn.TEXTJOIN(",",TRUE,_xlfn.XLOOKUP(_xlfn.TEXTSPLIT(C723,",")*1,_xlfn._TRO_TRAILING(Artists!A:A),_xlfn._TRO_TRAILING(Artists!B:B)))</f>
        <v>Rosemarie Trockel</v>
      </c>
      <c r="E723">
        <v>1993</v>
      </c>
      <c r="F723" cm="1">
        <f t="array" ref="F723">_xlfn.REGEXEXTRACT(E723,"\d{4}")*1</f>
        <v>1993</v>
      </c>
      <c r="G723" t="s">
        <v>3727</v>
      </c>
      <c r="H723" t="s">
        <v>3749</v>
      </c>
      <c r="I723" t="s">
        <v>29</v>
      </c>
      <c r="J723" t="s">
        <v>674</v>
      </c>
      <c r="K723" s="1">
        <v>35016</v>
      </c>
      <c r="L723" t="s">
        <v>3750</v>
      </c>
      <c r="M723" t="s">
        <v>3751</v>
      </c>
      <c r="N723" t="s">
        <v>6376</v>
      </c>
    </row>
    <row r="724" spans="1:14" x14ac:dyDescent="0.25">
      <c r="A724">
        <v>93443</v>
      </c>
      <c r="B724" t="s">
        <v>3752</v>
      </c>
      <c r="C724">
        <v>1973</v>
      </c>
      <c r="D724" t="str" cm="1">
        <f t="array" ref="D724">_xlfn.TEXTJOIN(",",TRUE,_xlfn.XLOOKUP(_xlfn.TEXTSPLIT(C724,",")*1,_xlfn._TRO_TRAILING(Artists!A:A),_xlfn._TRO_TRAILING(Artists!B:B)))</f>
        <v>Robert Frank</v>
      </c>
      <c r="E724">
        <v>1979</v>
      </c>
      <c r="F724" cm="1">
        <f t="array" ref="F724">_xlfn.REGEXEXTRACT(E724,"\d{4}")*1</f>
        <v>1979</v>
      </c>
      <c r="G724" t="s">
        <v>664</v>
      </c>
      <c r="H724" t="s">
        <v>3753</v>
      </c>
      <c r="I724" t="s">
        <v>806</v>
      </c>
      <c r="J724" t="s">
        <v>1140</v>
      </c>
      <c r="K724" s="1">
        <v>41184</v>
      </c>
      <c r="L724" t="s">
        <v>3754</v>
      </c>
      <c r="M724" t="s">
        <v>3755</v>
      </c>
      <c r="N724" t="s">
        <v>6389</v>
      </c>
    </row>
    <row r="725" spans="1:14" x14ac:dyDescent="0.25">
      <c r="A725">
        <v>93444</v>
      </c>
      <c r="B725" t="s">
        <v>3568</v>
      </c>
      <c r="C725">
        <v>1973</v>
      </c>
      <c r="D725" t="str" cm="1">
        <f t="array" ref="D725">_xlfn.TEXTJOIN(",",TRUE,_xlfn.XLOOKUP(_xlfn.TEXTSPLIT(C725,",")*1,_xlfn._TRO_TRAILING(Artists!A:A),_xlfn._TRO_TRAILING(Artists!B:B)))</f>
        <v>Robert Frank</v>
      </c>
      <c r="E725">
        <v>1977</v>
      </c>
      <c r="F725" cm="1">
        <f t="array" ref="F725">_xlfn.REGEXEXTRACT(E725,"\d{4}")*1</f>
        <v>1977</v>
      </c>
      <c r="G725" t="s">
        <v>664</v>
      </c>
      <c r="H725" t="s">
        <v>3756</v>
      </c>
      <c r="I725" t="s">
        <v>806</v>
      </c>
      <c r="J725" t="s">
        <v>1140</v>
      </c>
      <c r="K725" s="1">
        <v>41184</v>
      </c>
      <c r="L725" t="s">
        <v>3757</v>
      </c>
      <c r="M725" t="s">
        <v>3758</v>
      </c>
      <c r="N725" t="s">
        <v>6389</v>
      </c>
    </row>
    <row r="726" spans="1:14" x14ac:dyDescent="0.25">
      <c r="A726">
        <v>93445</v>
      </c>
      <c r="B726" t="s">
        <v>3568</v>
      </c>
      <c r="C726">
        <v>1973</v>
      </c>
      <c r="D726" t="str" cm="1">
        <f t="array" ref="D726">_xlfn.TEXTJOIN(",",TRUE,_xlfn.XLOOKUP(_xlfn.TEXTSPLIT(C726,",")*1,_xlfn._TRO_TRAILING(Artists!A:A),_xlfn._TRO_TRAILING(Artists!B:B)))</f>
        <v>Robert Frank</v>
      </c>
      <c r="E726">
        <v>1996</v>
      </c>
      <c r="F726" cm="1">
        <f t="array" ref="F726">_xlfn.REGEXEXTRACT(E726,"\d{4}")*1</f>
        <v>1996</v>
      </c>
      <c r="G726" t="s">
        <v>1175</v>
      </c>
      <c r="H726" t="s">
        <v>3759</v>
      </c>
      <c r="I726" t="s">
        <v>806</v>
      </c>
      <c r="J726" t="s">
        <v>1140</v>
      </c>
      <c r="K726" s="1">
        <v>41184</v>
      </c>
      <c r="L726" t="s">
        <v>3760</v>
      </c>
      <c r="M726" t="s">
        <v>3761</v>
      </c>
      <c r="N726" t="s">
        <v>6389</v>
      </c>
    </row>
    <row r="727" spans="1:14" x14ac:dyDescent="0.25">
      <c r="A727">
        <v>93446</v>
      </c>
      <c r="B727" t="s">
        <v>3568</v>
      </c>
      <c r="C727">
        <v>1973</v>
      </c>
      <c r="D727" t="str" cm="1">
        <f t="array" ref="D727">_xlfn.TEXTJOIN(",",TRUE,_xlfn.XLOOKUP(_xlfn.TEXTSPLIT(C727,",")*1,_xlfn._TRO_TRAILING(Artists!A:A),_xlfn._TRO_TRAILING(Artists!B:B)))</f>
        <v>Robert Frank</v>
      </c>
      <c r="E727" t="s">
        <v>3351</v>
      </c>
      <c r="F727" cm="1">
        <f t="array" ref="F727">_xlfn.REGEXEXTRACT(E727,"\d{4}")*1</f>
        <v>1994</v>
      </c>
      <c r="G727" t="s">
        <v>664</v>
      </c>
      <c r="H727" t="s">
        <v>3762</v>
      </c>
      <c r="I727" t="s">
        <v>806</v>
      </c>
      <c r="J727" t="s">
        <v>1140</v>
      </c>
      <c r="K727" s="1">
        <v>41184</v>
      </c>
      <c r="L727" t="s">
        <v>3763</v>
      </c>
      <c r="M727" t="s">
        <v>3764</v>
      </c>
      <c r="N727" t="s">
        <v>6389</v>
      </c>
    </row>
    <row r="728" spans="1:14" x14ac:dyDescent="0.25">
      <c r="A728">
        <v>93448</v>
      </c>
      <c r="B728" t="s">
        <v>3765</v>
      </c>
      <c r="C728">
        <v>1973</v>
      </c>
      <c r="D728" t="str" cm="1">
        <f t="array" ref="D728">_xlfn.TEXTJOIN(",",TRUE,_xlfn.XLOOKUP(_xlfn.TEXTSPLIT(C728,",")*1,_xlfn._TRO_TRAILING(Artists!A:A),_xlfn._TRO_TRAILING(Artists!B:B)))</f>
        <v>Robert Frank</v>
      </c>
      <c r="E728" s="2">
        <v>1991</v>
      </c>
      <c r="F728" cm="1">
        <f t="array" ref="F728">_xlfn.REGEXEXTRACT(E728,"\d{4}")*1</f>
        <v>1991</v>
      </c>
      <c r="G728" t="s">
        <v>664</v>
      </c>
      <c r="H728" t="s">
        <v>3766</v>
      </c>
      <c r="I728" t="s">
        <v>806</v>
      </c>
      <c r="J728" t="s">
        <v>1140</v>
      </c>
      <c r="K728" s="1">
        <v>41184</v>
      </c>
      <c r="L728" t="s">
        <v>3767</v>
      </c>
      <c r="M728" t="s">
        <v>3768</v>
      </c>
      <c r="N728" t="s">
        <v>6389</v>
      </c>
    </row>
    <row r="729" spans="1:14" x14ac:dyDescent="0.25">
      <c r="A729">
        <v>94278</v>
      </c>
      <c r="B729" t="s">
        <v>3769</v>
      </c>
      <c r="C729">
        <v>3528</v>
      </c>
      <c r="D729" t="str" cm="1">
        <f t="array" ref="D729">_xlfn.TEXTJOIN(",",TRUE,_xlfn.XLOOKUP(_xlfn.TEXTSPLIT(C729,",")*1,_xlfn._TRO_TRAILING(Artists!A:A),_xlfn._TRO_TRAILING(Artists!B:B)))</f>
        <v>Sol LeWitt</v>
      </c>
      <c r="E729">
        <v>2004</v>
      </c>
      <c r="F729" cm="1">
        <f t="array" ref="F729">_xlfn.REGEXEXTRACT(E729,"\d{4}")*1</f>
        <v>2004</v>
      </c>
      <c r="G729" t="s">
        <v>3770</v>
      </c>
      <c r="H729" t="s">
        <v>3771</v>
      </c>
      <c r="I729" t="s">
        <v>726</v>
      </c>
      <c r="J729" t="s">
        <v>879</v>
      </c>
      <c r="K729" s="1">
        <v>38219</v>
      </c>
      <c r="L729" t="s">
        <v>3772</v>
      </c>
      <c r="M729" t="s">
        <v>3773</v>
      </c>
      <c r="N729" t="s">
        <v>6365</v>
      </c>
    </row>
    <row r="730" spans="1:14" x14ac:dyDescent="0.25">
      <c r="A730">
        <v>95069</v>
      </c>
      <c r="B730" t="s">
        <v>3780</v>
      </c>
      <c r="C730">
        <v>2191</v>
      </c>
      <c r="D730" t="str" cm="1">
        <f t="array" ref="D730">_xlfn.TEXTJOIN(",",TRUE,_xlfn.XLOOKUP(_xlfn.TEXTSPLIT(C730,",")*1,_xlfn._TRO_TRAILING(Artists!A:A),_xlfn._TRO_TRAILING(Artists!B:B)))</f>
        <v>Albert Gleizes</v>
      </c>
      <c r="E730">
        <v>1914</v>
      </c>
      <c r="F730" cm="1">
        <f t="array" ref="F730">_xlfn.REGEXEXTRACT(E730,"\d{4}")*1</f>
        <v>1914</v>
      </c>
      <c r="G730" t="s">
        <v>1034</v>
      </c>
      <c r="H730" t="s">
        <v>3781</v>
      </c>
      <c r="I730" t="s">
        <v>878</v>
      </c>
      <c r="J730" t="s">
        <v>879</v>
      </c>
      <c r="K730" s="1">
        <v>39855</v>
      </c>
      <c r="L730" t="s">
        <v>3782</v>
      </c>
      <c r="M730" t="s">
        <v>3783</v>
      </c>
      <c r="N730" t="s">
        <v>6401</v>
      </c>
    </row>
    <row r="731" spans="1:14" x14ac:dyDescent="0.25">
      <c r="A731">
        <v>95190</v>
      </c>
      <c r="B731" t="s">
        <v>3784</v>
      </c>
      <c r="C731">
        <v>412</v>
      </c>
      <c r="D731" t="str" cm="1">
        <f t="array" ref="D731">_xlfn.TEXTJOIN(",",TRUE,_xlfn.XLOOKUP(_xlfn.TEXTSPLIT(C731,",")*1,_xlfn._TRO_TRAILING(Artists!A:A),_xlfn._TRO_TRAILING(Artists!B:B)))</f>
        <v>Romare Bearden</v>
      </c>
      <c r="E731">
        <v>1980</v>
      </c>
      <c r="F731" cm="1">
        <f t="array" ref="F731">_xlfn.REGEXEXTRACT(E731,"\d{4}")*1</f>
        <v>1980</v>
      </c>
      <c r="G731" t="s">
        <v>583</v>
      </c>
      <c r="H731" t="s">
        <v>3785</v>
      </c>
      <c r="I731" t="s">
        <v>29</v>
      </c>
      <c r="J731" t="s">
        <v>674</v>
      </c>
      <c r="K731" s="1">
        <v>38419</v>
      </c>
      <c r="L731" t="s">
        <v>3786</v>
      </c>
      <c r="M731" t="s">
        <v>3787</v>
      </c>
      <c r="N731" t="s">
        <v>6383</v>
      </c>
    </row>
    <row r="732" spans="1:14" x14ac:dyDescent="0.25">
      <c r="A732">
        <v>95227</v>
      </c>
      <c r="B732" t="s">
        <v>3788</v>
      </c>
      <c r="C732">
        <v>3758</v>
      </c>
      <c r="D732" t="str" cm="1">
        <f t="array" ref="D732">_xlfn.TEXTJOIN(",",TRUE,_xlfn.XLOOKUP(_xlfn.TEXTSPLIT(C732,",")*1,_xlfn._TRO_TRAILING(Artists!A:A),_xlfn._TRO_TRAILING(Artists!B:B)))</f>
        <v>Brice Marden</v>
      </c>
      <c r="E732" t="s">
        <v>436</v>
      </c>
      <c r="F732" cm="1">
        <f t="array" ref="F732">_xlfn.REGEXEXTRACT(E732,"\d{4}")*1</f>
        <v>1964</v>
      </c>
      <c r="G732" t="s">
        <v>1034</v>
      </c>
      <c r="H732" t="s">
        <v>3789</v>
      </c>
      <c r="I732" t="s">
        <v>878</v>
      </c>
      <c r="J732" t="s">
        <v>879</v>
      </c>
      <c r="K732" s="1">
        <v>38698</v>
      </c>
      <c r="L732" t="s">
        <v>3790</v>
      </c>
      <c r="M732" t="s">
        <v>3791</v>
      </c>
      <c r="N732" t="s">
        <v>6380</v>
      </c>
    </row>
    <row r="733" spans="1:14" x14ac:dyDescent="0.25">
      <c r="A733">
        <v>95259</v>
      </c>
      <c r="B733" t="s">
        <v>3792</v>
      </c>
      <c r="C733">
        <v>3758</v>
      </c>
      <c r="D733" t="str" cm="1">
        <f t="array" ref="D733">_xlfn.TEXTJOIN(",",TRUE,_xlfn.XLOOKUP(_xlfn.TEXTSPLIT(C733,",")*1,_xlfn._TRO_TRAILING(Artists!A:A),_xlfn._TRO_TRAILING(Artists!B:B)))</f>
        <v>Brice Marden</v>
      </c>
      <c r="E733" t="s">
        <v>1331</v>
      </c>
      <c r="F733" cm="1">
        <f t="array" ref="F733">_xlfn.REGEXEXTRACT(E733,"\d{4}")*1</f>
        <v>1988</v>
      </c>
      <c r="G733" t="s">
        <v>2360</v>
      </c>
      <c r="H733" t="s">
        <v>3793</v>
      </c>
      <c r="I733" t="s">
        <v>878</v>
      </c>
      <c r="J733" t="s">
        <v>879</v>
      </c>
      <c r="K733" s="1">
        <v>38698</v>
      </c>
      <c r="L733" t="s">
        <v>3794</v>
      </c>
      <c r="M733" t="s">
        <v>3795</v>
      </c>
      <c r="N733" t="s">
        <v>6380</v>
      </c>
    </row>
    <row r="734" spans="1:14" x14ac:dyDescent="0.25">
      <c r="A734">
        <v>95442</v>
      </c>
      <c r="B734" t="s">
        <v>3797</v>
      </c>
      <c r="C734">
        <v>281</v>
      </c>
      <c r="D734" t="str" cm="1">
        <f t="array" ref="D734">_xlfn.TEXTJOIN(",",TRUE,_xlfn.XLOOKUP(_xlfn.TEXTSPLIT(C734,",")*1,_xlfn._TRO_TRAILING(Artists!A:A),_xlfn._TRO_TRAILING(Artists!B:B)))</f>
        <v>Jo Baer</v>
      </c>
      <c r="E734">
        <v>1961</v>
      </c>
      <c r="F734" cm="1">
        <f t="array" ref="F734">_xlfn.REGEXEXTRACT(E734,"\d{4}")*1</f>
        <v>1961</v>
      </c>
      <c r="G734" t="s">
        <v>472</v>
      </c>
      <c r="H734" t="s">
        <v>3798</v>
      </c>
      <c r="I734" t="s">
        <v>675</v>
      </c>
      <c r="J734" t="s">
        <v>674</v>
      </c>
      <c r="K734" s="1">
        <v>38482</v>
      </c>
      <c r="L734" t="s">
        <v>3799</v>
      </c>
      <c r="M734" t="s">
        <v>3800</v>
      </c>
      <c r="N734" t="s">
        <v>6376</v>
      </c>
    </row>
    <row r="735" spans="1:14" x14ac:dyDescent="0.25">
      <c r="A735">
        <v>95551</v>
      </c>
      <c r="B735" t="s">
        <v>3803</v>
      </c>
      <c r="C735">
        <v>28566</v>
      </c>
      <c r="D735" t="str" cm="1">
        <f t="array" ref="D735">_xlfn.TEXTJOIN(",",TRUE,_xlfn.XLOOKUP(_xlfn.TEXTSPLIT(C735,",")*1,_xlfn._TRO_TRAILING(Artists!A:A),_xlfn._TRO_TRAILING(Artists!B:B)))</f>
        <v>Pearl Blauvelt</v>
      </c>
      <c r="E735" t="s">
        <v>137</v>
      </c>
      <c r="F735" cm="1">
        <f t="array" ref="F735">_xlfn.REGEXEXTRACT(E735,"\d{4}")*1</f>
        <v>1940</v>
      </c>
      <c r="G735" t="s">
        <v>3805</v>
      </c>
      <c r="H735" t="s">
        <v>3806</v>
      </c>
      <c r="I735" t="s">
        <v>675</v>
      </c>
      <c r="J735" t="s">
        <v>674</v>
      </c>
      <c r="K735" s="1">
        <v>38482</v>
      </c>
      <c r="L735" t="s">
        <v>3807</v>
      </c>
      <c r="M735" t="s">
        <v>3808</v>
      </c>
      <c r="N735" t="s">
        <v>6370</v>
      </c>
    </row>
    <row r="736" spans="1:14" x14ac:dyDescent="0.25">
      <c r="A736">
        <v>95555</v>
      </c>
      <c r="B736" t="s">
        <v>3810</v>
      </c>
      <c r="C736">
        <v>28566</v>
      </c>
      <c r="D736" t="str" cm="1">
        <f t="array" ref="D736">_xlfn.TEXTJOIN(",",TRUE,_xlfn.XLOOKUP(_xlfn.TEXTSPLIT(C736,",")*1,_xlfn._TRO_TRAILING(Artists!A:A),_xlfn._TRO_TRAILING(Artists!B:B)))</f>
        <v>Pearl Blauvelt</v>
      </c>
      <c r="E736" t="s">
        <v>137</v>
      </c>
      <c r="F736" cm="1">
        <f t="array" ref="F736">_xlfn.REGEXEXTRACT(E736,"\d{4}")*1</f>
        <v>1940</v>
      </c>
      <c r="G736" t="s">
        <v>3809</v>
      </c>
      <c r="H736" t="s">
        <v>3802</v>
      </c>
      <c r="I736" t="s">
        <v>675</v>
      </c>
      <c r="J736" t="s">
        <v>674</v>
      </c>
      <c r="K736" s="1">
        <v>38482</v>
      </c>
      <c r="L736" t="s">
        <v>3811</v>
      </c>
      <c r="M736" t="s">
        <v>3812</v>
      </c>
      <c r="N736" t="s">
        <v>6370</v>
      </c>
    </row>
    <row r="737" spans="1:14" x14ac:dyDescent="0.25">
      <c r="A737">
        <v>96473</v>
      </c>
      <c r="B737" t="s">
        <v>3814</v>
      </c>
      <c r="C737">
        <v>26740</v>
      </c>
      <c r="D737" t="str" cm="1">
        <f t="array" ref="D737">_xlfn.TEXTJOIN(",",TRUE,_xlfn.XLOOKUP(_xlfn.TEXTSPLIT(C737,",")*1,_xlfn._TRO_TRAILING(Artists!A:A),_xlfn._TRO_TRAILING(Artists!B:B)))</f>
        <v>Dinh Q. Lê</v>
      </c>
      <c r="E737">
        <v>2003</v>
      </c>
      <c r="F737" cm="1">
        <f t="array" ref="F737">_xlfn.REGEXEXTRACT(E737,"\d{4}")*1</f>
        <v>2003</v>
      </c>
      <c r="G737" t="s">
        <v>3815</v>
      </c>
      <c r="H737" t="s">
        <v>3816</v>
      </c>
      <c r="I737" t="s">
        <v>675</v>
      </c>
      <c r="J737" t="s">
        <v>674</v>
      </c>
      <c r="K737" s="1">
        <v>38482</v>
      </c>
      <c r="L737" t="s">
        <v>3817</v>
      </c>
      <c r="M737" t="s">
        <v>3818</v>
      </c>
      <c r="N737" t="s">
        <v>6418</v>
      </c>
    </row>
    <row r="738" spans="1:14" x14ac:dyDescent="0.25">
      <c r="A738">
        <v>96565</v>
      </c>
      <c r="B738" t="s">
        <v>3819</v>
      </c>
      <c r="C738">
        <v>3615</v>
      </c>
      <c r="D738" t="str" cm="1">
        <f t="array" ref="D738">_xlfn.TEXTJOIN(",",TRUE,_xlfn.XLOOKUP(_xlfn.TEXTSPLIT(C738,",")*1,_xlfn._TRO_TRAILING(Artists!A:A),_xlfn._TRO_TRAILING(Artists!B:B)))</f>
        <v>Lee Lozano</v>
      </c>
      <c r="E738" t="s">
        <v>104</v>
      </c>
      <c r="F738" cm="1">
        <f t="array" ref="F738">_xlfn.REGEXEXTRACT(E738,"\d{4}")*1</f>
        <v>1963</v>
      </c>
      <c r="G738" t="s">
        <v>861</v>
      </c>
      <c r="H738" t="s">
        <v>849</v>
      </c>
      <c r="I738" t="s">
        <v>675</v>
      </c>
      <c r="J738" t="s">
        <v>674</v>
      </c>
      <c r="K738" s="1">
        <v>38482</v>
      </c>
      <c r="L738" t="s">
        <v>3820</v>
      </c>
      <c r="M738" t="s">
        <v>3821</v>
      </c>
      <c r="N738" t="s">
        <v>6376</v>
      </c>
    </row>
    <row r="739" spans="1:14" x14ac:dyDescent="0.25">
      <c r="A739">
        <v>97763</v>
      </c>
      <c r="B739" t="s">
        <v>51</v>
      </c>
      <c r="C739">
        <v>18539</v>
      </c>
      <c r="D739" t="str" cm="1">
        <f t="array" ref="D739">_xlfn.TEXTJOIN(",",TRUE,_xlfn.XLOOKUP(_xlfn.TEXTSPLIT(C739,",")*1,_xlfn._TRO_TRAILING(Artists!A:A),_xlfn._TRO_TRAILING(Artists!B:B)))</f>
        <v>Hannah Wilke</v>
      </c>
      <c r="E739">
        <v>1967</v>
      </c>
      <c r="F739" cm="1">
        <f t="array" ref="F739">_xlfn.REGEXEXTRACT(E739,"\d{4}")*1</f>
        <v>1967</v>
      </c>
      <c r="G739" t="s">
        <v>743</v>
      </c>
      <c r="H739" t="s">
        <v>880</v>
      </c>
      <c r="I739" t="s">
        <v>675</v>
      </c>
      <c r="J739" t="s">
        <v>674</v>
      </c>
      <c r="K739" s="1">
        <v>38482</v>
      </c>
      <c r="L739" t="s">
        <v>3825</v>
      </c>
      <c r="M739" t="s">
        <v>3826</v>
      </c>
      <c r="N739" t="s">
        <v>6376</v>
      </c>
    </row>
    <row r="740" spans="1:14" x14ac:dyDescent="0.25">
      <c r="A740">
        <v>97765</v>
      </c>
      <c r="B740" t="s">
        <v>51</v>
      </c>
      <c r="C740">
        <v>18539</v>
      </c>
      <c r="D740" t="str" cm="1">
        <f t="array" ref="D740">_xlfn.TEXTJOIN(",",TRUE,_xlfn.XLOOKUP(_xlfn.TEXTSPLIT(C740,",")*1,_xlfn._TRO_TRAILING(Artists!A:A),_xlfn._TRO_TRAILING(Artists!B:B)))</f>
        <v>Hannah Wilke</v>
      </c>
      <c r="E740">
        <v>1969</v>
      </c>
      <c r="F740" cm="1">
        <f t="array" ref="F740">_xlfn.REGEXEXTRACT(E740,"\d{4}")*1</f>
        <v>1969</v>
      </c>
      <c r="G740" t="s">
        <v>3827</v>
      </c>
      <c r="H740" t="s">
        <v>943</v>
      </c>
      <c r="I740" t="s">
        <v>675</v>
      </c>
      <c r="J740" t="s">
        <v>674</v>
      </c>
      <c r="K740" s="1">
        <v>38482</v>
      </c>
      <c r="L740" t="s">
        <v>3828</v>
      </c>
      <c r="M740" t="s">
        <v>3829</v>
      </c>
      <c r="N740" t="s">
        <v>6376</v>
      </c>
    </row>
    <row r="741" spans="1:14" x14ac:dyDescent="0.25">
      <c r="A741">
        <v>98633</v>
      </c>
      <c r="B741" t="s">
        <v>3831</v>
      </c>
      <c r="C741">
        <v>4929</v>
      </c>
      <c r="D741" t="str" cm="1">
        <f t="array" ref="D741">_xlfn.TEXTJOIN(",",TRUE,_xlfn.XLOOKUP(_xlfn.TEXTSPLIT(C741,",")*1,_xlfn._TRO_TRAILING(Artists!A:A),_xlfn._TRO_TRAILING(Artists!B:B)))</f>
        <v>Bridget Riley</v>
      </c>
      <c r="E741" t="s">
        <v>3832</v>
      </c>
      <c r="F741" cm="1">
        <f t="array" ref="F741">_xlfn.REGEXEXTRACT(E741,"\d{4}")*1</f>
        <v>1983</v>
      </c>
      <c r="G741" t="s">
        <v>2360</v>
      </c>
      <c r="H741" t="s">
        <v>3833</v>
      </c>
      <c r="I741" t="s">
        <v>878</v>
      </c>
      <c r="J741" t="s">
        <v>879</v>
      </c>
      <c r="K741" s="1">
        <v>38481</v>
      </c>
      <c r="L741" t="s">
        <v>3834</v>
      </c>
      <c r="M741" t="s">
        <v>3835</v>
      </c>
      <c r="N741" t="s">
        <v>6409</v>
      </c>
    </row>
    <row r="742" spans="1:14" x14ac:dyDescent="0.25">
      <c r="A742">
        <v>98638</v>
      </c>
      <c r="B742" t="s">
        <v>3836</v>
      </c>
      <c r="C742">
        <v>2623</v>
      </c>
      <c r="D742" t="str" cm="1">
        <f t="array" ref="D742">_xlfn.TEXTJOIN(",",TRUE,_xlfn.XLOOKUP(_xlfn.TEXTSPLIT(C742,",")*1,_xlfn._TRO_TRAILING(Artists!A:A),_xlfn._TRO_TRAILING(Artists!B:B)))</f>
        <v>Eva Hesse</v>
      </c>
      <c r="E742">
        <v>1965</v>
      </c>
      <c r="F742" cm="1">
        <f t="array" ref="F742">_xlfn.REGEXEXTRACT(E742,"\d{4}")*1</f>
        <v>1965</v>
      </c>
      <c r="G742" t="s">
        <v>3837</v>
      </c>
      <c r="H742" t="s">
        <v>3838</v>
      </c>
      <c r="I742" t="s">
        <v>878</v>
      </c>
      <c r="J742" t="s">
        <v>879</v>
      </c>
      <c r="K742" s="1">
        <v>38481</v>
      </c>
      <c r="L742" t="s">
        <v>3839</v>
      </c>
      <c r="M742" t="s">
        <v>3840</v>
      </c>
      <c r="N742" t="s">
        <v>6376</v>
      </c>
    </row>
    <row r="743" spans="1:14" x14ac:dyDescent="0.25">
      <c r="A743">
        <v>98957</v>
      </c>
      <c r="B743" t="s">
        <v>3841</v>
      </c>
      <c r="C743" t="s">
        <v>3437</v>
      </c>
      <c r="D743" t="str" cm="1">
        <f t="array" ref="D743">_xlfn.TEXTJOIN(",",TRUE,_xlfn.XLOOKUP(_xlfn.TEXTSPLIT(C743,",")*1,_xlfn._TRO_TRAILING(Artists!A:A),_xlfn._TRO_TRAILING(Artists!B:B)))</f>
        <v>Ronan Bouroullec,Erwan Bouroullec</v>
      </c>
      <c r="E743">
        <v>2002</v>
      </c>
      <c r="F743" cm="1">
        <f t="array" ref="F743">_xlfn.REGEXEXTRACT(E743,"\d{4}")*1</f>
        <v>2002</v>
      </c>
      <c r="G743" t="s">
        <v>79</v>
      </c>
      <c r="H743" t="s">
        <v>3842</v>
      </c>
      <c r="I743" t="s">
        <v>95</v>
      </c>
      <c r="J743" t="s">
        <v>19</v>
      </c>
      <c r="K743" s="1">
        <v>38643</v>
      </c>
      <c r="L743" t="s">
        <v>3843</v>
      </c>
      <c r="M743" t="s">
        <v>3844</v>
      </c>
      <c r="N743" t="s">
        <v>6362</v>
      </c>
    </row>
    <row r="744" spans="1:14" x14ac:dyDescent="0.25">
      <c r="A744">
        <v>100188</v>
      </c>
      <c r="B744" t="s">
        <v>3846</v>
      </c>
      <c r="C744">
        <v>19</v>
      </c>
      <c r="D744" t="str" cm="1">
        <f t="array" ref="D744">_xlfn.TEXTJOIN(",",TRUE,_xlfn.XLOOKUP(_xlfn.TEXTSPLIT(C744,",")*1,_xlfn._TRO_TRAILING(Artists!A:A),_xlfn._TRO_TRAILING(Artists!B:B)))</f>
        <v>Richard Artschwager</v>
      </c>
      <c r="E744">
        <v>1974</v>
      </c>
      <c r="F744" cm="1">
        <f t="array" ref="F744">_xlfn.REGEXEXTRACT(E744,"\d{4}")*1</f>
        <v>1974</v>
      </c>
      <c r="G744" t="s">
        <v>3847</v>
      </c>
      <c r="H744" t="s">
        <v>3848</v>
      </c>
      <c r="I744" t="s">
        <v>878</v>
      </c>
      <c r="J744" t="s">
        <v>879</v>
      </c>
      <c r="K744" s="1">
        <v>38631</v>
      </c>
      <c r="L744" t="s">
        <v>3849</v>
      </c>
      <c r="M744" t="s">
        <v>3850</v>
      </c>
      <c r="N744" t="s">
        <v>6413</v>
      </c>
    </row>
    <row r="745" spans="1:14" x14ac:dyDescent="0.25">
      <c r="A745">
        <v>102385</v>
      </c>
      <c r="B745" t="s">
        <v>3852</v>
      </c>
      <c r="C745">
        <v>744</v>
      </c>
      <c r="D745" t="str" cm="1">
        <f t="array" ref="D745">_xlfn.TEXTJOIN(",",TRUE,_xlfn.XLOOKUP(_xlfn.TEXTSPLIT(C745,",")*1,_xlfn._TRO_TRAILING(Artists!A:A),_xlfn._TRO_TRAILING(Artists!B:B)))</f>
        <v>Georges Braque</v>
      </c>
      <c r="E745" t="s">
        <v>3853</v>
      </c>
      <c r="F745" cm="1">
        <f t="array" ref="F745">_xlfn.REGEXEXTRACT(E745,"\d{4}")*1</f>
        <v>1910</v>
      </c>
      <c r="G745" t="s">
        <v>1034</v>
      </c>
      <c r="H745" t="s">
        <v>3854</v>
      </c>
      <c r="I745" t="s">
        <v>878</v>
      </c>
      <c r="J745" t="s">
        <v>879</v>
      </c>
      <c r="K745" s="1">
        <v>38845</v>
      </c>
      <c r="L745" t="s">
        <v>3855</v>
      </c>
      <c r="M745" t="s">
        <v>3856</v>
      </c>
      <c r="N745" t="s">
        <v>6401</v>
      </c>
    </row>
    <row r="746" spans="1:14" x14ac:dyDescent="0.25">
      <c r="A746">
        <v>102580</v>
      </c>
      <c r="B746" t="s">
        <v>3857</v>
      </c>
      <c r="C746">
        <v>28724</v>
      </c>
      <c r="D746" t="str" cm="1">
        <f t="array" ref="D746">_xlfn.TEXTJOIN(",",TRUE,_xlfn.XLOOKUP(_xlfn.TEXTSPLIT(C746,",")*1,_xlfn._TRO_TRAILING(Artists!A:A),_xlfn._TRO_TRAILING(Artists!B:B)))</f>
        <v>Jonathan Monk</v>
      </c>
      <c r="E746">
        <v>2002</v>
      </c>
      <c r="F746" cm="1">
        <f t="array" ref="F746">_xlfn.REGEXEXTRACT(E746,"\d{4}")*1</f>
        <v>2002</v>
      </c>
      <c r="G746" t="s">
        <v>3858</v>
      </c>
      <c r="H746" t="s">
        <v>3859</v>
      </c>
      <c r="I746" t="s">
        <v>806</v>
      </c>
      <c r="J746" t="s">
        <v>1140</v>
      </c>
      <c r="K746" s="1">
        <v>39002</v>
      </c>
      <c r="L746" t="s">
        <v>3860</v>
      </c>
      <c r="M746" t="s">
        <v>3861</v>
      </c>
      <c r="N746" t="s">
        <v>6393</v>
      </c>
    </row>
    <row r="747" spans="1:14" x14ac:dyDescent="0.25">
      <c r="A747">
        <v>102758</v>
      </c>
      <c r="B747" t="s">
        <v>3863</v>
      </c>
      <c r="C747">
        <v>4278</v>
      </c>
      <c r="D747" t="str" cm="1">
        <f t="array" ref="D747">_xlfn.TEXTJOIN(",",TRUE,_xlfn.XLOOKUP(_xlfn.TEXTSPLIT(C747,",")*1,_xlfn._TRO_TRAILING(Artists!A:A),_xlfn._TRO_TRAILING(Artists!B:B)))</f>
        <v>Louise Nevelson</v>
      </c>
      <c r="E747">
        <v>1970</v>
      </c>
      <c r="F747" cm="1">
        <f t="array" ref="F747">_xlfn.REGEXEXTRACT(E747,"\d{4}")*1</f>
        <v>1970</v>
      </c>
      <c r="G747" t="s">
        <v>3862</v>
      </c>
      <c r="H747" t="s">
        <v>3864</v>
      </c>
      <c r="I747" t="s">
        <v>29</v>
      </c>
      <c r="J747" t="s">
        <v>674</v>
      </c>
      <c r="K747" s="1">
        <v>38869</v>
      </c>
      <c r="L747" t="s">
        <v>3865</v>
      </c>
      <c r="M747" t="s">
        <v>3866</v>
      </c>
      <c r="N747" t="s">
        <v>6398</v>
      </c>
    </row>
    <row r="748" spans="1:14" x14ac:dyDescent="0.25">
      <c r="A748">
        <v>102962</v>
      </c>
      <c r="B748" t="s">
        <v>3868</v>
      </c>
      <c r="C748">
        <v>8149</v>
      </c>
      <c r="D748" t="str" cm="1">
        <f t="array" ref="D748">_xlfn.TEXTJOIN(",",TRUE,_xlfn.XLOOKUP(_xlfn.TEXTSPLIT(C748,",")*1,_xlfn._TRO_TRAILING(Artists!A:A),_xlfn._TRO_TRAILING(Artists!B:B)))</f>
        <v>Konstantin Grcic</v>
      </c>
      <c r="E748">
        <v>2003</v>
      </c>
      <c r="F748" cm="1">
        <f t="array" ref="F748">_xlfn.REGEXEXTRACT(E748,"\d{4}")*1</f>
        <v>2003</v>
      </c>
      <c r="G748" t="s">
        <v>129</v>
      </c>
      <c r="H748" t="s">
        <v>3869</v>
      </c>
      <c r="I748" t="s">
        <v>95</v>
      </c>
      <c r="J748" t="s">
        <v>19</v>
      </c>
      <c r="K748" s="1">
        <v>38993</v>
      </c>
      <c r="L748" t="s">
        <v>3870</v>
      </c>
      <c r="M748" t="s">
        <v>3871</v>
      </c>
      <c r="N748" t="s">
        <v>6362</v>
      </c>
    </row>
    <row r="749" spans="1:14" x14ac:dyDescent="0.25">
      <c r="A749">
        <v>104289</v>
      </c>
      <c r="B749" t="s">
        <v>3874</v>
      </c>
      <c r="C749">
        <v>6282</v>
      </c>
      <c r="D749" t="str" cm="1">
        <f t="array" ref="D749">_xlfn.TEXTJOIN(",",TRUE,_xlfn.XLOOKUP(_xlfn.TEXTSPLIT(C749,",")*1,_xlfn._TRO_TRAILING(Artists!A:A),_xlfn._TRO_TRAILING(Artists!B:B)))</f>
        <v>Hans Wegner</v>
      </c>
      <c r="E749" t="s">
        <v>135</v>
      </c>
      <c r="F749" cm="1">
        <f t="array" ref="F749">_xlfn.REGEXEXTRACT(E749,"\d{4}")*1</f>
        <v>1950</v>
      </c>
      <c r="G749" t="s">
        <v>3875</v>
      </c>
      <c r="H749" t="s">
        <v>3876</v>
      </c>
      <c r="I749" t="s">
        <v>95</v>
      </c>
      <c r="J749" t="s">
        <v>19</v>
      </c>
      <c r="K749" s="1">
        <v>38993</v>
      </c>
      <c r="L749" t="s">
        <v>3877</v>
      </c>
      <c r="M749" t="s">
        <v>3878</v>
      </c>
      <c r="N749" t="s">
        <v>6362</v>
      </c>
    </row>
    <row r="750" spans="1:14" x14ac:dyDescent="0.25">
      <c r="A750">
        <v>104293</v>
      </c>
      <c r="B750" t="s">
        <v>3879</v>
      </c>
      <c r="C750">
        <v>740</v>
      </c>
      <c r="D750" t="str" cm="1">
        <f t="array" ref="D750">_xlfn.TEXTJOIN(",",TRUE,_xlfn.XLOOKUP(_xlfn.TEXTSPLIT(C750,",")*1,_xlfn._TRO_TRAILING(Artists!A:A),_xlfn._TRO_TRAILING(Artists!B:B)))</f>
        <v>Bill Brandt</v>
      </c>
      <c r="E750">
        <v>1936</v>
      </c>
      <c r="F750" cm="1">
        <f t="array" ref="F750">_xlfn.REGEXEXTRACT(E750,"\d{4}")*1</f>
        <v>1936</v>
      </c>
      <c r="G750" t="s">
        <v>664</v>
      </c>
      <c r="H750" t="s">
        <v>3880</v>
      </c>
      <c r="I750" t="s">
        <v>806</v>
      </c>
      <c r="J750" t="s">
        <v>1140</v>
      </c>
      <c r="K750" s="1">
        <v>39002</v>
      </c>
      <c r="L750" t="s">
        <v>3881</v>
      </c>
      <c r="M750" t="s">
        <v>3882</v>
      </c>
      <c r="N750" t="s">
        <v>6386</v>
      </c>
    </row>
    <row r="751" spans="1:14" x14ac:dyDescent="0.25">
      <c r="A751">
        <v>104957</v>
      </c>
      <c r="B751" t="s">
        <v>3883</v>
      </c>
      <c r="C751">
        <v>31420</v>
      </c>
      <c r="D751" t="str" cm="1">
        <f t="array" ref="D751">_xlfn.TEXTJOIN(",",TRUE,_xlfn.XLOOKUP(_xlfn.TEXTSPLIT(C751,",")*1,_xlfn._TRO_TRAILING(Artists!A:A),_xlfn._TRO_TRAILING(Artists!B:B)))</f>
        <v>Nancy Grossman</v>
      </c>
      <c r="E751">
        <v>1971</v>
      </c>
      <c r="F751" cm="1">
        <f t="array" ref="F751">_xlfn.REGEXEXTRACT(E751,"\d{4}")*1</f>
        <v>1971</v>
      </c>
      <c r="G751" t="s">
        <v>3885</v>
      </c>
      <c r="H751" t="s">
        <v>3823</v>
      </c>
      <c r="I751" t="s">
        <v>675</v>
      </c>
      <c r="J751" t="s">
        <v>674</v>
      </c>
      <c r="K751" s="1">
        <v>39000</v>
      </c>
      <c r="L751" t="s">
        <v>3886</v>
      </c>
      <c r="M751" t="s">
        <v>3887</v>
      </c>
      <c r="N751" t="s">
        <v>6376</v>
      </c>
    </row>
    <row r="752" spans="1:14" x14ac:dyDescent="0.25">
      <c r="A752">
        <v>105050</v>
      </c>
      <c r="B752" t="s">
        <v>3888</v>
      </c>
      <c r="C752">
        <v>1634</v>
      </c>
      <c r="D752" t="str" cm="1">
        <f t="array" ref="D752">_xlfn.TEXTJOIN(",",TRUE,_xlfn.XLOOKUP(_xlfn.TEXTSPLIT(C752,",")*1,_xlfn._TRO_TRAILING(Artists!A:A),_xlfn._TRO_TRAILING(Artists!B:B)))</f>
        <v>Marcel Duchamp</v>
      </c>
      <c r="E752" t="s">
        <v>3889</v>
      </c>
      <c r="F752" cm="1">
        <f t="array" ref="F752">_xlfn.REGEXEXTRACT(E752,"\d{4}")*1</f>
        <v>1964</v>
      </c>
      <c r="G752" t="s">
        <v>3890</v>
      </c>
      <c r="H752" t="s">
        <v>3891</v>
      </c>
      <c r="I752" t="s">
        <v>2248</v>
      </c>
      <c r="J752" t="s">
        <v>879</v>
      </c>
      <c r="K752" s="1">
        <v>39013</v>
      </c>
      <c r="L752" t="s">
        <v>3892</v>
      </c>
      <c r="M752" t="s">
        <v>3893</v>
      </c>
      <c r="N752" t="s">
        <v>6385</v>
      </c>
    </row>
    <row r="753" spans="1:14" x14ac:dyDescent="0.25">
      <c r="A753">
        <v>105070</v>
      </c>
      <c r="B753" t="s">
        <v>3894</v>
      </c>
      <c r="C753">
        <v>27904</v>
      </c>
      <c r="D753" t="str" cm="1">
        <f t="array" ref="D753">_xlfn.TEXTJOIN(",",TRUE,_xlfn.XLOOKUP(_xlfn.TEXTSPLIT(C753,",")*1,_xlfn._TRO_TRAILING(Artists!A:A),_xlfn._TRO_TRAILING(Artists!B:B)))</f>
        <v>Naoto Fukasawa</v>
      </c>
      <c r="E753">
        <v>2003</v>
      </c>
      <c r="F753" cm="1">
        <f t="array" ref="F753">_xlfn.REGEXEXTRACT(E753,"\d{4}")*1</f>
        <v>2003</v>
      </c>
      <c r="G753" t="s">
        <v>3417</v>
      </c>
      <c r="H753" t="s">
        <v>3895</v>
      </c>
      <c r="I753" t="s">
        <v>95</v>
      </c>
      <c r="J753" t="s">
        <v>19</v>
      </c>
      <c r="K753" s="1">
        <v>38993</v>
      </c>
      <c r="L753" t="s">
        <v>3896</v>
      </c>
      <c r="M753" t="s">
        <v>3897</v>
      </c>
      <c r="N753" t="s">
        <v>6362</v>
      </c>
    </row>
    <row r="754" spans="1:14" x14ac:dyDescent="0.25">
      <c r="A754">
        <v>105379</v>
      </c>
      <c r="B754" t="s">
        <v>3898</v>
      </c>
      <c r="C754">
        <v>3832</v>
      </c>
      <c r="D754" t="str" cm="1">
        <f t="array" ref="D754">_xlfn.TEXTJOIN(",",TRUE,_xlfn.XLOOKUP(_xlfn.TEXTSPLIT(C754,",")*1,_xlfn._TRO_TRAILING(Artists!A:A),_xlfn._TRO_TRAILING(Artists!B:B)))</f>
        <v>Henri Matisse</v>
      </c>
      <c r="E754">
        <v>1947</v>
      </c>
      <c r="F754" cm="1">
        <f t="array" ref="F754">_xlfn.REGEXEXTRACT(E754,"\d{4}")*1</f>
        <v>1947</v>
      </c>
      <c r="G754" t="s">
        <v>3899</v>
      </c>
      <c r="H754" t="s">
        <v>3900</v>
      </c>
      <c r="I754" t="s">
        <v>29</v>
      </c>
      <c r="J754" t="s">
        <v>674</v>
      </c>
      <c r="K754" s="1">
        <v>17812</v>
      </c>
      <c r="L754" t="s">
        <v>3901</v>
      </c>
      <c r="M754" t="s">
        <v>3902</v>
      </c>
      <c r="N754" t="s">
        <v>6372</v>
      </c>
    </row>
    <row r="755" spans="1:14" x14ac:dyDescent="0.25">
      <c r="A755">
        <v>105380</v>
      </c>
      <c r="B755" t="s">
        <v>3903</v>
      </c>
      <c r="C755">
        <v>3832</v>
      </c>
      <c r="D755" t="str" cm="1">
        <f t="array" ref="D755">_xlfn.TEXTJOIN(",",TRUE,_xlfn.XLOOKUP(_xlfn.TEXTSPLIT(C755,",")*1,_xlfn._TRO_TRAILING(Artists!A:A),_xlfn._TRO_TRAILING(Artists!B:B)))</f>
        <v>Henri Matisse</v>
      </c>
      <c r="E755">
        <v>1947</v>
      </c>
      <c r="F755" cm="1">
        <f t="array" ref="F755">_xlfn.REGEXEXTRACT(E755,"\d{4}")*1</f>
        <v>1947</v>
      </c>
      <c r="G755" t="s">
        <v>3899</v>
      </c>
      <c r="H755" t="s">
        <v>3904</v>
      </c>
      <c r="I755" t="s">
        <v>29</v>
      </c>
      <c r="J755" t="s">
        <v>674</v>
      </c>
      <c r="K755" s="1">
        <v>17812</v>
      </c>
      <c r="L755" t="s">
        <v>3905</v>
      </c>
      <c r="M755" t="s">
        <v>3906</v>
      </c>
      <c r="N755" t="s">
        <v>6372</v>
      </c>
    </row>
    <row r="756" spans="1:14" x14ac:dyDescent="0.25">
      <c r="A756">
        <v>105386</v>
      </c>
      <c r="B756" t="s">
        <v>3907</v>
      </c>
      <c r="C756">
        <v>3832</v>
      </c>
      <c r="D756" t="str" cm="1">
        <f t="array" ref="D756">_xlfn.TEXTJOIN(",",TRUE,_xlfn.XLOOKUP(_xlfn.TEXTSPLIT(C756,",")*1,_xlfn._TRO_TRAILING(Artists!A:A),_xlfn._TRO_TRAILING(Artists!B:B)))</f>
        <v>Henri Matisse</v>
      </c>
      <c r="E756">
        <v>1947</v>
      </c>
      <c r="F756" cm="1">
        <f t="array" ref="F756">_xlfn.REGEXEXTRACT(E756,"\d{4}")*1</f>
        <v>1947</v>
      </c>
      <c r="G756" t="s">
        <v>3899</v>
      </c>
      <c r="H756" t="s">
        <v>3908</v>
      </c>
      <c r="I756" t="s">
        <v>29</v>
      </c>
      <c r="J756" t="s">
        <v>674</v>
      </c>
      <c r="K756" s="1">
        <v>17812</v>
      </c>
      <c r="L756" t="s">
        <v>3909</v>
      </c>
      <c r="M756" t="s">
        <v>3910</v>
      </c>
      <c r="N756" t="s">
        <v>6372</v>
      </c>
    </row>
    <row r="757" spans="1:14" x14ac:dyDescent="0.25">
      <c r="A757">
        <v>105387</v>
      </c>
      <c r="B757" t="s">
        <v>3911</v>
      </c>
      <c r="C757">
        <v>3832</v>
      </c>
      <c r="D757" t="str" cm="1">
        <f t="array" ref="D757">_xlfn.TEXTJOIN(",",TRUE,_xlfn.XLOOKUP(_xlfn.TEXTSPLIT(C757,",")*1,_xlfn._TRO_TRAILING(Artists!A:A),_xlfn._TRO_TRAILING(Artists!B:B)))</f>
        <v>Henri Matisse</v>
      </c>
      <c r="E757">
        <v>1947</v>
      </c>
      <c r="F757" cm="1">
        <f t="array" ref="F757">_xlfn.REGEXEXTRACT(E757,"\d{4}")*1</f>
        <v>1947</v>
      </c>
      <c r="G757" t="s">
        <v>3899</v>
      </c>
      <c r="H757" t="s">
        <v>3912</v>
      </c>
      <c r="I757" t="s">
        <v>29</v>
      </c>
      <c r="J757" t="s">
        <v>674</v>
      </c>
      <c r="K757" s="1">
        <v>17812</v>
      </c>
      <c r="L757" t="s">
        <v>3913</v>
      </c>
      <c r="M757" t="s">
        <v>3914</v>
      </c>
      <c r="N757" t="s">
        <v>6372</v>
      </c>
    </row>
    <row r="758" spans="1:14" x14ac:dyDescent="0.25">
      <c r="A758">
        <v>105392</v>
      </c>
      <c r="B758" t="s">
        <v>3915</v>
      </c>
      <c r="C758">
        <v>3832</v>
      </c>
      <c r="D758" t="str" cm="1">
        <f t="array" ref="D758">_xlfn.TEXTJOIN(",",TRUE,_xlfn.XLOOKUP(_xlfn.TEXTSPLIT(C758,",")*1,_xlfn._TRO_TRAILING(Artists!A:A),_xlfn._TRO_TRAILING(Artists!B:B)))</f>
        <v>Henri Matisse</v>
      </c>
      <c r="E758">
        <v>1947</v>
      </c>
      <c r="F758" cm="1">
        <f t="array" ref="F758">_xlfn.REGEXEXTRACT(E758,"\d{4}")*1</f>
        <v>1947</v>
      </c>
      <c r="G758" t="s">
        <v>3899</v>
      </c>
      <c r="H758" t="s">
        <v>3916</v>
      </c>
      <c r="I758" t="s">
        <v>29</v>
      </c>
      <c r="J758" t="s">
        <v>674</v>
      </c>
      <c r="K758" s="1">
        <v>17812</v>
      </c>
      <c r="L758" t="s">
        <v>3917</v>
      </c>
      <c r="M758" t="s">
        <v>3918</v>
      </c>
      <c r="N758" t="s">
        <v>6372</v>
      </c>
    </row>
    <row r="759" spans="1:14" x14ac:dyDescent="0.25">
      <c r="A759">
        <v>105739</v>
      </c>
      <c r="B759" t="s">
        <v>3919</v>
      </c>
      <c r="C759">
        <v>471</v>
      </c>
      <c r="D759" t="str" cm="1">
        <f t="array" ref="D759">_xlfn.TEXTJOIN(",",TRUE,_xlfn.XLOOKUP(_xlfn.TEXTSPLIT(C759,",")*1,_xlfn._TRO_TRAILING(Artists!A:A),_xlfn._TRO_TRAILING(Artists!B:B)))</f>
        <v>Lynda Benglis</v>
      </c>
      <c r="E759" t="s">
        <v>3920</v>
      </c>
      <c r="F759" cm="1">
        <f t="array" ref="F759">_xlfn.REGEXEXTRACT(E759,"\d{4}")*1</f>
        <v>1967</v>
      </c>
      <c r="G759" t="s">
        <v>3921</v>
      </c>
      <c r="H759" t="s">
        <v>3922</v>
      </c>
      <c r="I759" t="s">
        <v>2248</v>
      </c>
      <c r="J759" t="s">
        <v>879</v>
      </c>
      <c r="K759" s="1">
        <v>39034</v>
      </c>
      <c r="L759" t="s">
        <v>3923</v>
      </c>
      <c r="M759" t="s">
        <v>3924</v>
      </c>
      <c r="N759" t="s">
        <v>6376</v>
      </c>
    </row>
    <row r="760" spans="1:14" x14ac:dyDescent="0.25">
      <c r="A760">
        <v>105811</v>
      </c>
      <c r="B760" t="s">
        <v>3926</v>
      </c>
      <c r="C760">
        <v>3426</v>
      </c>
      <c r="D760" t="str" cm="1">
        <f t="array" ref="D760">_xlfn.TEXTJOIN(",",TRUE,_xlfn.XLOOKUP(_xlfn.TEXTSPLIT(C760,",")*1,_xlfn._TRO_TRAILING(Artists!A:A),_xlfn._TRO_TRAILING(Artists!B:B)))</f>
        <v>Le Corbusier (Charles-Édouard Jeanneret)</v>
      </c>
      <c r="E760">
        <v>1929</v>
      </c>
      <c r="F760" cm="1">
        <f t="array" ref="F760">_xlfn.REGEXEXTRACT(E760,"\d{4}")*1</f>
        <v>1929</v>
      </c>
      <c r="G760" t="s">
        <v>63</v>
      </c>
      <c r="H760" t="s">
        <v>3927</v>
      </c>
      <c r="I760" t="s">
        <v>18</v>
      </c>
      <c r="J760" t="s">
        <v>19</v>
      </c>
      <c r="K760" s="1">
        <v>39393</v>
      </c>
      <c r="L760" t="s">
        <v>3928</v>
      </c>
      <c r="M760" t="s">
        <v>3929</v>
      </c>
      <c r="N760" t="s">
        <v>6361</v>
      </c>
    </row>
    <row r="761" spans="1:14" x14ac:dyDescent="0.25">
      <c r="A761">
        <v>105855</v>
      </c>
      <c r="B761" t="s">
        <v>3930</v>
      </c>
      <c r="C761">
        <v>3924</v>
      </c>
      <c r="D761" t="str" cm="1">
        <f t="array" ref="D761">_xlfn.TEXTJOIN(",",TRUE,_xlfn.XLOOKUP(_xlfn.TEXTSPLIT(C761,",")*1,_xlfn._TRO_TRAILING(Artists!A:A),_xlfn._TRO_TRAILING(Artists!B:B)))</f>
        <v>Ana Mendieta</v>
      </c>
      <c r="E761" t="s">
        <v>1197</v>
      </c>
      <c r="F761" cm="1">
        <f t="array" ref="F761">_xlfn.REGEXEXTRACT(E761,"\d{4}")*1</f>
        <v>1982</v>
      </c>
      <c r="G761" t="s">
        <v>3931</v>
      </c>
      <c r="H761" t="s">
        <v>3473</v>
      </c>
      <c r="I761" t="s">
        <v>675</v>
      </c>
      <c r="J761" t="s">
        <v>674</v>
      </c>
      <c r="K761" s="1">
        <v>39063</v>
      </c>
      <c r="L761" t="s">
        <v>3932</v>
      </c>
      <c r="M761" t="s">
        <v>3933</v>
      </c>
      <c r="N761" t="s">
        <v>6376</v>
      </c>
    </row>
    <row r="762" spans="1:14" x14ac:dyDescent="0.25">
      <c r="A762">
        <v>106997</v>
      </c>
      <c r="B762" t="s">
        <v>51</v>
      </c>
      <c r="C762">
        <v>28874</v>
      </c>
      <c r="D762" t="str" cm="1">
        <f t="array" ref="D762">_xlfn.TEXTJOIN(",",TRUE,_xlfn.XLOOKUP(_xlfn.TEXTSPLIT(C762,",")*1,_xlfn._TRO_TRAILING(Artists!A:A),_xlfn._TRO_TRAILING(Artists!B:B)))</f>
        <v>Wade Guyton</v>
      </c>
      <c r="E762">
        <v>2006</v>
      </c>
      <c r="F762" cm="1">
        <f t="array" ref="F762">_xlfn.REGEXEXTRACT(E762,"\d{4}")*1</f>
        <v>2006</v>
      </c>
      <c r="G762" t="s">
        <v>3935</v>
      </c>
      <c r="H762" t="s">
        <v>3936</v>
      </c>
      <c r="I762" t="s">
        <v>878</v>
      </c>
      <c r="J762" t="s">
        <v>879</v>
      </c>
      <c r="K762" s="1">
        <v>39181</v>
      </c>
      <c r="L762" t="s">
        <v>3937</v>
      </c>
      <c r="M762" t="s">
        <v>3938</v>
      </c>
      <c r="N762" t="s">
        <v>6419</v>
      </c>
    </row>
    <row r="763" spans="1:14" x14ac:dyDescent="0.25">
      <c r="A763">
        <v>107630</v>
      </c>
      <c r="B763" t="s">
        <v>3940</v>
      </c>
      <c r="C763">
        <v>32312</v>
      </c>
      <c r="D763" t="str" cm="1">
        <f t="array" ref="D763">_xlfn.TEXTJOIN(",",TRUE,_xlfn.XLOOKUP(_xlfn.TEXTSPLIT(C763,",")*1,_xlfn._TRO_TRAILING(Artists!A:A),_xlfn._TRO_TRAILING(Artists!B:B)))</f>
        <v>Mary Lucier</v>
      </c>
      <c r="E763">
        <v>1983</v>
      </c>
      <c r="F763" cm="1">
        <f t="array" ref="F763">_xlfn.REGEXEXTRACT(E763,"\d{4}")*1</f>
        <v>1983</v>
      </c>
      <c r="G763" t="s">
        <v>1646</v>
      </c>
      <c r="H763" t="s">
        <v>3942</v>
      </c>
      <c r="I763" t="s">
        <v>1626</v>
      </c>
      <c r="J763" t="s">
        <v>3200</v>
      </c>
      <c r="K763" s="1">
        <v>36188</v>
      </c>
      <c r="L763" t="s">
        <v>3943</v>
      </c>
      <c r="M763" t="s">
        <v>3944</v>
      </c>
      <c r="N763" t="s">
        <v>6420</v>
      </c>
    </row>
    <row r="764" spans="1:14" x14ac:dyDescent="0.25">
      <c r="A764">
        <v>108226</v>
      </c>
      <c r="B764" t="s">
        <v>808</v>
      </c>
      <c r="C764">
        <v>1444</v>
      </c>
      <c r="D764" t="str" cm="1">
        <f t="array" ref="D764">_xlfn.TEXTJOIN(",",TRUE,_xlfn.XLOOKUP(_xlfn.TEXTSPLIT(C764,",")*1,_xlfn._TRO_TRAILING(Artists!A:A),_xlfn._TRO_TRAILING(Artists!B:B)))</f>
        <v>Niki de Saint Phalle</v>
      </c>
      <c r="E764">
        <v>1967</v>
      </c>
      <c r="F764" cm="1">
        <f t="array" ref="F764">_xlfn.REGEXEXTRACT(E764,"\d{4}")*1</f>
        <v>1967</v>
      </c>
      <c r="G764" t="s">
        <v>3946</v>
      </c>
      <c r="H764" t="s">
        <v>3947</v>
      </c>
      <c r="I764" t="s">
        <v>675</v>
      </c>
      <c r="J764" t="s">
        <v>674</v>
      </c>
      <c r="L764" t="s">
        <v>3948</v>
      </c>
      <c r="M764" t="s">
        <v>3949</v>
      </c>
      <c r="N764" t="s">
        <v>6360</v>
      </c>
    </row>
    <row r="765" spans="1:14" x14ac:dyDescent="0.25">
      <c r="A765">
        <v>108952</v>
      </c>
      <c r="B765" t="s">
        <v>3952</v>
      </c>
      <c r="C765" t="s">
        <v>3950</v>
      </c>
      <c r="D765" t="str" cm="1">
        <f t="array" ref="D765">_xlfn.TEXTJOIN(",",TRUE,_xlfn.XLOOKUP(_xlfn.TEXTSPLIT(C765,",")*1,_xlfn._TRO_TRAILING(Artists!A:A),_xlfn._TRO_TRAILING(Artists!B:B)))</f>
        <v>Ant Farm,Chip Lord,Doug Michels,Richard Jost</v>
      </c>
      <c r="E765" t="s">
        <v>3925</v>
      </c>
      <c r="F765" cm="1">
        <f t="array" ref="F765">_xlfn.REGEXEXTRACT(E765,"\d{4}")*1</f>
        <v>1971</v>
      </c>
      <c r="G765" t="s">
        <v>3951</v>
      </c>
      <c r="H765" t="s">
        <v>70</v>
      </c>
      <c r="I765" t="s">
        <v>18</v>
      </c>
      <c r="J765" t="s">
        <v>19</v>
      </c>
      <c r="K765" s="1">
        <v>39238</v>
      </c>
      <c r="L765" t="s">
        <v>3953</v>
      </c>
      <c r="M765" t="s">
        <v>3954</v>
      </c>
      <c r="N765" t="s">
        <v>6360</v>
      </c>
    </row>
    <row r="766" spans="1:14" x14ac:dyDescent="0.25">
      <c r="A766">
        <v>108953</v>
      </c>
      <c r="B766" t="s">
        <v>3955</v>
      </c>
      <c r="C766" t="s">
        <v>3950</v>
      </c>
      <c r="D766" t="str" cm="1">
        <f t="array" ref="D766">_xlfn.TEXTJOIN(",",TRUE,_xlfn.XLOOKUP(_xlfn.TEXTSPLIT(C766,",")*1,_xlfn._TRO_TRAILING(Artists!A:A),_xlfn._TRO_TRAILING(Artists!B:B)))</f>
        <v>Ant Farm,Chip Lord,Doug Michels,Richard Jost</v>
      </c>
      <c r="E766" t="s">
        <v>3925</v>
      </c>
      <c r="F766" cm="1">
        <f t="array" ref="F766">_xlfn.REGEXEXTRACT(E766,"\d{4}")*1</f>
        <v>1971</v>
      </c>
      <c r="G766" t="s">
        <v>3951</v>
      </c>
      <c r="H766" t="s">
        <v>70</v>
      </c>
      <c r="I766" t="s">
        <v>18</v>
      </c>
      <c r="J766" t="s">
        <v>19</v>
      </c>
      <c r="K766" s="1">
        <v>39238</v>
      </c>
      <c r="L766" t="s">
        <v>3956</v>
      </c>
      <c r="M766" t="s">
        <v>3957</v>
      </c>
      <c r="N766" t="s">
        <v>6360</v>
      </c>
    </row>
    <row r="767" spans="1:14" x14ac:dyDescent="0.25">
      <c r="A767">
        <v>109945</v>
      </c>
      <c r="B767" t="s">
        <v>3962</v>
      </c>
      <c r="C767">
        <v>2923</v>
      </c>
      <c r="D767" t="str" cm="1">
        <f t="array" ref="D767">_xlfn.TEXTJOIN(",",TRUE,_xlfn.XLOOKUP(_xlfn.TEXTSPLIT(C767,",")*1,_xlfn._TRO_TRAILING(Artists!A:A),_xlfn._TRO_TRAILING(Artists!B:B)))</f>
        <v>Jasper Johns</v>
      </c>
      <c r="E767">
        <v>1961</v>
      </c>
      <c r="F767" cm="1">
        <f t="array" ref="F767">_xlfn.REGEXEXTRACT(E767,"\d{4}")*1</f>
        <v>1961</v>
      </c>
      <c r="G767" t="s">
        <v>3963</v>
      </c>
      <c r="H767" t="s">
        <v>3964</v>
      </c>
      <c r="I767" t="s">
        <v>878</v>
      </c>
      <c r="J767" t="s">
        <v>879</v>
      </c>
      <c r="K767" s="1">
        <v>39209</v>
      </c>
      <c r="L767" t="s">
        <v>3965</v>
      </c>
      <c r="M767" t="s">
        <v>3966</v>
      </c>
      <c r="N767" t="s">
        <v>6376</v>
      </c>
    </row>
    <row r="768" spans="1:14" x14ac:dyDescent="0.25">
      <c r="A768">
        <v>110910</v>
      </c>
      <c r="B768" t="s">
        <v>3969</v>
      </c>
      <c r="C768" t="s">
        <v>3970</v>
      </c>
      <c r="D768" t="str" cm="1">
        <f t="array" ref="D768">_xlfn.TEXTJOIN(",",TRUE,_xlfn.XLOOKUP(_xlfn.TEXTSPLIT(C768,",")*1,_xlfn._TRO_TRAILING(Artists!A:A),_xlfn._TRO_TRAILING(Artists!B:B)))</f>
        <v>Rivane Neuenschwander,Cao Guimarães</v>
      </c>
      <c r="E768">
        <v>2006</v>
      </c>
      <c r="F768" cm="1">
        <f t="array" ref="F768">_xlfn.REGEXEXTRACT(E768,"\d{4}")*1</f>
        <v>2006</v>
      </c>
      <c r="G768" t="s">
        <v>3971</v>
      </c>
      <c r="H768" t="s">
        <v>3972</v>
      </c>
      <c r="I768" t="s">
        <v>726</v>
      </c>
      <c r="J768" t="s">
        <v>3200</v>
      </c>
      <c r="K768" s="1">
        <v>39349</v>
      </c>
      <c r="L768" t="s">
        <v>3973</v>
      </c>
      <c r="M768" t="s">
        <v>3974</v>
      </c>
      <c r="N768" t="s">
        <v>6381</v>
      </c>
    </row>
    <row r="769" spans="1:14" x14ac:dyDescent="0.25">
      <c r="A769">
        <v>111269</v>
      </c>
      <c r="B769" t="s">
        <v>3975</v>
      </c>
      <c r="C769">
        <v>8073</v>
      </c>
      <c r="D769" t="str" cm="1">
        <f t="array" ref="D769">_xlfn.TEXTJOIN(",",TRUE,_xlfn.XLOOKUP(_xlfn.TEXTSPLIT(C769,",")*1,_xlfn._TRO_TRAILING(Artists!A:A),_xlfn._TRO_TRAILING(Artists!B:B)))</f>
        <v>Cai Guo-Qiang</v>
      </c>
      <c r="E769">
        <v>2006</v>
      </c>
      <c r="F769" cm="1">
        <f t="array" ref="F769">_xlfn.REGEXEXTRACT(E769,"\d{4}")*1</f>
        <v>2006</v>
      </c>
      <c r="G769" t="s">
        <v>3976</v>
      </c>
      <c r="H769" t="s">
        <v>3977</v>
      </c>
      <c r="I769" t="s">
        <v>29</v>
      </c>
      <c r="J769" t="s">
        <v>674</v>
      </c>
      <c r="K769" s="1">
        <v>39398</v>
      </c>
      <c r="L769" t="s">
        <v>3978</v>
      </c>
      <c r="M769" t="s">
        <v>3979</v>
      </c>
      <c r="N769" t="s">
        <v>6418</v>
      </c>
    </row>
    <row r="770" spans="1:14" x14ac:dyDescent="0.25">
      <c r="A770">
        <v>111456</v>
      </c>
      <c r="B770" t="s">
        <v>51</v>
      </c>
      <c r="C770">
        <v>8595</v>
      </c>
      <c r="D770" t="str" cm="1">
        <f t="array" ref="D770">_xlfn.TEXTJOIN(",",TRUE,_xlfn.XLOOKUP(_xlfn.TEXTSPLIT(C770,",")*1,_xlfn._TRO_TRAILING(Artists!A:A),_xlfn._TRO_TRAILING(Artists!B:B)))</f>
        <v>Unidentified photographer</v>
      </c>
      <c r="E770" t="s">
        <v>173</v>
      </c>
      <c r="F770" cm="1">
        <f t="array" ref="F770">_xlfn.REGEXEXTRACT(E770,"\d{4}")*1</f>
        <v>1900</v>
      </c>
      <c r="G770" t="s">
        <v>664</v>
      </c>
      <c r="H770" t="s">
        <v>3830</v>
      </c>
      <c r="I770" t="s">
        <v>806</v>
      </c>
      <c r="J770" t="s">
        <v>1140</v>
      </c>
      <c r="K770" s="1">
        <v>39366</v>
      </c>
      <c r="L770" t="s">
        <v>3980</v>
      </c>
      <c r="M770" t="s">
        <v>3981</v>
      </c>
      <c r="N770" t="s">
        <v>6393</v>
      </c>
    </row>
    <row r="771" spans="1:14" x14ac:dyDescent="0.25">
      <c r="A771">
        <v>111457</v>
      </c>
      <c r="B771" t="s">
        <v>51</v>
      </c>
      <c r="C771">
        <v>8595</v>
      </c>
      <c r="D771" t="str" cm="1">
        <f t="array" ref="D771">_xlfn.TEXTJOIN(",",TRUE,_xlfn.XLOOKUP(_xlfn.TEXTSPLIT(C771,",")*1,_xlfn._TRO_TRAILING(Artists!A:A),_xlfn._TRO_TRAILING(Artists!B:B)))</f>
        <v>Unidentified photographer</v>
      </c>
      <c r="E771" t="s">
        <v>185</v>
      </c>
      <c r="F771" cm="1">
        <f t="array" ref="F771">_xlfn.REGEXEXTRACT(E771,"\d{4}")*1</f>
        <v>1941</v>
      </c>
      <c r="G771" t="s">
        <v>664</v>
      </c>
      <c r="H771" t="s">
        <v>3713</v>
      </c>
      <c r="I771" t="s">
        <v>806</v>
      </c>
      <c r="J771" t="s">
        <v>1140</v>
      </c>
      <c r="K771" s="1">
        <v>39366</v>
      </c>
      <c r="L771" t="s">
        <v>3982</v>
      </c>
      <c r="M771" t="s">
        <v>3983</v>
      </c>
      <c r="N771" t="s">
        <v>6393</v>
      </c>
    </row>
    <row r="772" spans="1:14" x14ac:dyDescent="0.25">
      <c r="A772">
        <v>111458</v>
      </c>
      <c r="B772" t="s">
        <v>51</v>
      </c>
      <c r="C772">
        <v>8595</v>
      </c>
      <c r="D772" t="str" cm="1">
        <f t="array" ref="D772">_xlfn.TEXTJOIN(",",TRUE,_xlfn.XLOOKUP(_xlfn.TEXTSPLIT(C772,",")*1,_xlfn._TRO_TRAILING(Artists!A:A),_xlfn._TRO_TRAILING(Artists!B:B)))</f>
        <v>Unidentified photographer</v>
      </c>
      <c r="E772" t="s">
        <v>28</v>
      </c>
      <c r="F772" cm="1">
        <f t="array" ref="F772">_xlfn.REGEXEXTRACT(E772,"\d{4}")*1</f>
        <v>1935</v>
      </c>
      <c r="G772" t="s">
        <v>664</v>
      </c>
      <c r="H772" t="s">
        <v>3984</v>
      </c>
      <c r="I772" t="s">
        <v>806</v>
      </c>
      <c r="J772" t="s">
        <v>1140</v>
      </c>
      <c r="K772" s="1">
        <v>39366</v>
      </c>
      <c r="L772" t="s">
        <v>3985</v>
      </c>
      <c r="M772" t="s">
        <v>3986</v>
      </c>
      <c r="N772" t="s">
        <v>6393</v>
      </c>
    </row>
    <row r="773" spans="1:14" x14ac:dyDescent="0.25">
      <c r="A773">
        <v>111460</v>
      </c>
      <c r="B773" t="s">
        <v>51</v>
      </c>
      <c r="C773">
        <v>8595</v>
      </c>
      <c r="D773" t="str" cm="1">
        <f t="array" ref="D773">_xlfn.TEXTJOIN(",",TRUE,_xlfn.XLOOKUP(_xlfn.TEXTSPLIT(C773,",")*1,_xlfn._TRO_TRAILING(Artists!A:A),_xlfn._TRO_TRAILING(Artists!B:B)))</f>
        <v>Unidentified photographer</v>
      </c>
      <c r="E773" t="s">
        <v>135</v>
      </c>
      <c r="F773" cm="1">
        <f t="array" ref="F773">_xlfn.REGEXEXTRACT(E773,"\d{4}")*1</f>
        <v>1950</v>
      </c>
      <c r="G773" t="s">
        <v>664</v>
      </c>
      <c r="H773" t="s">
        <v>3987</v>
      </c>
      <c r="I773" t="s">
        <v>806</v>
      </c>
      <c r="J773" t="s">
        <v>1140</v>
      </c>
      <c r="K773" s="1">
        <v>39366</v>
      </c>
      <c r="L773" t="s">
        <v>3988</v>
      </c>
      <c r="M773" t="s">
        <v>3989</v>
      </c>
      <c r="N773" t="s">
        <v>6393</v>
      </c>
    </row>
    <row r="774" spans="1:14" x14ac:dyDescent="0.25">
      <c r="A774">
        <v>111461</v>
      </c>
      <c r="B774" t="s">
        <v>51</v>
      </c>
      <c r="C774">
        <v>8595</v>
      </c>
      <c r="D774" t="str" cm="1">
        <f t="array" ref="D774">_xlfn.TEXTJOIN(",",TRUE,_xlfn.XLOOKUP(_xlfn.TEXTSPLIT(C774,",")*1,_xlfn._TRO_TRAILING(Artists!A:A),_xlfn._TRO_TRAILING(Artists!B:B)))</f>
        <v>Unidentified photographer</v>
      </c>
      <c r="E774" t="s">
        <v>134</v>
      </c>
      <c r="F774" cm="1">
        <f t="array" ref="F774">_xlfn.REGEXEXTRACT(E774,"\d{4}")*1</f>
        <v>1949</v>
      </c>
      <c r="G774" t="s">
        <v>664</v>
      </c>
      <c r="H774" t="s">
        <v>3990</v>
      </c>
      <c r="I774" t="s">
        <v>806</v>
      </c>
      <c r="J774" t="s">
        <v>1140</v>
      </c>
      <c r="K774" s="1">
        <v>39366</v>
      </c>
      <c r="L774" t="s">
        <v>3991</v>
      </c>
      <c r="M774" t="s">
        <v>3992</v>
      </c>
      <c r="N774" t="s">
        <v>6393</v>
      </c>
    </row>
    <row r="775" spans="1:14" x14ac:dyDescent="0.25">
      <c r="A775">
        <v>111463</v>
      </c>
      <c r="B775" t="s">
        <v>51</v>
      </c>
      <c r="C775">
        <v>8595</v>
      </c>
      <c r="D775" t="str" cm="1">
        <f t="array" ref="D775">_xlfn.TEXTJOIN(",",TRUE,_xlfn.XLOOKUP(_xlfn.TEXTSPLIT(C775,",")*1,_xlfn._TRO_TRAILING(Artists!A:A),_xlfn._TRO_TRAILING(Artists!B:B)))</f>
        <v>Unidentified photographer</v>
      </c>
      <c r="E775" t="s">
        <v>105</v>
      </c>
      <c r="F775" cm="1">
        <f t="array" ref="F775">_xlfn.REGEXEXTRACT(E775,"\d{4}")*1</f>
        <v>1951</v>
      </c>
      <c r="G775" t="s">
        <v>664</v>
      </c>
      <c r="H775" t="s">
        <v>3993</v>
      </c>
      <c r="I775" t="s">
        <v>806</v>
      </c>
      <c r="J775" t="s">
        <v>1140</v>
      </c>
      <c r="K775" s="1">
        <v>39366</v>
      </c>
      <c r="L775" t="s">
        <v>3994</v>
      </c>
      <c r="M775" t="s">
        <v>3995</v>
      </c>
      <c r="N775" t="s">
        <v>6393</v>
      </c>
    </row>
    <row r="776" spans="1:14" x14ac:dyDescent="0.25">
      <c r="A776">
        <v>111464</v>
      </c>
      <c r="B776" t="s">
        <v>51</v>
      </c>
      <c r="C776">
        <v>8595</v>
      </c>
      <c r="D776" t="str" cm="1">
        <f t="array" ref="D776">_xlfn.TEXTJOIN(",",TRUE,_xlfn.XLOOKUP(_xlfn.TEXTSPLIT(C776,",")*1,_xlfn._TRO_TRAILING(Artists!A:A),_xlfn._TRO_TRAILING(Artists!B:B)))</f>
        <v>Unidentified photographer</v>
      </c>
      <c r="E776" t="s">
        <v>135</v>
      </c>
      <c r="F776" cm="1">
        <f t="array" ref="F776">_xlfn.REGEXEXTRACT(E776,"\d{4}")*1</f>
        <v>1950</v>
      </c>
      <c r="G776" t="s">
        <v>664</v>
      </c>
      <c r="H776" t="s">
        <v>3996</v>
      </c>
      <c r="I776" t="s">
        <v>806</v>
      </c>
      <c r="J776" t="s">
        <v>1140</v>
      </c>
      <c r="K776" s="1">
        <v>39366</v>
      </c>
      <c r="L776" t="s">
        <v>3997</v>
      </c>
      <c r="M776" t="s">
        <v>3998</v>
      </c>
      <c r="N776" t="s">
        <v>6393</v>
      </c>
    </row>
    <row r="777" spans="1:14" x14ac:dyDescent="0.25">
      <c r="A777">
        <v>111472</v>
      </c>
      <c r="B777" t="s">
        <v>51</v>
      </c>
      <c r="C777">
        <v>8595</v>
      </c>
      <c r="D777" t="str" cm="1">
        <f t="array" ref="D777">_xlfn.TEXTJOIN(",",TRUE,_xlfn.XLOOKUP(_xlfn.TEXTSPLIT(C777,",")*1,_xlfn._TRO_TRAILING(Artists!A:A),_xlfn._TRO_TRAILING(Artists!B:B)))</f>
        <v>Unidentified photographer</v>
      </c>
      <c r="E777" t="s">
        <v>105</v>
      </c>
      <c r="F777" cm="1">
        <f t="array" ref="F777">_xlfn.REGEXEXTRACT(E777,"\d{4}")*1</f>
        <v>1951</v>
      </c>
      <c r="G777" t="s">
        <v>664</v>
      </c>
      <c r="H777" t="s">
        <v>3999</v>
      </c>
      <c r="I777" t="s">
        <v>806</v>
      </c>
      <c r="J777" t="s">
        <v>1140</v>
      </c>
      <c r="K777" s="1">
        <v>39366</v>
      </c>
      <c r="L777" t="s">
        <v>4000</v>
      </c>
      <c r="M777" t="s">
        <v>4001</v>
      </c>
      <c r="N777" t="s">
        <v>6393</v>
      </c>
    </row>
    <row r="778" spans="1:14" x14ac:dyDescent="0.25">
      <c r="A778">
        <v>111512</v>
      </c>
      <c r="B778" t="s">
        <v>51</v>
      </c>
      <c r="C778">
        <v>8595</v>
      </c>
      <c r="D778" t="str" cm="1">
        <f t="array" ref="D778">_xlfn.TEXTJOIN(",",TRUE,_xlfn.XLOOKUP(_xlfn.TEXTSPLIT(C778,",")*1,_xlfn._TRO_TRAILING(Artists!A:A),_xlfn._TRO_TRAILING(Artists!B:B)))</f>
        <v>Unidentified photographer</v>
      </c>
      <c r="E778" t="s">
        <v>138</v>
      </c>
      <c r="F778" cm="1">
        <f t="array" ref="F778">_xlfn.REGEXEXTRACT(E778,"\d{4}")*1</f>
        <v>1946</v>
      </c>
      <c r="G778" t="s">
        <v>664</v>
      </c>
      <c r="H778" t="s">
        <v>4002</v>
      </c>
      <c r="I778" t="s">
        <v>806</v>
      </c>
      <c r="J778" t="s">
        <v>1140</v>
      </c>
      <c r="K778" s="1">
        <v>39366</v>
      </c>
      <c r="L778" t="s">
        <v>4003</v>
      </c>
      <c r="M778" t="s">
        <v>4004</v>
      </c>
      <c r="N778" t="s">
        <v>6393</v>
      </c>
    </row>
    <row r="779" spans="1:14" x14ac:dyDescent="0.25">
      <c r="A779">
        <v>111513</v>
      </c>
      <c r="B779" t="s">
        <v>51</v>
      </c>
      <c r="C779">
        <v>8595</v>
      </c>
      <c r="D779" t="str" cm="1">
        <f t="array" ref="D779">_xlfn.TEXTJOIN(",",TRUE,_xlfn.XLOOKUP(_xlfn.TEXTSPLIT(C779,",")*1,_xlfn._TRO_TRAILING(Artists!A:A),_xlfn._TRO_TRAILING(Artists!B:B)))</f>
        <v>Unidentified photographer</v>
      </c>
      <c r="E779" t="s">
        <v>138</v>
      </c>
      <c r="F779" cm="1">
        <f t="array" ref="F779">_xlfn.REGEXEXTRACT(E779,"\d{4}")*1</f>
        <v>1946</v>
      </c>
      <c r="G779" t="s">
        <v>664</v>
      </c>
      <c r="H779" t="s">
        <v>4005</v>
      </c>
      <c r="I779" t="s">
        <v>806</v>
      </c>
      <c r="J779" t="s">
        <v>1140</v>
      </c>
      <c r="K779" s="1">
        <v>39366</v>
      </c>
      <c r="L779" t="s">
        <v>4006</v>
      </c>
      <c r="M779" t="s">
        <v>4007</v>
      </c>
      <c r="N779" t="s">
        <v>6393</v>
      </c>
    </row>
    <row r="780" spans="1:14" x14ac:dyDescent="0.25">
      <c r="A780">
        <v>111532</v>
      </c>
      <c r="B780" t="s">
        <v>51</v>
      </c>
      <c r="C780">
        <v>8595</v>
      </c>
      <c r="D780" t="str" cm="1">
        <f t="array" ref="D780">_xlfn.TEXTJOIN(",",TRUE,_xlfn.XLOOKUP(_xlfn.TEXTSPLIT(C780,",")*1,_xlfn._TRO_TRAILING(Artists!A:A),_xlfn._TRO_TRAILING(Artists!B:B)))</f>
        <v>Unidentified photographer</v>
      </c>
      <c r="E780">
        <v>1916</v>
      </c>
      <c r="F780" cm="1">
        <f t="array" ref="F780">_xlfn.REGEXEXTRACT(E780,"\d{4}")*1</f>
        <v>1916</v>
      </c>
      <c r="G780" t="s">
        <v>664</v>
      </c>
      <c r="H780" t="s">
        <v>3439</v>
      </c>
      <c r="I780" t="s">
        <v>806</v>
      </c>
      <c r="J780" t="s">
        <v>1140</v>
      </c>
      <c r="K780" s="1">
        <v>39366</v>
      </c>
      <c r="L780" t="s">
        <v>4008</v>
      </c>
      <c r="M780" t="s">
        <v>4009</v>
      </c>
      <c r="N780" t="s">
        <v>6393</v>
      </c>
    </row>
    <row r="781" spans="1:14" x14ac:dyDescent="0.25">
      <c r="A781">
        <v>114922</v>
      </c>
      <c r="B781" t="s">
        <v>4013</v>
      </c>
      <c r="C781">
        <v>6640</v>
      </c>
      <c r="D781" t="str" cm="1">
        <f t="array" ref="D781">_xlfn.TEXTJOIN(",",TRUE,_xlfn.XLOOKUP(_xlfn.TEXTSPLIT(C781,",")*1,_xlfn._TRO_TRAILING(Artists!A:A),_xlfn._TRO_TRAILING(Artists!B:B)))</f>
        <v>Jane Hammond</v>
      </c>
      <c r="E781">
        <v>2007</v>
      </c>
      <c r="F781" cm="1">
        <f t="array" ref="F781">_xlfn.REGEXEXTRACT(E781,"\d{4}")*1</f>
        <v>2007</v>
      </c>
      <c r="G781" t="s">
        <v>4014</v>
      </c>
      <c r="H781" t="s">
        <v>4015</v>
      </c>
      <c r="I781" t="s">
        <v>806</v>
      </c>
      <c r="J781" t="s">
        <v>1140</v>
      </c>
      <c r="K781" s="1">
        <v>39492</v>
      </c>
      <c r="L781" t="s">
        <v>4016</v>
      </c>
      <c r="M781" t="s">
        <v>4017</v>
      </c>
      <c r="N781" t="s">
        <v>6393</v>
      </c>
    </row>
    <row r="782" spans="1:14" x14ac:dyDescent="0.25">
      <c r="A782">
        <v>116275</v>
      </c>
      <c r="B782" t="s">
        <v>4019</v>
      </c>
      <c r="C782">
        <v>744</v>
      </c>
      <c r="D782" t="str" cm="1">
        <f t="array" ref="D782">_xlfn.TEXTJOIN(",",TRUE,_xlfn.XLOOKUP(_xlfn.TEXTSPLIT(C782,",")*1,_xlfn._TRO_TRAILING(Artists!A:A),_xlfn._TRO_TRAILING(Artists!B:B)))</f>
        <v>Georges Braque</v>
      </c>
      <c r="E782" t="s">
        <v>4020</v>
      </c>
      <c r="F782" cm="1">
        <f t="array" ref="F782">_xlfn.REGEXEXTRACT(E782,"\d{4}")*1</f>
        <v>1911</v>
      </c>
      <c r="G782" t="s">
        <v>1034</v>
      </c>
      <c r="H782" t="s">
        <v>4021</v>
      </c>
      <c r="I782" t="s">
        <v>878</v>
      </c>
      <c r="J782" t="s">
        <v>879</v>
      </c>
      <c r="K782" s="1">
        <v>39608</v>
      </c>
      <c r="L782" t="s">
        <v>4022</v>
      </c>
      <c r="M782" t="s">
        <v>4023</v>
      </c>
      <c r="N782" t="s">
        <v>6401</v>
      </c>
    </row>
    <row r="783" spans="1:14" x14ac:dyDescent="0.25">
      <c r="A783">
        <v>118244</v>
      </c>
      <c r="B783" t="s">
        <v>4029</v>
      </c>
      <c r="C783">
        <v>34908</v>
      </c>
      <c r="D783" t="str" cm="1">
        <f t="array" ref="D783">_xlfn.TEXTJOIN(",",TRUE,_xlfn.XLOOKUP(_xlfn.TEXTSPLIT(C783,",")*1,_xlfn._TRO_TRAILING(Artists!A:A),_xlfn._TRO_TRAILING(Artists!B:B)))</f>
        <v>Simone Forti</v>
      </c>
      <c r="E783">
        <v>1974</v>
      </c>
      <c r="F783" cm="1">
        <f t="array" ref="F783">_xlfn.REGEXEXTRACT(E783,"\d{4}")*1</f>
        <v>1974</v>
      </c>
      <c r="G783" t="s">
        <v>3845</v>
      </c>
      <c r="H783" t="s">
        <v>3967</v>
      </c>
      <c r="I783" t="s">
        <v>1626</v>
      </c>
      <c r="J783" t="s">
        <v>3200</v>
      </c>
      <c r="K783" s="1">
        <v>30944</v>
      </c>
      <c r="L783" t="s">
        <v>4030</v>
      </c>
      <c r="M783" t="s">
        <v>4031</v>
      </c>
      <c r="N783" t="s">
        <v>6420</v>
      </c>
    </row>
    <row r="784" spans="1:14" x14ac:dyDescent="0.25">
      <c r="A784">
        <v>118501</v>
      </c>
      <c r="B784" t="s">
        <v>599</v>
      </c>
      <c r="C784">
        <v>471</v>
      </c>
      <c r="D784" t="str" cm="1">
        <f t="array" ref="D784">_xlfn.TEXTJOIN(",",TRUE,_xlfn.XLOOKUP(_xlfn.TEXTSPLIT(C784,",")*1,_xlfn._TRO_TRAILING(Artists!A:A),_xlfn._TRO_TRAILING(Artists!B:B)))</f>
        <v>Lynda Benglis</v>
      </c>
      <c r="E784">
        <v>1973</v>
      </c>
      <c r="F784" cm="1">
        <f t="array" ref="F784">_xlfn.REGEXEXTRACT(E784,"\d{4}")*1</f>
        <v>1973</v>
      </c>
      <c r="G784" t="s">
        <v>1646</v>
      </c>
      <c r="H784" t="s">
        <v>4032</v>
      </c>
      <c r="I784" t="s">
        <v>1626</v>
      </c>
      <c r="J784" t="s">
        <v>3200</v>
      </c>
      <c r="K784" s="1">
        <v>36328</v>
      </c>
      <c r="L784" t="s">
        <v>4033</v>
      </c>
      <c r="M784" t="s">
        <v>4034</v>
      </c>
      <c r="N784" t="s">
        <v>6376</v>
      </c>
    </row>
    <row r="785" spans="1:14" x14ac:dyDescent="0.25">
      <c r="A785">
        <v>118979</v>
      </c>
      <c r="B785" t="s">
        <v>4036</v>
      </c>
      <c r="C785">
        <v>18539</v>
      </c>
      <c r="D785" t="str" cm="1">
        <f t="array" ref="D785">_xlfn.TEXTJOIN(",",TRUE,_xlfn.XLOOKUP(_xlfn.TEXTSPLIT(C785,",")*1,_xlfn._TRO_TRAILING(Artists!A:A),_xlfn._TRO_TRAILING(Artists!B:B)))</f>
        <v>Hannah Wilke</v>
      </c>
      <c r="E785">
        <v>1975</v>
      </c>
      <c r="F785" cm="1">
        <f t="array" ref="F785">_xlfn.REGEXEXTRACT(E785,"\d{4}")*1</f>
        <v>1975</v>
      </c>
      <c r="G785" t="s">
        <v>4037</v>
      </c>
      <c r="H785" t="s">
        <v>4038</v>
      </c>
      <c r="I785" t="s">
        <v>2248</v>
      </c>
      <c r="J785" t="s">
        <v>879</v>
      </c>
      <c r="K785" s="1">
        <v>39608</v>
      </c>
      <c r="L785" t="s">
        <v>4039</v>
      </c>
      <c r="M785" t="s">
        <v>4040</v>
      </c>
      <c r="N785" t="s">
        <v>6397</v>
      </c>
    </row>
    <row r="786" spans="1:14" x14ac:dyDescent="0.25">
      <c r="A786">
        <v>119064</v>
      </c>
      <c r="B786" t="s">
        <v>1583</v>
      </c>
      <c r="C786">
        <v>28846</v>
      </c>
      <c r="D786" t="str" cm="1">
        <f t="array" ref="D786">_xlfn.TEXTJOIN(",",TRUE,_xlfn.XLOOKUP(_xlfn.TEXTSPLIT(C786,",")*1,_xlfn._TRO_TRAILING(Artists!A:A),_xlfn._TRO_TRAILING(Artists!B:B)))</f>
        <v>Charline von Heyl</v>
      </c>
      <c r="E786">
        <v>2007</v>
      </c>
      <c r="F786" cm="1">
        <f t="array" ref="F786">_xlfn.REGEXEXTRACT(E786,"\d{4}")*1</f>
        <v>2007</v>
      </c>
      <c r="G786" t="s">
        <v>4041</v>
      </c>
      <c r="H786" t="s">
        <v>4042</v>
      </c>
      <c r="I786" t="s">
        <v>29</v>
      </c>
      <c r="J786" t="s">
        <v>674</v>
      </c>
      <c r="K786" s="1">
        <v>39519</v>
      </c>
      <c r="L786" t="s">
        <v>4043</v>
      </c>
      <c r="M786" t="s">
        <v>4044</v>
      </c>
      <c r="N786" t="s">
        <v>6419</v>
      </c>
    </row>
    <row r="787" spans="1:14" x14ac:dyDescent="0.25">
      <c r="A787">
        <v>119065</v>
      </c>
      <c r="B787" t="s">
        <v>1583</v>
      </c>
      <c r="C787">
        <v>28846</v>
      </c>
      <c r="D787" t="str" cm="1">
        <f t="array" ref="D787">_xlfn.TEXTJOIN(",",TRUE,_xlfn.XLOOKUP(_xlfn.TEXTSPLIT(C787,",")*1,_xlfn._TRO_TRAILING(Artists!A:A),_xlfn._TRO_TRAILING(Artists!B:B)))</f>
        <v>Charline von Heyl</v>
      </c>
      <c r="E787">
        <v>2007</v>
      </c>
      <c r="F787" cm="1">
        <f t="array" ref="F787">_xlfn.REGEXEXTRACT(E787,"\d{4}")*1</f>
        <v>2007</v>
      </c>
      <c r="G787" t="s">
        <v>4041</v>
      </c>
      <c r="H787" t="s">
        <v>4045</v>
      </c>
      <c r="I787" t="s">
        <v>29</v>
      </c>
      <c r="J787" t="s">
        <v>674</v>
      </c>
      <c r="K787" s="1">
        <v>39519</v>
      </c>
      <c r="L787" t="s">
        <v>4046</v>
      </c>
      <c r="M787" t="s">
        <v>4047</v>
      </c>
      <c r="N787" t="s">
        <v>6419</v>
      </c>
    </row>
    <row r="788" spans="1:14" x14ac:dyDescent="0.25">
      <c r="A788">
        <v>119867</v>
      </c>
      <c r="B788" t="s">
        <v>4048</v>
      </c>
      <c r="C788">
        <v>32349</v>
      </c>
      <c r="D788" t="str" cm="1">
        <f t="array" ref="D788">_xlfn.TEXTJOIN(",",TRUE,_xlfn.XLOOKUP(_xlfn.TEXTSPLIT(C788,",")*1,_xlfn._TRO_TRAILING(Artists!A:A),_xlfn._TRO_TRAILING(Artists!B:B)))</f>
        <v>Yvonne Rainer</v>
      </c>
      <c r="E788">
        <v>1978</v>
      </c>
      <c r="F788" cm="1">
        <f t="array" ref="F788">_xlfn.REGEXEXTRACT(E788,"\d{4}")*1</f>
        <v>1978</v>
      </c>
      <c r="G788" t="s">
        <v>4050</v>
      </c>
      <c r="H788" t="s">
        <v>4051</v>
      </c>
      <c r="I788" t="s">
        <v>1626</v>
      </c>
      <c r="J788" t="s">
        <v>3200</v>
      </c>
      <c r="K788" s="1">
        <v>41008</v>
      </c>
      <c r="L788" t="s">
        <v>4052</v>
      </c>
      <c r="M788" t="s">
        <v>4053</v>
      </c>
      <c r="N788" t="s">
        <v>6396</v>
      </c>
    </row>
    <row r="789" spans="1:14" x14ac:dyDescent="0.25">
      <c r="A789">
        <v>122661</v>
      </c>
      <c r="B789" t="s">
        <v>4055</v>
      </c>
      <c r="C789">
        <v>36077</v>
      </c>
      <c r="D789" t="str" cm="1">
        <f t="array" ref="D789">_xlfn.TEXTJOIN(",",TRUE,_xlfn.XLOOKUP(_xlfn.TEXTSPLIT(C789,",")*1,_xlfn._TRO_TRAILING(Artists!A:A),_xlfn._TRO_TRAILING(Artists!B:B)))</f>
        <v>Judit Reigl</v>
      </c>
      <c r="E789" t="s">
        <v>4057</v>
      </c>
      <c r="F789" cm="1">
        <f t="array" ref="F789">_xlfn.REGEXEXTRACT(E789,"\d{4}")*1</f>
        <v>1958</v>
      </c>
      <c r="G789" t="s">
        <v>4058</v>
      </c>
      <c r="H789" t="s">
        <v>4059</v>
      </c>
      <c r="I789" t="s">
        <v>878</v>
      </c>
      <c r="J789" t="s">
        <v>879</v>
      </c>
      <c r="K789" s="1">
        <v>39763</v>
      </c>
      <c r="L789" t="s">
        <v>4060</v>
      </c>
      <c r="M789" t="s">
        <v>4061</v>
      </c>
      <c r="N789" t="s">
        <v>6400</v>
      </c>
    </row>
    <row r="790" spans="1:14" x14ac:dyDescent="0.25">
      <c r="A790">
        <v>125438</v>
      </c>
      <c r="B790" t="s">
        <v>4063</v>
      </c>
      <c r="C790">
        <v>36415</v>
      </c>
      <c r="D790" t="str" cm="1">
        <f t="array" ref="D790">_xlfn.TEXTJOIN(",",TRUE,_xlfn.XLOOKUP(_xlfn.TEXTSPLIT(C790,",")*1,_xlfn._TRO_TRAILING(Artists!A:A),_xlfn._TRO_TRAILING(Artists!B:B)))</f>
        <v>Beatriz González</v>
      </c>
      <c r="E790">
        <v>1967</v>
      </c>
      <c r="F790" cm="1">
        <f t="array" ref="F790">_xlfn.REGEXEXTRACT(E790,"\d{4}")*1</f>
        <v>1967</v>
      </c>
      <c r="G790" t="s">
        <v>1034</v>
      </c>
      <c r="H790" t="s">
        <v>4064</v>
      </c>
      <c r="I790" t="s">
        <v>878</v>
      </c>
      <c r="J790" t="s">
        <v>879</v>
      </c>
      <c r="K790" s="1">
        <v>39855</v>
      </c>
      <c r="L790" t="s">
        <v>4065</v>
      </c>
      <c r="M790" t="s">
        <v>4066</v>
      </c>
      <c r="N790" t="s">
        <v>6394</v>
      </c>
    </row>
    <row r="791" spans="1:14" x14ac:dyDescent="0.25">
      <c r="A791">
        <v>126077</v>
      </c>
      <c r="B791" t="s">
        <v>4067</v>
      </c>
      <c r="C791">
        <v>27881</v>
      </c>
      <c r="D791" t="str" cm="1">
        <f t="array" ref="D791">_xlfn.TEXTJOIN(",",TRUE,_xlfn.XLOOKUP(_xlfn.TEXTSPLIT(C791,",")*1,_xlfn._TRO_TRAILING(Artists!A:A),_xlfn._TRO_TRAILING(Artists!B:B)))</f>
        <v>Paul Kirps</v>
      </c>
      <c r="E791" t="s">
        <v>3776</v>
      </c>
      <c r="F791" cm="1">
        <f t="array" ref="F791">_xlfn.REGEXEXTRACT(E791,"\d{4}")*1</f>
        <v>2002</v>
      </c>
      <c r="G791" t="s">
        <v>26</v>
      </c>
      <c r="H791" t="s">
        <v>663</v>
      </c>
      <c r="I791" t="s">
        <v>95</v>
      </c>
      <c r="J791" t="s">
        <v>19</v>
      </c>
      <c r="K791" s="1">
        <v>38757</v>
      </c>
      <c r="L791" t="s">
        <v>4068</v>
      </c>
      <c r="M791" t="s">
        <v>4069</v>
      </c>
      <c r="N791" t="s">
        <v>6362</v>
      </c>
    </row>
    <row r="792" spans="1:14" x14ac:dyDescent="0.25">
      <c r="A792">
        <v>127182</v>
      </c>
      <c r="B792" t="s">
        <v>4071</v>
      </c>
      <c r="C792">
        <v>37701</v>
      </c>
      <c r="D792" t="str" cm="1">
        <f t="array" ref="D792">_xlfn.TEXTJOIN(",",TRUE,_xlfn.XLOOKUP(_xlfn.TEXTSPLIT(C792,",")*1,_xlfn._TRO_TRAILING(Artists!A:A),_xlfn._TRO_TRAILING(Artists!B:B)))</f>
        <v>Nye Ffarrabas (formerly Bici Forbes and Bici Forbes Hendricks)</v>
      </c>
      <c r="E792" t="s">
        <v>4073</v>
      </c>
      <c r="F792" cm="1">
        <f t="array" ref="F792">_xlfn.REGEXEXTRACT(E792,"\d{4}")*1</f>
        <v>1970</v>
      </c>
      <c r="G792" t="s">
        <v>4074</v>
      </c>
      <c r="H792" t="s">
        <v>4075</v>
      </c>
      <c r="I792" t="s">
        <v>713</v>
      </c>
      <c r="J792" t="s">
        <v>674</v>
      </c>
      <c r="L792" t="s">
        <v>4076</v>
      </c>
      <c r="M792" t="s">
        <v>4077</v>
      </c>
      <c r="N792" t="s">
        <v>6420</v>
      </c>
    </row>
    <row r="793" spans="1:14" x14ac:dyDescent="0.25">
      <c r="A793">
        <v>127355</v>
      </c>
      <c r="B793" t="s">
        <v>4079</v>
      </c>
      <c r="C793" t="s">
        <v>4080</v>
      </c>
      <c r="D793" t="str" cm="1">
        <f t="array" ref="D793">_xlfn.TEXTJOIN(",",TRUE,_xlfn.XLOOKUP(_xlfn.TEXTSPLIT(C793,",")*1,_xlfn._TRO_TRAILING(Artists!A:A),_xlfn._TRO_TRAILING(Artists!B:B)))</f>
        <v>Geoffrey Hendricks,Nye Ffarrabas (formerly Bici Forbes and Bici Forbes Hendricks)</v>
      </c>
      <c r="E793">
        <v>1965</v>
      </c>
      <c r="F793" cm="1">
        <f t="array" ref="F793">_xlfn.REGEXEXTRACT(E793,"\d{4}")*1</f>
        <v>1965</v>
      </c>
      <c r="G793" t="s">
        <v>4081</v>
      </c>
      <c r="H793" t="s">
        <v>4082</v>
      </c>
      <c r="I793" t="s">
        <v>29</v>
      </c>
      <c r="J793" t="s">
        <v>674</v>
      </c>
      <c r="K793" s="1">
        <v>39729</v>
      </c>
      <c r="L793" t="s">
        <v>4083</v>
      </c>
      <c r="M793" t="s">
        <v>4084</v>
      </c>
      <c r="N793" t="s">
        <v>6420</v>
      </c>
    </row>
    <row r="794" spans="1:14" x14ac:dyDescent="0.25">
      <c r="A794">
        <v>127631</v>
      </c>
      <c r="B794" t="s">
        <v>4088</v>
      </c>
      <c r="C794" t="s">
        <v>4089</v>
      </c>
      <c r="D794" t="str" cm="1">
        <f t="array" ref="D794">_xlfn.TEXTJOIN(",",TRUE,_xlfn.XLOOKUP(_xlfn.TEXTSPLIT(C794,",")*1,_xlfn._TRO_TRAILING(Artists!A:A),_xlfn._TRO_TRAILING(Artists!B:B)))</f>
        <v>La Monte Young,Nam June Paik</v>
      </c>
      <c r="E794">
        <v>1962</v>
      </c>
      <c r="F794" cm="1">
        <f t="array" ref="F794">_xlfn.REGEXEXTRACT(E794,"\d{4}")*1</f>
        <v>1962</v>
      </c>
      <c r="G794" t="s">
        <v>664</v>
      </c>
      <c r="H794" t="s">
        <v>4090</v>
      </c>
      <c r="I794" t="s">
        <v>806</v>
      </c>
      <c r="J794" t="s">
        <v>674</v>
      </c>
      <c r="K794" s="1">
        <v>39729</v>
      </c>
      <c r="L794" t="s">
        <v>4091</v>
      </c>
      <c r="M794" t="s">
        <v>4092</v>
      </c>
      <c r="N794" t="s">
        <v>6407</v>
      </c>
    </row>
    <row r="795" spans="1:14" x14ac:dyDescent="0.25">
      <c r="A795">
        <v>127633</v>
      </c>
      <c r="B795" t="s">
        <v>4088</v>
      </c>
      <c r="C795" t="s">
        <v>4089</v>
      </c>
      <c r="D795" t="str" cm="1">
        <f t="array" ref="D795">_xlfn.TEXTJOIN(",",TRUE,_xlfn.XLOOKUP(_xlfn.TEXTSPLIT(C795,",")*1,_xlfn._TRO_TRAILING(Artists!A:A),_xlfn._TRO_TRAILING(Artists!B:B)))</f>
        <v>La Monte Young,Nam June Paik</v>
      </c>
      <c r="E795">
        <v>1962</v>
      </c>
      <c r="F795" cm="1">
        <f t="array" ref="F795">_xlfn.REGEXEXTRACT(E795,"\d{4}")*1</f>
        <v>1962</v>
      </c>
      <c r="G795" t="s">
        <v>664</v>
      </c>
      <c r="H795" t="s">
        <v>4093</v>
      </c>
      <c r="I795" t="s">
        <v>806</v>
      </c>
      <c r="J795" t="s">
        <v>674</v>
      </c>
      <c r="K795" s="1">
        <v>39729</v>
      </c>
      <c r="L795" t="s">
        <v>4094</v>
      </c>
      <c r="M795" t="s">
        <v>4095</v>
      </c>
      <c r="N795" t="s">
        <v>6407</v>
      </c>
    </row>
    <row r="796" spans="1:14" x14ac:dyDescent="0.25">
      <c r="A796">
        <v>127634</v>
      </c>
      <c r="B796" t="s">
        <v>4088</v>
      </c>
      <c r="C796" t="s">
        <v>4089</v>
      </c>
      <c r="D796" t="str" cm="1">
        <f t="array" ref="D796">_xlfn.TEXTJOIN(",",TRUE,_xlfn.XLOOKUP(_xlfn.TEXTSPLIT(C796,",")*1,_xlfn._TRO_TRAILING(Artists!A:A),_xlfn._TRO_TRAILING(Artists!B:B)))</f>
        <v>La Monte Young,Nam June Paik</v>
      </c>
      <c r="E796">
        <v>1962</v>
      </c>
      <c r="F796" cm="1">
        <f t="array" ref="F796">_xlfn.REGEXEXTRACT(E796,"\d{4}")*1</f>
        <v>1962</v>
      </c>
      <c r="G796" t="s">
        <v>664</v>
      </c>
      <c r="H796" t="s">
        <v>4096</v>
      </c>
      <c r="I796" t="s">
        <v>806</v>
      </c>
      <c r="J796" t="s">
        <v>674</v>
      </c>
      <c r="K796" s="1">
        <v>39729</v>
      </c>
      <c r="L796" t="s">
        <v>4097</v>
      </c>
      <c r="M796" t="s">
        <v>4098</v>
      </c>
      <c r="N796" t="s">
        <v>6407</v>
      </c>
    </row>
    <row r="797" spans="1:14" x14ac:dyDescent="0.25">
      <c r="A797">
        <v>127635</v>
      </c>
      <c r="B797" t="s">
        <v>4088</v>
      </c>
      <c r="C797" t="s">
        <v>4089</v>
      </c>
      <c r="D797" t="str" cm="1">
        <f t="array" ref="D797">_xlfn.TEXTJOIN(",",TRUE,_xlfn.XLOOKUP(_xlfn.TEXTSPLIT(C797,",")*1,_xlfn._TRO_TRAILING(Artists!A:A),_xlfn._TRO_TRAILING(Artists!B:B)))</f>
        <v>La Monte Young,Nam June Paik</v>
      </c>
      <c r="E797">
        <v>1962</v>
      </c>
      <c r="F797" cm="1">
        <f t="array" ref="F797">_xlfn.REGEXEXTRACT(E797,"\d{4}")*1</f>
        <v>1962</v>
      </c>
      <c r="G797" t="s">
        <v>664</v>
      </c>
      <c r="H797" t="s">
        <v>4078</v>
      </c>
      <c r="I797" t="s">
        <v>806</v>
      </c>
      <c r="J797" t="s">
        <v>674</v>
      </c>
      <c r="K797" s="1">
        <v>39729</v>
      </c>
      <c r="L797" t="s">
        <v>4099</v>
      </c>
      <c r="M797" t="s">
        <v>4100</v>
      </c>
      <c r="N797" t="s">
        <v>6407</v>
      </c>
    </row>
    <row r="798" spans="1:14" x14ac:dyDescent="0.25">
      <c r="A798">
        <v>127636</v>
      </c>
      <c r="B798" t="s">
        <v>4088</v>
      </c>
      <c r="C798" t="s">
        <v>4089</v>
      </c>
      <c r="D798" t="str" cm="1">
        <f t="array" ref="D798">_xlfn.TEXTJOIN(",",TRUE,_xlfn.XLOOKUP(_xlfn.TEXTSPLIT(C798,",")*1,_xlfn._TRO_TRAILING(Artists!A:A),_xlfn._TRO_TRAILING(Artists!B:B)))</f>
        <v>La Monte Young,Nam June Paik</v>
      </c>
      <c r="E798">
        <v>1962</v>
      </c>
      <c r="F798" cm="1">
        <f t="array" ref="F798">_xlfn.REGEXEXTRACT(E798,"\d{4}")*1</f>
        <v>1962</v>
      </c>
      <c r="G798" t="s">
        <v>664</v>
      </c>
      <c r="H798" t="s">
        <v>4087</v>
      </c>
      <c r="I798" t="s">
        <v>806</v>
      </c>
      <c r="J798" t="s">
        <v>674</v>
      </c>
      <c r="K798" s="1">
        <v>39729</v>
      </c>
      <c r="L798" t="s">
        <v>4101</v>
      </c>
      <c r="M798" t="s">
        <v>4102</v>
      </c>
      <c r="N798" t="s">
        <v>6407</v>
      </c>
    </row>
    <row r="799" spans="1:14" x14ac:dyDescent="0.25">
      <c r="A799">
        <v>127637</v>
      </c>
      <c r="B799" t="s">
        <v>4088</v>
      </c>
      <c r="C799" t="s">
        <v>4089</v>
      </c>
      <c r="D799" t="str" cm="1">
        <f t="array" ref="D799">_xlfn.TEXTJOIN(",",TRUE,_xlfn.XLOOKUP(_xlfn.TEXTSPLIT(C799,",")*1,_xlfn._TRO_TRAILING(Artists!A:A),_xlfn._TRO_TRAILING(Artists!B:B)))</f>
        <v>La Monte Young,Nam June Paik</v>
      </c>
      <c r="E799">
        <v>1962</v>
      </c>
      <c r="F799" cm="1">
        <f t="array" ref="F799">_xlfn.REGEXEXTRACT(E799,"\d{4}")*1</f>
        <v>1962</v>
      </c>
      <c r="G799" t="s">
        <v>664</v>
      </c>
      <c r="H799" t="s">
        <v>4078</v>
      </c>
      <c r="I799" t="s">
        <v>806</v>
      </c>
      <c r="J799" t="s">
        <v>674</v>
      </c>
      <c r="K799" s="1">
        <v>39729</v>
      </c>
      <c r="L799" t="s">
        <v>4103</v>
      </c>
      <c r="M799" t="s">
        <v>4104</v>
      </c>
      <c r="N799" t="s">
        <v>6407</v>
      </c>
    </row>
    <row r="800" spans="1:14" x14ac:dyDescent="0.25">
      <c r="A800">
        <v>128090</v>
      </c>
      <c r="B800" t="s">
        <v>4106</v>
      </c>
      <c r="C800">
        <v>36471</v>
      </c>
      <c r="D800" t="str" cm="1">
        <f t="array" ref="D800">_xlfn.TEXTJOIN(",",TRUE,_xlfn.XLOOKUP(_xlfn.TEXTSPLIT(C800,",")*1,_xlfn._TRO_TRAILING(Artists!A:A),_xlfn._TRO_TRAILING(Artists!B:B)))</f>
        <v>Alison Knowles</v>
      </c>
      <c r="E800" t="s">
        <v>1016</v>
      </c>
      <c r="F800" cm="1">
        <f t="array" ref="F800">_xlfn.REGEXEXTRACT(E800,"\d{4}")*1</f>
        <v>1964</v>
      </c>
      <c r="G800" t="s">
        <v>4107</v>
      </c>
      <c r="H800" t="s">
        <v>4108</v>
      </c>
      <c r="I800" t="s">
        <v>713</v>
      </c>
      <c r="J800" t="s">
        <v>674</v>
      </c>
      <c r="K800" s="1">
        <v>39729</v>
      </c>
      <c r="L800" t="s">
        <v>4109</v>
      </c>
      <c r="M800" t="s">
        <v>4110</v>
      </c>
      <c r="N800" t="s">
        <v>6420</v>
      </c>
    </row>
    <row r="801" spans="1:14" x14ac:dyDescent="0.25">
      <c r="A801">
        <v>128127</v>
      </c>
      <c r="B801" t="s">
        <v>4105</v>
      </c>
      <c r="C801">
        <v>5403</v>
      </c>
      <c r="D801" t="str" cm="1">
        <f t="array" ref="D801">_xlfn.TEXTJOIN(",",TRUE,_xlfn.XLOOKUP(_xlfn.TEXTSPLIT(C801,",")*1,_xlfn._TRO_TRAILING(Artists!A:A),_xlfn._TRO_TRAILING(Artists!B:B)))</f>
        <v>Mieko Shiomi</v>
      </c>
      <c r="E801" t="s">
        <v>106</v>
      </c>
      <c r="F801" cm="1">
        <f t="array" ref="F801">_xlfn.REGEXEXTRACT(E801,"\d{4}")*1</f>
        <v>1965</v>
      </c>
      <c r="G801" t="s">
        <v>4111</v>
      </c>
      <c r="H801" t="s">
        <v>4112</v>
      </c>
      <c r="I801" t="s">
        <v>673</v>
      </c>
      <c r="J801" t="s">
        <v>674</v>
      </c>
      <c r="K801" s="1">
        <v>39729</v>
      </c>
      <c r="L801" t="s">
        <v>4113</v>
      </c>
      <c r="M801" t="s">
        <v>4114</v>
      </c>
      <c r="N801" t="s">
        <v>6420</v>
      </c>
    </row>
    <row r="802" spans="1:14" x14ac:dyDescent="0.25">
      <c r="A802">
        <v>128172</v>
      </c>
      <c r="B802" t="s">
        <v>4115</v>
      </c>
      <c r="C802">
        <v>21398</v>
      </c>
      <c r="D802" t="str" cm="1">
        <f t="array" ref="D802">_xlfn.TEXTJOIN(",",TRUE,_xlfn.XLOOKUP(_xlfn.TEXTSPLIT(C802,",")*1,_xlfn._TRO_TRAILING(Artists!A:A),_xlfn._TRO_TRAILING(Artists!B:B)))</f>
        <v>George Maciunas</v>
      </c>
      <c r="E802">
        <v>1973</v>
      </c>
      <c r="F802" cm="1">
        <f t="array" ref="F802">_xlfn.REGEXEXTRACT(E802,"\d{4}")*1</f>
        <v>1973</v>
      </c>
      <c r="G802" t="s">
        <v>4116</v>
      </c>
      <c r="H802" t="s">
        <v>4117</v>
      </c>
      <c r="I802" t="s">
        <v>713</v>
      </c>
      <c r="J802" t="s">
        <v>674</v>
      </c>
      <c r="K802" s="1">
        <v>39729</v>
      </c>
      <c r="L802" t="s">
        <v>4118</v>
      </c>
      <c r="M802" t="s">
        <v>4119</v>
      </c>
      <c r="N802" t="s">
        <v>6360</v>
      </c>
    </row>
    <row r="803" spans="1:14" x14ac:dyDescent="0.25">
      <c r="A803">
        <v>128480</v>
      </c>
      <c r="B803" t="s">
        <v>51</v>
      </c>
      <c r="C803">
        <v>5799</v>
      </c>
      <c r="D803" t="str" cm="1">
        <f t="array" ref="D803">_xlfn.TEXTJOIN(",",TRUE,_xlfn.XLOOKUP(_xlfn.TEXTSPLIT(C803,",")*1,_xlfn._TRO_TRAILING(Artists!A:A),_xlfn._TRO_TRAILING(Artists!B:B)))</f>
        <v>Atsuko Tanaka</v>
      </c>
      <c r="E803">
        <v>1956</v>
      </c>
      <c r="F803" cm="1">
        <f t="array" ref="F803">_xlfn.REGEXEXTRACT(E803,"\d{4}")*1</f>
        <v>1956</v>
      </c>
      <c r="G803" t="s">
        <v>4120</v>
      </c>
      <c r="H803" t="s">
        <v>4121</v>
      </c>
      <c r="I803" t="s">
        <v>675</v>
      </c>
      <c r="J803" t="s">
        <v>674</v>
      </c>
      <c r="K803" s="1">
        <v>40219</v>
      </c>
      <c r="L803" t="s">
        <v>4122</v>
      </c>
      <c r="M803" t="s">
        <v>4123</v>
      </c>
      <c r="N803" t="s">
        <v>6376</v>
      </c>
    </row>
    <row r="804" spans="1:14" x14ac:dyDescent="0.25">
      <c r="A804">
        <v>129387</v>
      </c>
      <c r="B804" t="s">
        <v>4124</v>
      </c>
      <c r="C804" t="s">
        <v>4125</v>
      </c>
      <c r="D804" t="str" cm="1">
        <f t="array" ref="D804">_xlfn.TEXTJOIN(",",TRUE,_xlfn.XLOOKUP(_xlfn.TEXTSPLIT(C804,",")*1,_xlfn._TRO_TRAILING(Artists!A:A),_xlfn._TRO_TRAILING(Artists!B:B)))</f>
        <v>Dankmar Adler,Louis Sullivan</v>
      </c>
      <c r="E804" t="s">
        <v>1681</v>
      </c>
      <c r="F804" cm="1">
        <f t="array" ref="F804">_xlfn.REGEXEXTRACT(E804,"\d{4}")*1</f>
        <v>1893</v>
      </c>
      <c r="G804" t="s">
        <v>1034</v>
      </c>
      <c r="H804" t="s">
        <v>4126</v>
      </c>
      <c r="I804" t="s">
        <v>18</v>
      </c>
      <c r="J804" t="s">
        <v>19</v>
      </c>
      <c r="K804" s="1">
        <v>40079</v>
      </c>
      <c r="L804" t="s">
        <v>4127</v>
      </c>
      <c r="M804" t="s">
        <v>4128</v>
      </c>
      <c r="N804" t="s">
        <v>6370</v>
      </c>
    </row>
    <row r="805" spans="1:14" x14ac:dyDescent="0.25">
      <c r="A805">
        <v>133319</v>
      </c>
      <c r="B805" t="s">
        <v>4131</v>
      </c>
      <c r="C805">
        <v>27445</v>
      </c>
      <c r="D805" t="str" cm="1">
        <f t="array" ref="D805">_xlfn.TEXTJOIN(",",TRUE,_xlfn.XLOOKUP(_xlfn.TEXTSPLIT(C805,",")*1,_xlfn._TRO_TRAILING(Artists!A:A),_xlfn._TRO_TRAILING(Artists!B:B)))</f>
        <v>Lygia Clark</v>
      </c>
      <c r="E805">
        <v>1963</v>
      </c>
      <c r="F805" cm="1">
        <f t="array" ref="F805">_xlfn.REGEXEXTRACT(E805,"\d{4}")*1</f>
        <v>1963</v>
      </c>
      <c r="G805" t="s">
        <v>91</v>
      </c>
      <c r="H805" t="s">
        <v>4132</v>
      </c>
      <c r="I805" t="s">
        <v>2248</v>
      </c>
      <c r="J805" t="s">
        <v>879</v>
      </c>
      <c r="K805" s="1">
        <v>40889</v>
      </c>
      <c r="L805" t="s">
        <v>4133</v>
      </c>
      <c r="M805" t="s">
        <v>4134</v>
      </c>
      <c r="N805" t="s">
        <v>6371</v>
      </c>
    </row>
    <row r="806" spans="1:14" x14ac:dyDescent="0.25">
      <c r="A806">
        <v>134272</v>
      </c>
      <c r="B806" t="s">
        <v>4136</v>
      </c>
      <c r="C806">
        <v>37934</v>
      </c>
      <c r="D806" t="str" cm="1">
        <f t="array" ref="D806">_xlfn.TEXTJOIN(",",TRUE,_xlfn.XLOOKUP(_xlfn.TEXTSPLIT(C806,",")*1,_xlfn._TRO_TRAILING(Artists!A:A),_xlfn._TRO_TRAILING(Artists!B:B)))</f>
        <v>Haegue Yang</v>
      </c>
      <c r="E806">
        <v>2009</v>
      </c>
      <c r="F806" cm="1">
        <f t="array" ref="F806">_xlfn.REGEXEXTRACT(E806,"\d{4}")*1</f>
        <v>2009</v>
      </c>
      <c r="G806" t="s">
        <v>4138</v>
      </c>
      <c r="H806" t="s">
        <v>4139</v>
      </c>
      <c r="I806" t="s">
        <v>2248</v>
      </c>
      <c r="J806" t="s">
        <v>879</v>
      </c>
      <c r="K806" s="1">
        <v>40336</v>
      </c>
      <c r="L806" t="s">
        <v>4140</v>
      </c>
      <c r="M806" t="s">
        <v>4141</v>
      </c>
      <c r="N806" t="s">
        <v>6382</v>
      </c>
    </row>
    <row r="807" spans="1:14" x14ac:dyDescent="0.25">
      <c r="A807">
        <v>134489</v>
      </c>
      <c r="B807" t="s">
        <v>4143</v>
      </c>
      <c r="C807">
        <v>402</v>
      </c>
      <c r="D807" t="str" cm="1">
        <f t="array" ref="D807">_xlfn.TEXTJOIN(",",TRUE,_xlfn.XLOOKUP(_xlfn.TEXTSPLIT(C807,",")*1,_xlfn._TRO_TRAILING(Artists!A:A),_xlfn._TRO_TRAILING(Artists!B:B)))</f>
        <v>Thomas Bayrle</v>
      </c>
      <c r="E807">
        <v>1967</v>
      </c>
      <c r="F807" cm="1">
        <f t="array" ref="F807">_xlfn.REGEXEXTRACT(E807,"\d{4}")*1</f>
        <v>1967</v>
      </c>
      <c r="G807" t="s">
        <v>1692</v>
      </c>
      <c r="H807" t="s">
        <v>4144</v>
      </c>
      <c r="I807" t="s">
        <v>1693</v>
      </c>
      <c r="J807" t="s">
        <v>674</v>
      </c>
      <c r="K807" s="1">
        <v>40246</v>
      </c>
      <c r="L807" t="s">
        <v>4145</v>
      </c>
      <c r="M807" t="s">
        <v>4146</v>
      </c>
      <c r="N807" t="s">
        <v>6394</v>
      </c>
    </row>
    <row r="808" spans="1:14" x14ac:dyDescent="0.25">
      <c r="A808">
        <v>135445</v>
      </c>
      <c r="B808" t="s">
        <v>4149</v>
      </c>
      <c r="C808">
        <v>37701</v>
      </c>
      <c r="D808" t="str" cm="1">
        <f t="array" ref="D808">_xlfn.TEXTJOIN(",",TRUE,_xlfn.XLOOKUP(_xlfn.TEXTSPLIT(C808,",")*1,_xlfn._TRO_TRAILING(Artists!A:A),_xlfn._TRO_TRAILING(Artists!B:B)))</f>
        <v>Nye Ffarrabas (formerly Bici Forbes and Bici Forbes Hendricks)</v>
      </c>
      <c r="E808">
        <v>1966</v>
      </c>
      <c r="F808" cm="1">
        <f t="array" ref="F808">_xlfn.REGEXEXTRACT(E808,"\d{4}")*1</f>
        <v>1966</v>
      </c>
      <c r="G808" t="s">
        <v>4150</v>
      </c>
      <c r="H808" t="s">
        <v>4151</v>
      </c>
      <c r="I808" t="s">
        <v>29</v>
      </c>
      <c r="J808" t="s">
        <v>674</v>
      </c>
      <c r="K808" s="1">
        <v>39729</v>
      </c>
      <c r="L808" t="s">
        <v>4152</v>
      </c>
      <c r="M808" t="s">
        <v>4153</v>
      </c>
      <c r="N808" t="s">
        <v>6420</v>
      </c>
    </row>
    <row r="809" spans="1:14" x14ac:dyDescent="0.25">
      <c r="A809">
        <v>135452</v>
      </c>
      <c r="B809" t="s">
        <v>4154</v>
      </c>
      <c r="C809">
        <v>37701</v>
      </c>
      <c r="D809" t="str" cm="1">
        <f t="array" ref="D809">_xlfn.TEXTJOIN(",",TRUE,_xlfn.XLOOKUP(_xlfn.TEXTSPLIT(C809,",")*1,_xlfn._TRO_TRAILING(Artists!A:A),_xlfn._TRO_TRAILING(Artists!B:B)))</f>
        <v>Nye Ffarrabas (formerly Bici Forbes and Bici Forbes Hendricks)</v>
      </c>
      <c r="E809">
        <v>1966</v>
      </c>
      <c r="F809" cm="1">
        <f t="array" ref="F809">_xlfn.REGEXEXTRACT(E809,"\d{4}")*1</f>
        <v>1966</v>
      </c>
      <c r="G809" t="s">
        <v>4155</v>
      </c>
      <c r="H809" t="s">
        <v>4156</v>
      </c>
      <c r="I809" t="s">
        <v>713</v>
      </c>
      <c r="J809" t="s">
        <v>674</v>
      </c>
      <c r="K809" s="1">
        <v>39729</v>
      </c>
      <c r="L809" t="s">
        <v>4157</v>
      </c>
      <c r="M809" t="s">
        <v>4158</v>
      </c>
      <c r="N809" t="s">
        <v>6420</v>
      </c>
    </row>
    <row r="810" spans="1:14" x14ac:dyDescent="0.25">
      <c r="A810">
        <v>140178</v>
      </c>
      <c r="B810" t="s">
        <v>2718</v>
      </c>
      <c r="C810">
        <v>412</v>
      </c>
      <c r="D810" t="str" cm="1">
        <f t="array" ref="D810">_xlfn.TEXTJOIN(",",TRUE,_xlfn.XLOOKUP(_xlfn.TEXTSPLIT(C810,",")*1,_xlfn._TRO_TRAILING(Artists!A:A),_xlfn._TRO_TRAILING(Artists!B:B)))</f>
        <v>Romare Bearden</v>
      </c>
      <c r="E810">
        <v>1970</v>
      </c>
      <c r="F810" cm="1">
        <f t="array" ref="F810">_xlfn.REGEXEXTRACT(E810,"\d{4}")*1</f>
        <v>1970</v>
      </c>
      <c r="G810" t="s">
        <v>900</v>
      </c>
      <c r="H810" t="s">
        <v>4161</v>
      </c>
      <c r="I810" t="s">
        <v>675</v>
      </c>
      <c r="J810" t="s">
        <v>674</v>
      </c>
      <c r="K810" s="1">
        <v>40437</v>
      </c>
      <c r="L810" t="s">
        <v>4162</v>
      </c>
      <c r="M810" t="s">
        <v>4163</v>
      </c>
      <c r="N810" t="s">
        <v>6383</v>
      </c>
    </row>
    <row r="811" spans="1:14" x14ac:dyDescent="0.25">
      <c r="A811">
        <v>140333</v>
      </c>
      <c r="B811" t="s">
        <v>1592</v>
      </c>
      <c r="C811">
        <v>1467</v>
      </c>
      <c r="D811" t="str" cm="1">
        <f t="array" ref="D811">_xlfn.TEXTJOIN(",",TRUE,_xlfn.XLOOKUP(_xlfn.TEXTSPLIT(C811,",")*1,_xlfn._TRO_TRAILING(Artists!A:A),_xlfn._TRO_TRAILING(Artists!B:B)))</f>
        <v>Dorothy Dehner</v>
      </c>
      <c r="E811">
        <v>1969</v>
      </c>
      <c r="F811" cm="1">
        <f t="array" ref="F811">_xlfn.REGEXEXTRACT(E811,"\d{4}")*1</f>
        <v>1969</v>
      </c>
      <c r="G811" t="s">
        <v>4164</v>
      </c>
      <c r="H811" t="s">
        <v>4165</v>
      </c>
      <c r="I811" t="s">
        <v>2248</v>
      </c>
      <c r="J811" t="s">
        <v>879</v>
      </c>
      <c r="K811" s="1">
        <v>40434</v>
      </c>
      <c r="L811" t="s">
        <v>4166</v>
      </c>
      <c r="M811" t="s">
        <v>4167</v>
      </c>
      <c r="N811" t="s">
        <v>6378</v>
      </c>
    </row>
    <row r="812" spans="1:14" x14ac:dyDescent="0.25">
      <c r="A812">
        <v>140482</v>
      </c>
      <c r="B812" t="s">
        <v>4168</v>
      </c>
      <c r="C812">
        <v>5988</v>
      </c>
      <c r="D812" t="str" cm="1">
        <f t="array" ref="D812">_xlfn.TEXTJOIN(",",TRUE,_xlfn.XLOOKUP(_xlfn.TEXTSPLIT(C812,",")*1,_xlfn._TRO_TRAILING(Artists!A:A),_xlfn._TRO_TRAILING(Artists!B:B)))</f>
        <v>Cy Twombly</v>
      </c>
      <c r="E812" t="s">
        <v>4169</v>
      </c>
      <c r="F812" cm="1">
        <f t="array" ref="F812">_xlfn.REGEXEXTRACT(E812,"\d{4}")*1</f>
        <v>1955</v>
      </c>
      <c r="G812" t="s">
        <v>4170</v>
      </c>
      <c r="H812" t="s">
        <v>4171</v>
      </c>
      <c r="I812" t="s">
        <v>878</v>
      </c>
      <c r="J812" t="s">
        <v>879</v>
      </c>
      <c r="K812" s="1">
        <v>40521</v>
      </c>
      <c r="L812" t="s">
        <v>4172</v>
      </c>
      <c r="M812" t="s">
        <v>4173</v>
      </c>
      <c r="N812" t="s">
        <v>6407</v>
      </c>
    </row>
    <row r="813" spans="1:14" x14ac:dyDescent="0.25">
      <c r="A813">
        <v>141034</v>
      </c>
      <c r="B813" t="s">
        <v>51</v>
      </c>
      <c r="C813">
        <v>8595</v>
      </c>
      <c r="D813" t="str" cm="1">
        <f t="array" ref="D813">_xlfn.TEXTJOIN(",",TRUE,_xlfn.XLOOKUP(_xlfn.TEXTSPLIT(C813,",")*1,_xlfn._TRO_TRAILING(Artists!A:A),_xlfn._TRO_TRAILING(Artists!B:B)))</f>
        <v>Unidentified photographer</v>
      </c>
      <c r="E813" s="2">
        <v>18048</v>
      </c>
      <c r="F813" cm="1">
        <f t="array" ref="F813">_xlfn.REGEXEXTRACT(E813,"\d{4}")*1</f>
        <v>1804</v>
      </c>
      <c r="G813" t="s">
        <v>664</v>
      </c>
      <c r="H813" t="s">
        <v>4174</v>
      </c>
      <c r="I813" t="s">
        <v>806</v>
      </c>
      <c r="J813" t="s">
        <v>1140</v>
      </c>
      <c r="K813" s="1">
        <v>40458</v>
      </c>
      <c r="L813" t="s">
        <v>4175</v>
      </c>
      <c r="M813" t="s">
        <v>4176</v>
      </c>
      <c r="N813" t="s">
        <v>6393</v>
      </c>
    </row>
    <row r="814" spans="1:14" x14ac:dyDescent="0.25">
      <c r="A814">
        <v>141041</v>
      </c>
      <c r="B814" t="s">
        <v>4177</v>
      </c>
      <c r="C814">
        <v>38854</v>
      </c>
      <c r="D814" t="str" cm="1">
        <f t="array" ref="D814">_xlfn.TEXTJOIN(",",TRUE,_xlfn.XLOOKUP(_xlfn.TEXTSPLIT(C814,",")*1,_xlfn._TRO_TRAILING(Artists!A:A),_xlfn._TRO_TRAILING(Artists!B:B)))</f>
        <v>Louis Emerman</v>
      </c>
      <c r="E814" t="s">
        <v>4179</v>
      </c>
      <c r="F814" cm="1">
        <f t="array" ref="F814">_xlfn.REGEXEXTRACT(E814,"\d{4}")*1</f>
        <v>1923</v>
      </c>
      <c r="G814" t="s">
        <v>664</v>
      </c>
      <c r="H814" t="s">
        <v>4180</v>
      </c>
      <c r="I814" t="s">
        <v>806</v>
      </c>
      <c r="J814" t="s">
        <v>1140</v>
      </c>
      <c r="K814" s="1">
        <v>40458</v>
      </c>
      <c r="L814" t="s">
        <v>4181</v>
      </c>
      <c r="M814" t="s">
        <v>4182</v>
      </c>
      <c r="N814" t="s">
        <v>6393</v>
      </c>
    </row>
    <row r="815" spans="1:14" x14ac:dyDescent="0.25">
      <c r="A815">
        <v>141097</v>
      </c>
      <c r="B815" t="s">
        <v>51</v>
      </c>
      <c r="C815">
        <v>8595</v>
      </c>
      <c r="D815" t="str" cm="1">
        <f t="array" ref="D815">_xlfn.TEXTJOIN(",",TRUE,_xlfn.XLOOKUP(_xlfn.TEXTSPLIT(C815,",")*1,_xlfn._TRO_TRAILING(Artists!A:A),_xlfn._TRO_TRAILING(Artists!B:B)))</f>
        <v>Unidentified photographer</v>
      </c>
      <c r="E815" t="s">
        <v>135</v>
      </c>
      <c r="F815" cm="1">
        <f t="array" ref="F815">_xlfn.REGEXEXTRACT(E815,"\d{4}")*1</f>
        <v>1950</v>
      </c>
      <c r="G815" t="s">
        <v>664</v>
      </c>
      <c r="H815" t="s">
        <v>4183</v>
      </c>
      <c r="I815" t="s">
        <v>806</v>
      </c>
      <c r="J815" t="s">
        <v>1140</v>
      </c>
      <c r="K815" s="1">
        <v>40458</v>
      </c>
      <c r="L815" t="s">
        <v>4184</v>
      </c>
      <c r="M815" t="s">
        <v>4185</v>
      </c>
      <c r="N815" t="s">
        <v>6393</v>
      </c>
    </row>
    <row r="816" spans="1:14" x14ac:dyDescent="0.25">
      <c r="A816">
        <v>141124</v>
      </c>
      <c r="B816" t="s">
        <v>51</v>
      </c>
      <c r="C816">
        <v>8595</v>
      </c>
      <c r="D816" t="str" cm="1">
        <f t="array" ref="D816">_xlfn.TEXTJOIN(",",TRUE,_xlfn.XLOOKUP(_xlfn.TEXTSPLIT(C816,",")*1,_xlfn._TRO_TRAILING(Artists!A:A),_xlfn._TRO_TRAILING(Artists!B:B)))</f>
        <v>Unidentified photographer</v>
      </c>
      <c r="E816" t="s">
        <v>161</v>
      </c>
      <c r="F816" cm="1">
        <f t="array" ref="F816">_xlfn.REGEXEXTRACT(E816,"\d{4}")*1</f>
        <v>1945</v>
      </c>
      <c r="G816" t="s">
        <v>664</v>
      </c>
      <c r="H816" t="s">
        <v>4186</v>
      </c>
      <c r="I816" t="s">
        <v>806</v>
      </c>
      <c r="J816" t="s">
        <v>1140</v>
      </c>
      <c r="K816" s="1">
        <v>40458</v>
      </c>
      <c r="L816" t="s">
        <v>4187</v>
      </c>
      <c r="M816" t="s">
        <v>4188</v>
      </c>
      <c r="N816" t="s">
        <v>6393</v>
      </c>
    </row>
    <row r="817" spans="1:14" x14ac:dyDescent="0.25">
      <c r="A817">
        <v>141225</v>
      </c>
      <c r="B817" t="s">
        <v>51</v>
      </c>
      <c r="C817">
        <v>8595</v>
      </c>
      <c r="D817" t="str" cm="1">
        <f t="array" ref="D817">_xlfn.TEXTJOIN(",",TRUE,_xlfn.XLOOKUP(_xlfn.TEXTSPLIT(C817,",")*1,_xlfn._TRO_TRAILING(Artists!A:A),_xlfn._TRO_TRAILING(Artists!B:B)))</f>
        <v>Unidentified photographer</v>
      </c>
      <c r="E817" t="s">
        <v>184</v>
      </c>
      <c r="F817" cm="1">
        <f t="array" ref="F817">_xlfn.REGEXEXTRACT(E817,"\d{4}")*1</f>
        <v>1920</v>
      </c>
      <c r="G817" t="s">
        <v>664</v>
      </c>
      <c r="H817" t="s">
        <v>4189</v>
      </c>
      <c r="I817" t="s">
        <v>806</v>
      </c>
      <c r="J817" t="s">
        <v>1140</v>
      </c>
      <c r="K817" s="1">
        <v>40458</v>
      </c>
      <c r="L817" t="s">
        <v>4190</v>
      </c>
      <c r="M817" t="s">
        <v>4191</v>
      </c>
      <c r="N817" t="s">
        <v>6393</v>
      </c>
    </row>
    <row r="818" spans="1:14" x14ac:dyDescent="0.25">
      <c r="A818">
        <v>141264</v>
      </c>
      <c r="B818" t="s">
        <v>51</v>
      </c>
      <c r="C818">
        <v>8595</v>
      </c>
      <c r="D818" t="str" cm="1">
        <f t="array" ref="D818">_xlfn.TEXTJOIN(",",TRUE,_xlfn.XLOOKUP(_xlfn.TEXTSPLIT(C818,",")*1,_xlfn._TRO_TRAILING(Artists!A:A),_xlfn._TRO_TRAILING(Artists!B:B)))</f>
        <v>Unidentified photographer</v>
      </c>
      <c r="E818" t="s">
        <v>68</v>
      </c>
      <c r="F818" cm="1">
        <f t="array" ref="F818">_xlfn.REGEXEXTRACT(E818,"\d{4}")*1</f>
        <v>1930</v>
      </c>
      <c r="G818" t="s">
        <v>664</v>
      </c>
      <c r="H818" t="s">
        <v>4192</v>
      </c>
      <c r="I818" t="s">
        <v>806</v>
      </c>
      <c r="J818" t="s">
        <v>1140</v>
      </c>
      <c r="K818" s="1">
        <v>40458</v>
      </c>
      <c r="L818" t="s">
        <v>4193</v>
      </c>
      <c r="M818" t="s">
        <v>4194</v>
      </c>
      <c r="N818" t="s">
        <v>6393</v>
      </c>
    </row>
    <row r="819" spans="1:14" x14ac:dyDescent="0.25">
      <c r="A819">
        <v>143370</v>
      </c>
      <c r="B819" t="s">
        <v>4196</v>
      </c>
      <c r="C819">
        <v>33915</v>
      </c>
      <c r="D819" t="str" cm="1">
        <f t="array" ref="D819">_xlfn.TEXTJOIN(",",TRUE,_xlfn.XLOOKUP(_xlfn.TEXTSPLIT(C819,",")*1,_xlfn._TRO_TRAILING(Artists!A:A),_xlfn._TRO_TRAILING(Artists!B:B)))</f>
        <v>Huma Bhabha</v>
      </c>
      <c r="E819">
        <v>2010</v>
      </c>
      <c r="F819" cm="1">
        <f t="array" ref="F819">_xlfn.REGEXEXTRACT(E819,"\d{4}")*1</f>
        <v>2010</v>
      </c>
      <c r="G819" t="s">
        <v>4197</v>
      </c>
      <c r="H819" t="s">
        <v>4198</v>
      </c>
      <c r="I819" t="s">
        <v>2248</v>
      </c>
      <c r="J819" t="s">
        <v>879</v>
      </c>
      <c r="K819" s="1">
        <v>40582</v>
      </c>
      <c r="L819" t="s">
        <v>4199</v>
      </c>
      <c r="M819" t="s">
        <v>4200</v>
      </c>
      <c r="N819" t="s">
        <v>6418</v>
      </c>
    </row>
    <row r="820" spans="1:14" x14ac:dyDescent="0.25">
      <c r="A820">
        <v>145867</v>
      </c>
      <c r="B820" t="s">
        <v>4202</v>
      </c>
      <c r="C820">
        <v>8073</v>
      </c>
      <c r="D820" t="str" cm="1">
        <f t="array" ref="D820">_xlfn.TEXTJOIN(",",TRUE,_xlfn.XLOOKUP(_xlfn.TEXTSPLIT(C820,",")*1,_xlfn._TRO_TRAILING(Artists!A:A),_xlfn._TRO_TRAILING(Artists!B:B)))</f>
        <v>Cai Guo-Qiang</v>
      </c>
      <c r="E820">
        <v>2006</v>
      </c>
      <c r="F820" cm="1">
        <f t="array" ref="F820">_xlfn.REGEXEXTRACT(E820,"\d{4}")*1</f>
        <v>2006</v>
      </c>
      <c r="G820" t="s">
        <v>4203</v>
      </c>
      <c r="H820" t="s">
        <v>4204</v>
      </c>
      <c r="I820" t="s">
        <v>29</v>
      </c>
      <c r="J820" t="s">
        <v>674</v>
      </c>
      <c r="K820" s="1">
        <v>39398</v>
      </c>
      <c r="L820" t="s">
        <v>4205</v>
      </c>
      <c r="M820" t="s">
        <v>3979</v>
      </c>
      <c r="N820" t="s">
        <v>6418</v>
      </c>
    </row>
    <row r="821" spans="1:14" x14ac:dyDescent="0.25">
      <c r="A821">
        <v>145868</v>
      </c>
      <c r="B821" t="s">
        <v>4206</v>
      </c>
      <c r="C821">
        <v>8073</v>
      </c>
      <c r="D821" t="str" cm="1">
        <f t="array" ref="D821">_xlfn.TEXTJOIN(",",TRUE,_xlfn.XLOOKUP(_xlfn.TEXTSPLIT(C821,",")*1,_xlfn._TRO_TRAILING(Artists!A:A),_xlfn._TRO_TRAILING(Artists!B:B)))</f>
        <v>Cai Guo-Qiang</v>
      </c>
      <c r="E821">
        <v>2006</v>
      </c>
      <c r="F821" cm="1">
        <f t="array" ref="F821">_xlfn.REGEXEXTRACT(E821,"\d{4}")*1</f>
        <v>2006</v>
      </c>
      <c r="G821" t="s">
        <v>4203</v>
      </c>
      <c r="H821" t="s">
        <v>4207</v>
      </c>
      <c r="I821" t="s">
        <v>29</v>
      </c>
      <c r="J821" t="s">
        <v>674</v>
      </c>
      <c r="K821" s="1">
        <v>39398</v>
      </c>
      <c r="L821" t="s">
        <v>4208</v>
      </c>
      <c r="M821" t="s">
        <v>4209</v>
      </c>
      <c r="N821" t="s">
        <v>6418</v>
      </c>
    </row>
    <row r="822" spans="1:14" x14ac:dyDescent="0.25">
      <c r="A822">
        <v>145869</v>
      </c>
      <c r="B822" t="s">
        <v>4210</v>
      </c>
      <c r="C822">
        <v>8073</v>
      </c>
      <c r="D822" t="str" cm="1">
        <f t="array" ref="D822">_xlfn.TEXTJOIN(",",TRUE,_xlfn.XLOOKUP(_xlfn.TEXTSPLIT(C822,",")*1,_xlfn._TRO_TRAILING(Artists!A:A),_xlfn._TRO_TRAILING(Artists!B:B)))</f>
        <v>Cai Guo-Qiang</v>
      </c>
      <c r="E822">
        <v>2006</v>
      </c>
      <c r="F822" cm="1">
        <f t="array" ref="F822">_xlfn.REGEXEXTRACT(E822,"\d{4}")*1</f>
        <v>2006</v>
      </c>
      <c r="G822" t="s">
        <v>4203</v>
      </c>
      <c r="H822" t="s">
        <v>4211</v>
      </c>
      <c r="I822" t="s">
        <v>29</v>
      </c>
      <c r="J822" t="s">
        <v>674</v>
      </c>
      <c r="K822" s="1">
        <v>39398</v>
      </c>
      <c r="L822" t="s">
        <v>4212</v>
      </c>
      <c r="M822" t="s">
        <v>4213</v>
      </c>
      <c r="N822" t="s">
        <v>6418</v>
      </c>
    </row>
    <row r="823" spans="1:14" x14ac:dyDescent="0.25">
      <c r="A823">
        <v>145870</v>
      </c>
      <c r="B823" t="s">
        <v>4214</v>
      </c>
      <c r="C823">
        <v>8073</v>
      </c>
      <c r="D823" t="str" cm="1">
        <f t="array" ref="D823">_xlfn.TEXTJOIN(",",TRUE,_xlfn.XLOOKUP(_xlfn.TEXTSPLIT(C823,",")*1,_xlfn._TRO_TRAILING(Artists!A:A),_xlfn._TRO_TRAILING(Artists!B:B)))</f>
        <v>Cai Guo-Qiang</v>
      </c>
      <c r="E823">
        <v>2006</v>
      </c>
      <c r="F823" cm="1">
        <f t="array" ref="F823">_xlfn.REGEXEXTRACT(E823,"\d{4}")*1</f>
        <v>2006</v>
      </c>
      <c r="G823" t="s">
        <v>4203</v>
      </c>
      <c r="H823" t="s">
        <v>4215</v>
      </c>
      <c r="I823" t="s">
        <v>29</v>
      </c>
      <c r="J823" t="s">
        <v>674</v>
      </c>
      <c r="K823" s="1">
        <v>39398</v>
      </c>
      <c r="L823" t="s">
        <v>4216</v>
      </c>
      <c r="M823" t="s">
        <v>4217</v>
      </c>
      <c r="N823" t="s">
        <v>6418</v>
      </c>
    </row>
    <row r="824" spans="1:14" x14ac:dyDescent="0.25">
      <c r="A824">
        <v>145871</v>
      </c>
      <c r="B824" t="s">
        <v>4218</v>
      </c>
      <c r="C824">
        <v>8073</v>
      </c>
      <c r="D824" t="str" cm="1">
        <f t="array" ref="D824">_xlfn.TEXTJOIN(",",TRUE,_xlfn.XLOOKUP(_xlfn.TEXTSPLIT(C824,",")*1,_xlfn._TRO_TRAILING(Artists!A:A),_xlfn._TRO_TRAILING(Artists!B:B)))</f>
        <v>Cai Guo-Qiang</v>
      </c>
      <c r="E824">
        <v>2006</v>
      </c>
      <c r="F824" cm="1">
        <f t="array" ref="F824">_xlfn.REGEXEXTRACT(E824,"\d{4}")*1</f>
        <v>2006</v>
      </c>
      <c r="G824" t="s">
        <v>4203</v>
      </c>
      <c r="H824" t="s">
        <v>4219</v>
      </c>
      <c r="I824" t="s">
        <v>29</v>
      </c>
      <c r="J824" t="s">
        <v>674</v>
      </c>
      <c r="K824" s="1">
        <v>39398</v>
      </c>
      <c r="L824" t="s">
        <v>4220</v>
      </c>
      <c r="M824" t="s">
        <v>4221</v>
      </c>
      <c r="N824" t="s">
        <v>6418</v>
      </c>
    </row>
    <row r="825" spans="1:14" x14ac:dyDescent="0.25">
      <c r="A825">
        <v>146845</v>
      </c>
      <c r="B825" t="s">
        <v>4223</v>
      </c>
      <c r="C825">
        <v>39621</v>
      </c>
      <c r="D825" t="str" cm="1">
        <f t="array" ref="D825">_xlfn.TEXTJOIN(",",TRUE,_xlfn.XLOOKUP(_xlfn.TEXTSPLIT(C825,",")*1,_xlfn._TRO_TRAILING(Artists!A:A),_xlfn._TRO_TRAILING(Artists!B:B)))</f>
        <v>Lidy Prati</v>
      </c>
      <c r="E825">
        <v>1951</v>
      </c>
      <c r="F825" cm="1">
        <f t="array" ref="F825">_xlfn.REGEXEXTRACT(E825,"\d{4}")*1</f>
        <v>1951</v>
      </c>
      <c r="G825" t="s">
        <v>1034</v>
      </c>
      <c r="H825" t="s">
        <v>4225</v>
      </c>
      <c r="I825" t="s">
        <v>878</v>
      </c>
      <c r="J825" t="s">
        <v>879</v>
      </c>
      <c r="K825" s="1">
        <v>40675</v>
      </c>
      <c r="L825" t="s">
        <v>4226</v>
      </c>
      <c r="M825" t="s">
        <v>4227</v>
      </c>
      <c r="N825" t="s">
        <v>6371</v>
      </c>
    </row>
    <row r="826" spans="1:14" x14ac:dyDescent="0.25">
      <c r="A826">
        <v>146951</v>
      </c>
      <c r="B826" t="s">
        <v>4228</v>
      </c>
      <c r="C826">
        <v>36991</v>
      </c>
      <c r="D826" t="str" cm="1">
        <f t="array" ref="D826">_xlfn.TEXTJOIN(",",TRUE,_xlfn.XLOOKUP(_xlfn.TEXTSPLIT(C826,",")*1,_xlfn._TRO_TRAILING(Artists!A:A),_xlfn._TRO_TRAILING(Artists!B:B)))</f>
        <v>Kathy Acker</v>
      </c>
      <c r="E826">
        <v>1978</v>
      </c>
      <c r="F826" cm="1">
        <f t="array" ref="F826">_xlfn.REGEXEXTRACT(E826,"\d{4}")*1</f>
        <v>1978</v>
      </c>
      <c r="G826" t="s">
        <v>4230</v>
      </c>
      <c r="H826" t="s">
        <v>4231</v>
      </c>
      <c r="I826" t="s">
        <v>673</v>
      </c>
      <c r="J826" t="s">
        <v>674</v>
      </c>
      <c r="K826" s="1">
        <v>40675</v>
      </c>
      <c r="L826" t="s">
        <v>4232</v>
      </c>
      <c r="M826" t="s">
        <v>4233</v>
      </c>
      <c r="N826" t="s">
        <v>6376</v>
      </c>
    </row>
    <row r="827" spans="1:14" x14ac:dyDescent="0.25">
      <c r="A827">
        <v>147070</v>
      </c>
      <c r="B827" t="s">
        <v>4234</v>
      </c>
      <c r="C827" t="s">
        <v>4235</v>
      </c>
      <c r="D827" t="str" cm="1">
        <f t="array" ref="D827">_xlfn.TEXTJOIN(",",TRUE,_xlfn.XLOOKUP(_xlfn.TEXTSPLIT(C827,",")*1,_xlfn._TRO_TRAILING(Artists!A:A),_xlfn._TRO_TRAILING(Artists!B:B)))</f>
        <v>David Lamelas,Maria Gilssen</v>
      </c>
      <c r="E827">
        <v>1969</v>
      </c>
      <c r="F827" cm="1">
        <f t="array" ref="F827">_xlfn.REGEXEXTRACT(E827,"\d{4}")*1</f>
        <v>1969</v>
      </c>
      <c r="G827" t="s">
        <v>1175</v>
      </c>
      <c r="H827" t="s">
        <v>4236</v>
      </c>
      <c r="I827" t="s">
        <v>806</v>
      </c>
      <c r="J827" t="s">
        <v>1140</v>
      </c>
      <c r="K827" s="1">
        <v>40681</v>
      </c>
      <c r="L827" t="s">
        <v>4237</v>
      </c>
      <c r="M827" t="s">
        <v>4238</v>
      </c>
      <c r="N827" t="s">
        <v>6388</v>
      </c>
    </row>
    <row r="828" spans="1:14" x14ac:dyDescent="0.25">
      <c r="A828">
        <v>147308</v>
      </c>
      <c r="B828" t="s">
        <v>4240</v>
      </c>
      <c r="C828">
        <v>39696</v>
      </c>
      <c r="D828" t="str" cm="1">
        <f t="array" ref="D828">_xlfn.TEXTJOIN(",",TRUE,_xlfn.XLOOKUP(_xlfn.TEXTSPLIT(C828,",")*1,_xlfn._TRO_TRAILING(Artists!A:A),_xlfn._TRO_TRAILING(Artists!B:B)))</f>
        <v>Lynn Hershman Leeson</v>
      </c>
      <c r="E828">
        <v>1976</v>
      </c>
      <c r="F828" cm="1">
        <f t="array" ref="F828">_xlfn.REGEXEXTRACT(E828,"\d{4}")*1</f>
        <v>1976</v>
      </c>
      <c r="G828" t="s">
        <v>4241</v>
      </c>
      <c r="H828" t="s">
        <v>4242</v>
      </c>
      <c r="I828" t="s">
        <v>806</v>
      </c>
      <c r="J828" t="s">
        <v>1140</v>
      </c>
      <c r="K828" s="1">
        <v>40819</v>
      </c>
      <c r="L828" t="s">
        <v>4243</v>
      </c>
      <c r="M828" t="s">
        <v>4244</v>
      </c>
      <c r="N828" t="s">
        <v>6376</v>
      </c>
    </row>
    <row r="829" spans="1:14" x14ac:dyDescent="0.25">
      <c r="A829">
        <v>147941</v>
      </c>
      <c r="B829" t="s">
        <v>4248</v>
      </c>
      <c r="C829">
        <v>1784</v>
      </c>
      <c r="D829" t="str" cm="1">
        <f t="array" ref="D829">_xlfn.TEXTJOIN(",",TRUE,_xlfn.XLOOKUP(_xlfn.TEXTSPLIT(C829,",")*1,_xlfn._TRO_TRAILING(Artists!A:A),_xlfn._TRO_TRAILING(Artists!B:B)))</f>
        <v>Alexandra Exter</v>
      </c>
      <c r="E829" t="s">
        <v>165</v>
      </c>
      <c r="F829" cm="1">
        <f t="array" ref="F829">_xlfn.REGEXEXTRACT(E829,"\d{4}")*1</f>
        <v>1925</v>
      </c>
      <c r="G829" t="s">
        <v>1034</v>
      </c>
      <c r="H829" t="s">
        <v>4247</v>
      </c>
      <c r="I829" t="s">
        <v>878</v>
      </c>
      <c r="J829" t="s">
        <v>879</v>
      </c>
      <c r="K829" s="1">
        <v>33245</v>
      </c>
      <c r="L829" t="s">
        <v>4249</v>
      </c>
      <c r="M829" t="s">
        <v>4250</v>
      </c>
      <c r="N829" t="s">
        <v>6369</v>
      </c>
    </row>
    <row r="830" spans="1:14" x14ac:dyDescent="0.25">
      <c r="A830">
        <v>150061</v>
      </c>
      <c r="B830" t="s">
        <v>4255</v>
      </c>
      <c r="C830" t="s">
        <v>4256</v>
      </c>
      <c r="D830" t="str" cm="1">
        <f t="array" ref="D830">_xlfn.TEXTJOIN(",",TRUE,_xlfn.XLOOKUP(_xlfn.TEXTSPLIT(C830,",")*1,_xlfn._TRO_TRAILING(Artists!A:A),_xlfn._TRO_TRAILING(Artists!B:B)))</f>
        <v>Siv Helene Stangeland,Reinhard Kropf</v>
      </c>
      <c r="E830">
        <v>2009</v>
      </c>
      <c r="F830" cm="1">
        <f t="array" ref="F830">_xlfn.REGEXEXTRACT(E830,"\d{4}")*1</f>
        <v>2009</v>
      </c>
      <c r="G830" t="s">
        <v>4257</v>
      </c>
      <c r="H830" t="s">
        <v>4258</v>
      </c>
      <c r="I830" t="s">
        <v>18</v>
      </c>
      <c r="J830" t="s">
        <v>19</v>
      </c>
      <c r="K830" s="1">
        <v>40806</v>
      </c>
      <c r="L830" t="s">
        <v>4259</v>
      </c>
      <c r="M830" t="s">
        <v>4260</v>
      </c>
      <c r="N830" t="s">
        <v>6381</v>
      </c>
    </row>
    <row r="831" spans="1:14" x14ac:dyDescent="0.25">
      <c r="A831">
        <v>150077</v>
      </c>
      <c r="B831" t="s">
        <v>4261</v>
      </c>
      <c r="C831" t="s">
        <v>4262</v>
      </c>
      <c r="D831" t="str" cm="1">
        <f t="array" ref="D831">_xlfn.TEXTJOIN(",",TRUE,_xlfn.XLOOKUP(_xlfn.TEXTSPLIT(C831,",")*1,_xlfn._TRO_TRAILING(Artists!A:A),_xlfn._TRO_TRAILING(Artists!B:B)))</f>
        <v>Reinhard Kropf,Siv Helene Stangeland</v>
      </c>
      <c r="E831">
        <v>2007</v>
      </c>
      <c r="F831" cm="1">
        <f t="array" ref="F831">_xlfn.REGEXEXTRACT(E831,"\d{4}")*1</f>
        <v>2007</v>
      </c>
      <c r="G831" t="s">
        <v>821</v>
      </c>
      <c r="H831" t="s">
        <v>4263</v>
      </c>
      <c r="I831" t="s">
        <v>18</v>
      </c>
      <c r="J831" t="s">
        <v>19</v>
      </c>
      <c r="K831" s="1">
        <v>40806</v>
      </c>
      <c r="L831" t="s">
        <v>4264</v>
      </c>
      <c r="M831" t="s">
        <v>4265</v>
      </c>
      <c r="N831" t="s">
        <v>6381</v>
      </c>
    </row>
    <row r="832" spans="1:14" x14ac:dyDescent="0.25">
      <c r="A832">
        <v>150143</v>
      </c>
      <c r="B832" t="s">
        <v>4266</v>
      </c>
      <c r="C832">
        <v>1444</v>
      </c>
      <c r="D832" t="str" cm="1">
        <f t="array" ref="D832">_xlfn.TEXTJOIN(",",TRUE,_xlfn.XLOOKUP(_xlfn.TEXTSPLIT(C832,",")*1,_xlfn._TRO_TRAILING(Artists!A:A),_xlfn._TRO_TRAILING(Artists!B:B)))</f>
        <v>Niki de Saint Phalle</v>
      </c>
      <c r="E832">
        <v>1961</v>
      </c>
      <c r="F832" cm="1">
        <f t="array" ref="F832">_xlfn.REGEXEXTRACT(E832,"\d{4}")*1</f>
        <v>1961</v>
      </c>
      <c r="G832" t="s">
        <v>4267</v>
      </c>
      <c r="H832" t="s">
        <v>4268</v>
      </c>
      <c r="I832" t="s">
        <v>2248</v>
      </c>
      <c r="J832" t="s">
        <v>879</v>
      </c>
      <c r="K832" s="1">
        <v>40813</v>
      </c>
      <c r="L832" t="s">
        <v>4269</v>
      </c>
      <c r="M832" t="s">
        <v>4270</v>
      </c>
      <c r="N832" t="s">
        <v>6398</v>
      </c>
    </row>
    <row r="833" spans="1:14" x14ac:dyDescent="0.25">
      <c r="A833">
        <v>151035</v>
      </c>
      <c r="B833" t="s">
        <v>4271</v>
      </c>
      <c r="C833">
        <v>40531</v>
      </c>
      <c r="D833" t="str" cm="1">
        <f t="array" ref="D833">_xlfn.TEXTJOIN(",",TRUE,_xlfn.XLOOKUP(_xlfn.TEXTSPLIT(C833,",")*1,_xlfn._TRO_TRAILING(Artists!A:A),_xlfn._TRO_TRAILING(Artists!B:B)))</f>
        <v>Senga Nengudi</v>
      </c>
      <c r="E833" t="s">
        <v>4273</v>
      </c>
      <c r="F833" cm="1">
        <f t="array" ref="F833">_xlfn.REGEXEXTRACT(E833,"\d{4}")*1</f>
        <v>1977</v>
      </c>
      <c r="G833" t="s">
        <v>4274</v>
      </c>
      <c r="H833" t="s">
        <v>2403</v>
      </c>
      <c r="I833" t="s">
        <v>726</v>
      </c>
      <c r="J833" t="s">
        <v>879</v>
      </c>
      <c r="K833" s="1">
        <v>40813</v>
      </c>
      <c r="L833" t="s">
        <v>4275</v>
      </c>
      <c r="M833" t="s">
        <v>4276</v>
      </c>
      <c r="N833" t="s">
        <v>6376</v>
      </c>
    </row>
    <row r="834" spans="1:14" x14ac:dyDescent="0.25">
      <c r="A834">
        <v>151314</v>
      </c>
      <c r="B834" t="s">
        <v>4277</v>
      </c>
      <c r="C834">
        <v>40564</v>
      </c>
      <c r="D834" t="str" cm="1">
        <f t="array" ref="D834">_xlfn.TEXTJOIN(",",TRUE,_xlfn.XLOOKUP(_xlfn.TEXTSPLIT(C834,",")*1,_xlfn._TRO_TRAILING(Artists!A:A),_xlfn._TRO_TRAILING(Artists!B:B)))</f>
        <v>Charles Gaines</v>
      </c>
      <c r="E834">
        <v>1978</v>
      </c>
      <c r="F834" cm="1">
        <f t="array" ref="F834">_xlfn.REGEXEXTRACT(E834,"\d{4}")*1</f>
        <v>1978</v>
      </c>
      <c r="G834" t="s">
        <v>4279</v>
      </c>
      <c r="H834" t="s">
        <v>4280</v>
      </c>
      <c r="I834" t="s">
        <v>675</v>
      </c>
      <c r="J834" t="s">
        <v>674</v>
      </c>
      <c r="K834" s="1">
        <v>40812</v>
      </c>
      <c r="L834" t="s">
        <v>4281</v>
      </c>
      <c r="M834" t="s">
        <v>4282</v>
      </c>
      <c r="N834" t="s">
        <v>6376</v>
      </c>
    </row>
    <row r="835" spans="1:14" x14ac:dyDescent="0.25">
      <c r="A835">
        <v>151482</v>
      </c>
      <c r="B835" t="s">
        <v>4283</v>
      </c>
      <c r="C835">
        <v>7521</v>
      </c>
      <c r="D835" t="str" cm="1">
        <f t="array" ref="D835">_xlfn.TEXTJOIN(",",TRUE,_xlfn.XLOOKUP(_xlfn.TEXTSPLIT(C835,",")*1,_xlfn._TRO_TRAILING(Artists!A:A),_xlfn._TRO_TRAILING(Artists!B:B)))</f>
        <v>Marlene Dumas</v>
      </c>
      <c r="E835">
        <v>1976</v>
      </c>
      <c r="F835" cm="1">
        <f t="array" ref="F835">_xlfn.REGEXEXTRACT(E835,"\d{4}")*1</f>
        <v>1976</v>
      </c>
      <c r="G835" t="s">
        <v>23</v>
      </c>
      <c r="H835" t="s">
        <v>4284</v>
      </c>
      <c r="I835" t="s">
        <v>675</v>
      </c>
      <c r="J835" t="s">
        <v>674</v>
      </c>
      <c r="K835" s="1">
        <v>40812</v>
      </c>
      <c r="L835" t="s">
        <v>4285</v>
      </c>
      <c r="M835" t="s">
        <v>4286</v>
      </c>
      <c r="N835" t="s">
        <v>6397</v>
      </c>
    </row>
    <row r="836" spans="1:14" x14ac:dyDescent="0.25">
      <c r="A836">
        <v>151484</v>
      </c>
      <c r="B836" t="s">
        <v>51</v>
      </c>
      <c r="C836">
        <v>7521</v>
      </c>
      <c r="D836" t="str" cm="1">
        <f t="array" ref="D836">_xlfn.TEXTJOIN(",",TRUE,_xlfn.XLOOKUP(_xlfn.TEXTSPLIT(C836,",")*1,_xlfn._TRO_TRAILING(Artists!A:A),_xlfn._TRO_TRAILING(Artists!B:B)))</f>
        <v>Marlene Dumas</v>
      </c>
      <c r="E836">
        <v>1976</v>
      </c>
      <c r="F836" cm="1">
        <f t="array" ref="F836">_xlfn.REGEXEXTRACT(E836,"\d{4}")*1</f>
        <v>1976</v>
      </c>
      <c r="G836" t="s">
        <v>23</v>
      </c>
      <c r="H836" t="s">
        <v>4287</v>
      </c>
      <c r="I836" t="s">
        <v>675</v>
      </c>
      <c r="J836" t="s">
        <v>674</v>
      </c>
      <c r="K836" s="1">
        <v>40812</v>
      </c>
      <c r="L836" t="s">
        <v>4288</v>
      </c>
      <c r="M836" t="s">
        <v>4289</v>
      </c>
      <c r="N836" t="s">
        <v>6397</v>
      </c>
    </row>
    <row r="837" spans="1:14" x14ac:dyDescent="0.25">
      <c r="A837">
        <v>151487</v>
      </c>
      <c r="B837" t="s">
        <v>51</v>
      </c>
      <c r="C837">
        <v>7521</v>
      </c>
      <c r="D837" t="str" cm="1">
        <f t="array" ref="D837">_xlfn.TEXTJOIN(",",TRUE,_xlfn.XLOOKUP(_xlfn.TEXTSPLIT(C837,",")*1,_xlfn._TRO_TRAILING(Artists!A:A),_xlfn._TRO_TRAILING(Artists!B:B)))</f>
        <v>Marlene Dumas</v>
      </c>
      <c r="E837" t="s">
        <v>1309</v>
      </c>
      <c r="F837" cm="1">
        <f t="array" ref="F837">_xlfn.REGEXEXTRACT(E837,"\d{4}")*1</f>
        <v>1976</v>
      </c>
      <c r="G837" t="s">
        <v>23</v>
      </c>
      <c r="H837" t="s">
        <v>4290</v>
      </c>
      <c r="I837" t="s">
        <v>675</v>
      </c>
      <c r="J837" t="s">
        <v>674</v>
      </c>
      <c r="K837" s="1">
        <v>40812</v>
      </c>
      <c r="L837" t="s">
        <v>4291</v>
      </c>
      <c r="M837" t="s">
        <v>4292</v>
      </c>
      <c r="N837" t="s">
        <v>6397</v>
      </c>
    </row>
    <row r="838" spans="1:14" x14ac:dyDescent="0.25">
      <c r="A838">
        <v>151488</v>
      </c>
      <c r="B838" t="s">
        <v>51</v>
      </c>
      <c r="C838">
        <v>7521</v>
      </c>
      <c r="D838" t="str" cm="1">
        <f t="array" ref="D838">_xlfn.TEXTJOIN(",",TRUE,_xlfn.XLOOKUP(_xlfn.TEXTSPLIT(C838,",")*1,_xlfn._TRO_TRAILING(Artists!A:A),_xlfn._TRO_TRAILING(Artists!B:B)))</f>
        <v>Marlene Dumas</v>
      </c>
      <c r="E838" t="s">
        <v>1309</v>
      </c>
      <c r="F838" cm="1">
        <f t="array" ref="F838">_xlfn.REGEXEXTRACT(E838,"\d{4}")*1</f>
        <v>1976</v>
      </c>
      <c r="G838" t="s">
        <v>23</v>
      </c>
      <c r="H838" t="s">
        <v>3474</v>
      </c>
      <c r="I838" t="s">
        <v>675</v>
      </c>
      <c r="J838" t="s">
        <v>674</v>
      </c>
      <c r="K838" s="1">
        <v>40812</v>
      </c>
      <c r="L838" t="s">
        <v>4293</v>
      </c>
      <c r="M838" t="s">
        <v>4294</v>
      </c>
      <c r="N838" t="s">
        <v>6397</v>
      </c>
    </row>
    <row r="839" spans="1:14" x14ac:dyDescent="0.25">
      <c r="A839">
        <v>151489</v>
      </c>
      <c r="B839" t="s">
        <v>51</v>
      </c>
      <c r="C839">
        <v>7521</v>
      </c>
      <c r="D839" t="str" cm="1">
        <f t="array" ref="D839">_xlfn.TEXTJOIN(",",TRUE,_xlfn.XLOOKUP(_xlfn.TEXTSPLIT(C839,",")*1,_xlfn._TRO_TRAILING(Artists!A:A),_xlfn._TRO_TRAILING(Artists!B:B)))</f>
        <v>Marlene Dumas</v>
      </c>
      <c r="E839" t="s">
        <v>1309</v>
      </c>
      <c r="F839" cm="1">
        <f t="array" ref="F839">_xlfn.REGEXEXTRACT(E839,"\d{4}")*1</f>
        <v>1976</v>
      </c>
      <c r="G839" t="s">
        <v>23</v>
      </c>
      <c r="H839" t="s">
        <v>4295</v>
      </c>
      <c r="I839" t="s">
        <v>675</v>
      </c>
      <c r="J839" t="s">
        <v>674</v>
      </c>
      <c r="K839" s="1">
        <v>40812</v>
      </c>
      <c r="L839" t="s">
        <v>4296</v>
      </c>
      <c r="M839" t="s">
        <v>4297</v>
      </c>
      <c r="N839" t="s">
        <v>6397</v>
      </c>
    </row>
    <row r="840" spans="1:14" x14ac:dyDescent="0.25">
      <c r="A840">
        <v>151490</v>
      </c>
      <c r="B840" t="s">
        <v>4298</v>
      </c>
      <c r="C840">
        <v>7521</v>
      </c>
      <c r="D840" t="str" cm="1">
        <f t="array" ref="D840">_xlfn.TEXTJOIN(",",TRUE,_xlfn.XLOOKUP(_xlfn.TEXTSPLIT(C840,",")*1,_xlfn._TRO_TRAILING(Artists!A:A),_xlfn._TRO_TRAILING(Artists!B:B)))</f>
        <v>Marlene Dumas</v>
      </c>
      <c r="E840">
        <v>1976</v>
      </c>
      <c r="F840" cm="1">
        <f t="array" ref="F840">_xlfn.REGEXEXTRACT(E840,"\d{4}")*1</f>
        <v>1976</v>
      </c>
      <c r="G840" t="s">
        <v>30</v>
      </c>
      <c r="H840" t="s">
        <v>3494</v>
      </c>
      <c r="I840" t="s">
        <v>675</v>
      </c>
      <c r="J840" t="s">
        <v>674</v>
      </c>
      <c r="K840" s="1">
        <v>40812</v>
      </c>
      <c r="L840" t="s">
        <v>4299</v>
      </c>
      <c r="M840" t="s">
        <v>4300</v>
      </c>
      <c r="N840" t="s">
        <v>6397</v>
      </c>
    </row>
    <row r="841" spans="1:14" x14ac:dyDescent="0.25">
      <c r="A841">
        <v>152620</v>
      </c>
      <c r="B841" t="s">
        <v>4301</v>
      </c>
      <c r="C841">
        <v>28632</v>
      </c>
      <c r="D841" t="str" cm="1">
        <f t="array" ref="D841">_xlfn.TEXTJOIN(",",TRUE,_xlfn.XLOOKUP(_xlfn.TEXTSPLIT(C841,",")*1,_xlfn._TRO_TRAILING(Artists!A:A),_xlfn._TRO_TRAILING(Artists!B:B)))</f>
        <v>Isa Genzken</v>
      </c>
      <c r="E841">
        <v>1982</v>
      </c>
      <c r="F841" cm="1">
        <f t="array" ref="F841">_xlfn.REGEXEXTRACT(E841,"\d{4}")*1</f>
        <v>1982</v>
      </c>
      <c r="G841" t="s">
        <v>4302</v>
      </c>
      <c r="H841" t="s">
        <v>4303</v>
      </c>
      <c r="I841" t="s">
        <v>2248</v>
      </c>
      <c r="J841" t="s">
        <v>879</v>
      </c>
      <c r="K841" s="1">
        <v>41674</v>
      </c>
      <c r="L841" t="s">
        <v>4304</v>
      </c>
      <c r="M841" t="s">
        <v>4305</v>
      </c>
      <c r="N841" t="s">
        <v>6419</v>
      </c>
    </row>
    <row r="842" spans="1:14" x14ac:dyDescent="0.25">
      <c r="A842">
        <v>156383</v>
      </c>
      <c r="B842" t="s">
        <v>4307</v>
      </c>
      <c r="C842">
        <v>28538</v>
      </c>
      <c r="D842" t="str" cm="1">
        <f t="array" ref="D842">_xlfn.TEXTJOIN(",",TRUE,_xlfn.XLOOKUP(_xlfn.TEXTSPLIT(C842,",")*1,_xlfn._TRO_TRAILING(Artists!A:A),_xlfn._TRO_TRAILING(Artists!B:B)))</f>
        <v>Tomma Abts</v>
      </c>
      <c r="E842">
        <v>2011</v>
      </c>
      <c r="F842" cm="1">
        <f t="array" ref="F842">_xlfn.REGEXEXTRACT(E842,"\d{4}")*1</f>
        <v>2011</v>
      </c>
      <c r="G842" t="s">
        <v>3968</v>
      </c>
      <c r="H842" t="s">
        <v>4308</v>
      </c>
      <c r="I842" t="s">
        <v>878</v>
      </c>
      <c r="J842" t="s">
        <v>879</v>
      </c>
      <c r="K842" s="1">
        <v>40954</v>
      </c>
      <c r="L842" t="s">
        <v>4309</v>
      </c>
      <c r="M842" t="s">
        <v>4310</v>
      </c>
      <c r="N842" t="s">
        <v>6419</v>
      </c>
    </row>
    <row r="843" spans="1:14" x14ac:dyDescent="0.25">
      <c r="A843">
        <v>156681</v>
      </c>
      <c r="B843" t="s">
        <v>1627</v>
      </c>
      <c r="C843">
        <v>38991</v>
      </c>
      <c r="D843" t="str" cm="1">
        <f t="array" ref="D843">_xlfn.TEXTJOIN(",",TRUE,_xlfn.XLOOKUP(_xlfn.TEXTSPLIT(C843,",")*1,_xlfn._TRO_TRAILING(Artists!A:A),_xlfn._TRO_TRAILING(Artists!B:B)))</f>
        <v>Saburo Murakami</v>
      </c>
      <c r="E843">
        <v>1959</v>
      </c>
      <c r="F843" cm="1">
        <f t="array" ref="F843">_xlfn.REGEXEXTRACT(E843,"\d{4}")*1</f>
        <v>1959</v>
      </c>
      <c r="G843" t="s">
        <v>4312</v>
      </c>
      <c r="H843" t="s">
        <v>4313</v>
      </c>
      <c r="I843" t="s">
        <v>878</v>
      </c>
      <c r="J843" t="s">
        <v>879</v>
      </c>
      <c r="K843" s="1">
        <v>40954</v>
      </c>
      <c r="L843" t="s">
        <v>4314</v>
      </c>
      <c r="M843" t="s">
        <v>4315</v>
      </c>
      <c r="N843" t="s">
        <v>6407</v>
      </c>
    </row>
    <row r="844" spans="1:14" x14ac:dyDescent="0.25">
      <c r="A844">
        <v>157565</v>
      </c>
      <c r="B844" t="s">
        <v>4318</v>
      </c>
      <c r="C844">
        <v>39961</v>
      </c>
      <c r="D844" t="str" cm="1">
        <f t="array" ref="D844">_xlfn.TEXTJOIN(",",TRUE,_xlfn.XLOOKUP(_xlfn.TEXTSPLIT(C844,",")*1,_xlfn._TRO_TRAILING(Artists!A:A),_xlfn._TRO_TRAILING(Artists!B:B)))</f>
        <v>Tauba Auerbach</v>
      </c>
      <c r="E844">
        <v>2011</v>
      </c>
      <c r="F844" cm="1">
        <f t="array" ref="F844">_xlfn.REGEXEXTRACT(E844,"\d{4}")*1</f>
        <v>2011</v>
      </c>
      <c r="G844" t="s">
        <v>4317</v>
      </c>
      <c r="H844" t="s">
        <v>4319</v>
      </c>
      <c r="I844" t="s">
        <v>673</v>
      </c>
      <c r="J844" t="s">
        <v>674</v>
      </c>
      <c r="K844" s="1">
        <v>40946</v>
      </c>
      <c r="L844" t="s">
        <v>4320</v>
      </c>
      <c r="M844" t="s">
        <v>4321</v>
      </c>
      <c r="N844" t="s">
        <v>6419</v>
      </c>
    </row>
    <row r="845" spans="1:14" x14ac:dyDescent="0.25">
      <c r="A845">
        <v>158541</v>
      </c>
      <c r="B845" t="s">
        <v>4322</v>
      </c>
      <c r="C845">
        <v>30952</v>
      </c>
      <c r="D845" t="str" cm="1">
        <f t="array" ref="D845">_xlfn.TEXTJOIN(",",TRUE,_xlfn.XLOOKUP(_xlfn.TEXTSPLIT(C845,",")*1,_xlfn._TRO_TRAILING(Artists!A:A),_xlfn._TRO_TRAILING(Artists!B:B)))</f>
        <v>Birgit Jürgenssen</v>
      </c>
      <c r="E845">
        <v>1974</v>
      </c>
      <c r="F845" cm="1">
        <f t="array" ref="F845">_xlfn.REGEXEXTRACT(E845,"\d{4}")*1</f>
        <v>1974</v>
      </c>
      <c r="G845" t="s">
        <v>1180</v>
      </c>
      <c r="H845" t="s">
        <v>1543</v>
      </c>
      <c r="I845" t="s">
        <v>806</v>
      </c>
      <c r="J845" t="s">
        <v>1140</v>
      </c>
      <c r="K845" s="1">
        <v>41038</v>
      </c>
      <c r="L845" t="s">
        <v>4323</v>
      </c>
      <c r="M845" t="s">
        <v>4324</v>
      </c>
      <c r="N845" t="s">
        <v>6376</v>
      </c>
    </row>
    <row r="846" spans="1:14" x14ac:dyDescent="0.25">
      <c r="A846">
        <v>158543</v>
      </c>
      <c r="B846" t="s">
        <v>51</v>
      </c>
      <c r="C846">
        <v>30952</v>
      </c>
      <c r="D846" t="str" cm="1">
        <f t="array" ref="D846">_xlfn.TEXTJOIN(",",TRUE,_xlfn.XLOOKUP(_xlfn.TEXTSPLIT(C846,",")*1,_xlfn._TRO_TRAILING(Artists!A:A),_xlfn._TRO_TRAILING(Artists!B:B)))</f>
        <v>Birgit Jürgenssen</v>
      </c>
      <c r="E846" t="s">
        <v>1331</v>
      </c>
      <c r="F846" cm="1">
        <f t="array" ref="F846">_xlfn.REGEXEXTRACT(E846,"\d{4}")*1</f>
        <v>1988</v>
      </c>
      <c r="G846" t="s">
        <v>1218</v>
      </c>
      <c r="H846" t="s">
        <v>4325</v>
      </c>
      <c r="I846" t="s">
        <v>806</v>
      </c>
      <c r="J846" t="s">
        <v>1140</v>
      </c>
      <c r="K846" s="1">
        <v>41038</v>
      </c>
      <c r="L846" t="s">
        <v>4326</v>
      </c>
      <c r="M846" t="s">
        <v>4327</v>
      </c>
      <c r="N846" t="s">
        <v>6376</v>
      </c>
    </row>
    <row r="847" spans="1:14" x14ac:dyDescent="0.25">
      <c r="A847">
        <v>158546</v>
      </c>
      <c r="B847" t="s">
        <v>51</v>
      </c>
      <c r="C847">
        <v>30952</v>
      </c>
      <c r="D847" t="str" cm="1">
        <f t="array" ref="D847">_xlfn.TEXTJOIN(",",TRUE,_xlfn.XLOOKUP(_xlfn.TEXTSPLIT(C847,",")*1,_xlfn._TRO_TRAILING(Artists!A:A),_xlfn._TRO_TRAILING(Artists!B:B)))</f>
        <v>Birgit Jürgenssen</v>
      </c>
      <c r="E847" t="s">
        <v>1331</v>
      </c>
      <c r="F847" cm="1">
        <f t="array" ref="F847">_xlfn.REGEXEXTRACT(E847,"\d{4}")*1</f>
        <v>1988</v>
      </c>
      <c r="G847" t="s">
        <v>1218</v>
      </c>
      <c r="H847" t="s">
        <v>4325</v>
      </c>
      <c r="I847" t="s">
        <v>806</v>
      </c>
      <c r="J847" t="s">
        <v>1140</v>
      </c>
      <c r="K847" s="1">
        <v>41038</v>
      </c>
      <c r="L847" t="s">
        <v>4328</v>
      </c>
      <c r="M847" t="s">
        <v>4329</v>
      </c>
      <c r="N847" t="s">
        <v>6376</v>
      </c>
    </row>
    <row r="848" spans="1:14" x14ac:dyDescent="0.25">
      <c r="A848">
        <v>159919</v>
      </c>
      <c r="B848" t="s">
        <v>4331</v>
      </c>
      <c r="C848">
        <v>5281</v>
      </c>
      <c r="D848" t="str" cm="1">
        <f t="array" ref="D848">_xlfn.TEXTJOIN(",",TRUE,_xlfn.XLOOKUP(_xlfn.TEXTSPLIT(C848,",")*1,_xlfn._TRO_TRAILING(Artists!A:A),_xlfn._TRO_TRAILING(Artists!B:B)))</f>
        <v>Thomas Schütte</v>
      </c>
      <c r="E848">
        <v>2012</v>
      </c>
      <c r="F848" cm="1">
        <f t="array" ref="F848">_xlfn.REGEXEXTRACT(E848,"\d{4}")*1</f>
        <v>2012</v>
      </c>
      <c r="G848" t="s">
        <v>78</v>
      </c>
      <c r="H848" t="s">
        <v>4332</v>
      </c>
      <c r="I848" t="s">
        <v>2248</v>
      </c>
      <c r="J848" t="s">
        <v>879</v>
      </c>
      <c r="K848" s="1">
        <v>41064</v>
      </c>
      <c r="L848" t="s">
        <v>4333</v>
      </c>
      <c r="M848" t="s">
        <v>4334</v>
      </c>
      <c r="N848" t="s">
        <v>6421</v>
      </c>
    </row>
    <row r="849" spans="1:14" x14ac:dyDescent="0.25">
      <c r="A849">
        <v>159965</v>
      </c>
      <c r="B849" t="s">
        <v>4335</v>
      </c>
      <c r="C849">
        <v>30952</v>
      </c>
      <c r="D849" t="str" cm="1">
        <f t="array" ref="D849">_xlfn.TEXTJOIN(",",TRUE,_xlfn.XLOOKUP(_xlfn.TEXTSPLIT(C849,",")*1,_xlfn._TRO_TRAILING(Artists!A:A),_xlfn._TRO_TRAILING(Artists!B:B)))</f>
        <v>Birgit Jürgenssen</v>
      </c>
      <c r="E849">
        <v>1976</v>
      </c>
      <c r="F849" cm="1">
        <f t="array" ref="F849">_xlfn.REGEXEXTRACT(E849,"\d{4}")*1</f>
        <v>1976</v>
      </c>
      <c r="G849" t="s">
        <v>4336</v>
      </c>
      <c r="H849" t="s">
        <v>4337</v>
      </c>
      <c r="I849" t="s">
        <v>675</v>
      </c>
      <c r="J849" t="s">
        <v>674</v>
      </c>
      <c r="K849" s="1">
        <v>41417</v>
      </c>
      <c r="L849" t="s">
        <v>4338</v>
      </c>
      <c r="M849" t="s">
        <v>4339</v>
      </c>
      <c r="N849" t="s">
        <v>6376</v>
      </c>
    </row>
    <row r="850" spans="1:14" x14ac:dyDescent="0.25">
      <c r="A850">
        <v>159966</v>
      </c>
      <c r="B850" t="s">
        <v>4340</v>
      </c>
      <c r="C850">
        <v>30952</v>
      </c>
      <c r="D850" t="str" cm="1">
        <f t="array" ref="D850">_xlfn.TEXTJOIN(",",TRUE,_xlfn.XLOOKUP(_xlfn.TEXTSPLIT(C850,",")*1,_xlfn._TRO_TRAILING(Artists!A:A),_xlfn._TRO_TRAILING(Artists!B:B)))</f>
        <v>Birgit Jürgenssen</v>
      </c>
      <c r="E850">
        <v>1976</v>
      </c>
      <c r="F850" cm="1">
        <f t="array" ref="F850">_xlfn.REGEXEXTRACT(E850,"\d{4}")*1</f>
        <v>1976</v>
      </c>
      <c r="G850" t="s">
        <v>4336</v>
      </c>
      <c r="H850" t="s">
        <v>4341</v>
      </c>
      <c r="I850" t="s">
        <v>675</v>
      </c>
      <c r="J850" t="s">
        <v>674</v>
      </c>
      <c r="K850" s="1">
        <v>41417</v>
      </c>
      <c r="L850" t="s">
        <v>4342</v>
      </c>
      <c r="M850" t="s">
        <v>4343</v>
      </c>
      <c r="N850" t="s">
        <v>6376</v>
      </c>
    </row>
    <row r="851" spans="1:14" x14ac:dyDescent="0.25">
      <c r="A851">
        <v>160132</v>
      </c>
      <c r="B851" t="s">
        <v>51</v>
      </c>
      <c r="C851">
        <v>3758</v>
      </c>
      <c r="D851" t="str" cm="1">
        <f t="array" ref="D851">_xlfn.TEXTJOIN(",",TRUE,_xlfn.XLOOKUP(_xlfn.TEXTSPLIT(C851,",")*1,_xlfn._TRO_TRAILING(Artists!A:A),_xlfn._TRO_TRAILING(Artists!B:B)))</f>
        <v>Brice Marden</v>
      </c>
      <c r="E851">
        <v>1962</v>
      </c>
      <c r="F851" cm="1">
        <f t="array" ref="F851">_xlfn.REGEXEXTRACT(E851,"\d{4}")*1</f>
        <v>1962</v>
      </c>
      <c r="G851" t="s">
        <v>875</v>
      </c>
      <c r="H851" t="s">
        <v>4344</v>
      </c>
      <c r="I851" t="s">
        <v>675</v>
      </c>
      <c r="J851" t="s">
        <v>674</v>
      </c>
      <c r="K851" s="1">
        <v>41064</v>
      </c>
      <c r="L851" t="s">
        <v>4345</v>
      </c>
      <c r="M851" t="s">
        <v>4346</v>
      </c>
      <c r="N851" t="s">
        <v>6380</v>
      </c>
    </row>
    <row r="852" spans="1:14" x14ac:dyDescent="0.25">
      <c r="A852">
        <v>160207</v>
      </c>
      <c r="B852" t="s">
        <v>51</v>
      </c>
      <c r="C852">
        <v>534</v>
      </c>
      <c r="D852" t="str" cm="1">
        <f t="array" ref="D852">_xlfn.TEXTJOIN(",",TRUE,_xlfn.XLOOKUP(_xlfn.TEXTSPLIT(C852,",")*1,_xlfn._TRO_TRAILING(Artists!A:A),_xlfn._TRO_TRAILING(Artists!B:B)))</f>
        <v>Forrest Bess</v>
      </c>
      <c r="E852">
        <v>1957</v>
      </c>
      <c r="F852" cm="1">
        <f t="array" ref="F852">_xlfn.REGEXEXTRACT(E852,"\d{4}")*1</f>
        <v>1957</v>
      </c>
      <c r="G852" t="s">
        <v>2235</v>
      </c>
      <c r="H852" t="s">
        <v>4347</v>
      </c>
      <c r="I852" t="s">
        <v>878</v>
      </c>
      <c r="J852" t="s">
        <v>879</v>
      </c>
      <c r="K852" s="1">
        <v>41064</v>
      </c>
      <c r="L852" t="s">
        <v>4348</v>
      </c>
      <c r="M852" t="s">
        <v>4349</v>
      </c>
      <c r="N852" t="s">
        <v>6376</v>
      </c>
    </row>
    <row r="853" spans="1:14" x14ac:dyDescent="0.25">
      <c r="A853">
        <v>161017</v>
      </c>
      <c r="B853" t="s">
        <v>4350</v>
      </c>
      <c r="C853">
        <v>2471</v>
      </c>
      <c r="D853" t="str" cm="1">
        <f t="array" ref="D853">_xlfn.TEXTJOIN(",",TRUE,_xlfn.XLOOKUP(_xlfn.TEXTSPLIT(C853,",")*1,_xlfn._TRO_TRAILING(Artists!A:A),_xlfn._TRO_TRAILING(Artists!B:B)))</f>
        <v>Chimei Hamada</v>
      </c>
      <c r="E853">
        <v>1951</v>
      </c>
      <c r="F853" cm="1">
        <f t="array" ref="F853">_xlfn.REGEXEXTRACT(E853,"\d{4}")*1</f>
        <v>1951</v>
      </c>
      <c r="G853" t="s">
        <v>737</v>
      </c>
      <c r="H853" t="s">
        <v>4351</v>
      </c>
      <c r="I853" t="s">
        <v>29</v>
      </c>
      <c r="J853" t="s">
        <v>674</v>
      </c>
      <c r="K853" s="1">
        <v>41051</v>
      </c>
      <c r="L853" t="s">
        <v>4352</v>
      </c>
      <c r="M853" t="s">
        <v>4353</v>
      </c>
      <c r="N853" t="s">
        <v>6377</v>
      </c>
    </row>
    <row r="854" spans="1:14" x14ac:dyDescent="0.25">
      <c r="A854">
        <v>161018</v>
      </c>
      <c r="B854" t="s">
        <v>4354</v>
      </c>
      <c r="C854">
        <v>2471</v>
      </c>
      <c r="D854" t="str" cm="1">
        <f t="array" ref="D854">_xlfn.TEXTJOIN(",",TRUE,_xlfn.XLOOKUP(_xlfn.TEXTSPLIT(C854,",")*1,_xlfn._TRO_TRAILING(Artists!A:A),_xlfn._TRO_TRAILING(Artists!B:B)))</f>
        <v>Chimei Hamada</v>
      </c>
      <c r="E854">
        <v>1952</v>
      </c>
      <c r="F854" cm="1">
        <f t="array" ref="F854">_xlfn.REGEXEXTRACT(E854,"\d{4}")*1</f>
        <v>1952</v>
      </c>
      <c r="G854" t="s">
        <v>41</v>
      </c>
      <c r="H854" t="s">
        <v>4355</v>
      </c>
      <c r="I854" t="s">
        <v>29</v>
      </c>
      <c r="J854" t="s">
        <v>674</v>
      </c>
      <c r="K854" s="1">
        <v>41051</v>
      </c>
      <c r="L854" t="s">
        <v>4356</v>
      </c>
      <c r="M854" t="s">
        <v>4357</v>
      </c>
      <c r="N854" t="s">
        <v>6377</v>
      </c>
    </row>
    <row r="855" spans="1:14" x14ac:dyDescent="0.25">
      <c r="A855">
        <v>161019</v>
      </c>
      <c r="B855" t="s">
        <v>833</v>
      </c>
      <c r="C855">
        <v>2471</v>
      </c>
      <c r="D855" t="str" cm="1">
        <f t="array" ref="D855">_xlfn.TEXTJOIN(",",TRUE,_xlfn.XLOOKUP(_xlfn.TEXTSPLIT(C855,",")*1,_xlfn._TRO_TRAILING(Artists!A:A),_xlfn._TRO_TRAILING(Artists!B:B)))</f>
        <v>Chimei Hamada</v>
      </c>
      <c r="E855">
        <v>1953</v>
      </c>
      <c r="F855" cm="1">
        <f t="array" ref="F855">_xlfn.REGEXEXTRACT(E855,"\d{4}")*1</f>
        <v>1953</v>
      </c>
      <c r="G855" t="s">
        <v>41</v>
      </c>
      <c r="H855" t="s">
        <v>4358</v>
      </c>
      <c r="I855" t="s">
        <v>29</v>
      </c>
      <c r="J855" t="s">
        <v>674</v>
      </c>
      <c r="K855" s="1">
        <v>41051</v>
      </c>
      <c r="L855" t="s">
        <v>4359</v>
      </c>
      <c r="M855" t="s">
        <v>4360</v>
      </c>
      <c r="N855" t="s">
        <v>6377</v>
      </c>
    </row>
    <row r="856" spans="1:14" x14ac:dyDescent="0.25">
      <c r="A856">
        <v>161020</v>
      </c>
      <c r="B856" t="s">
        <v>833</v>
      </c>
      <c r="C856">
        <v>2471</v>
      </c>
      <c r="D856" t="str" cm="1">
        <f t="array" ref="D856">_xlfn.TEXTJOIN(",",TRUE,_xlfn.XLOOKUP(_xlfn.TEXTSPLIT(C856,",")*1,_xlfn._TRO_TRAILING(Artists!A:A),_xlfn._TRO_TRAILING(Artists!B:B)))</f>
        <v>Chimei Hamada</v>
      </c>
      <c r="E856">
        <v>1954</v>
      </c>
      <c r="F856" cm="1">
        <f t="array" ref="F856">_xlfn.REGEXEXTRACT(E856,"\d{4}")*1</f>
        <v>1954</v>
      </c>
      <c r="G856" t="s">
        <v>737</v>
      </c>
      <c r="H856" t="s">
        <v>4361</v>
      </c>
      <c r="I856" t="s">
        <v>29</v>
      </c>
      <c r="J856" t="s">
        <v>674</v>
      </c>
      <c r="K856" s="1">
        <v>41051</v>
      </c>
      <c r="L856" t="s">
        <v>4362</v>
      </c>
      <c r="M856" t="s">
        <v>4363</v>
      </c>
      <c r="N856" t="s">
        <v>6377</v>
      </c>
    </row>
    <row r="857" spans="1:14" x14ac:dyDescent="0.25">
      <c r="A857">
        <v>161021</v>
      </c>
      <c r="B857" t="s">
        <v>4364</v>
      </c>
      <c r="C857">
        <v>2471</v>
      </c>
      <c r="D857" t="str" cm="1">
        <f t="array" ref="D857">_xlfn.TEXTJOIN(",",TRUE,_xlfn.XLOOKUP(_xlfn.TEXTSPLIT(C857,",")*1,_xlfn._TRO_TRAILING(Artists!A:A),_xlfn._TRO_TRAILING(Artists!B:B)))</f>
        <v>Chimei Hamada</v>
      </c>
      <c r="E857">
        <v>1954</v>
      </c>
      <c r="F857" cm="1">
        <f t="array" ref="F857">_xlfn.REGEXEXTRACT(E857,"\d{4}")*1</f>
        <v>1954</v>
      </c>
      <c r="G857" t="s">
        <v>737</v>
      </c>
      <c r="H857" t="s">
        <v>4365</v>
      </c>
      <c r="I857" t="s">
        <v>29</v>
      </c>
      <c r="J857" t="s">
        <v>674</v>
      </c>
      <c r="K857" s="1">
        <v>41051</v>
      </c>
      <c r="L857" t="s">
        <v>4366</v>
      </c>
      <c r="M857" t="s">
        <v>4367</v>
      </c>
      <c r="N857" t="s">
        <v>6377</v>
      </c>
    </row>
    <row r="858" spans="1:14" x14ac:dyDescent="0.25">
      <c r="A858">
        <v>161772</v>
      </c>
      <c r="B858" t="s">
        <v>4369</v>
      </c>
      <c r="C858">
        <v>6459</v>
      </c>
      <c r="D858" t="str" cm="1">
        <f t="array" ref="D858">_xlfn.TEXTJOIN(",",TRUE,_xlfn.XLOOKUP(_xlfn.TEXTSPLIT(C858,",")*1,_xlfn._TRO_TRAILING(Artists!A:A),_xlfn._TRO_TRAILING(Artists!B:B)))</f>
        <v>Frank Lloyd Wright</v>
      </c>
      <c r="E858" t="s">
        <v>147</v>
      </c>
      <c r="F858" cm="1">
        <f t="array" ref="F858">_xlfn.REGEXEXTRACT(E858,"\d{4}")*1</f>
        <v>1932</v>
      </c>
      <c r="G858" t="s">
        <v>4370</v>
      </c>
      <c r="H858" t="s">
        <v>4371</v>
      </c>
      <c r="I858" t="s">
        <v>4368</v>
      </c>
      <c r="J858" t="s">
        <v>19</v>
      </c>
      <c r="K858" s="1">
        <v>41197</v>
      </c>
      <c r="L858" t="s">
        <v>4372</v>
      </c>
      <c r="M858" t="s">
        <v>4373</v>
      </c>
      <c r="N858" t="s">
        <v>6370</v>
      </c>
    </row>
    <row r="859" spans="1:14" x14ac:dyDescent="0.25">
      <c r="A859">
        <v>161773</v>
      </c>
      <c r="B859" t="s">
        <v>4374</v>
      </c>
      <c r="C859">
        <v>6459</v>
      </c>
      <c r="D859" t="str" cm="1">
        <f t="array" ref="D859">_xlfn.TEXTJOIN(",",TRUE,_xlfn.XLOOKUP(_xlfn.TEXTSPLIT(C859,",")*1,_xlfn._TRO_TRAILING(Artists!A:A),_xlfn._TRO_TRAILING(Artists!B:B)))</f>
        <v>Frank Lloyd Wright</v>
      </c>
      <c r="E859" t="s">
        <v>60</v>
      </c>
      <c r="F859" cm="1">
        <f t="array" ref="F859">_xlfn.REGEXEXTRACT(E859,"\d{4}")*1</f>
        <v>1934</v>
      </c>
      <c r="G859" t="s">
        <v>4375</v>
      </c>
      <c r="H859" t="s">
        <v>4376</v>
      </c>
      <c r="I859" t="s">
        <v>4368</v>
      </c>
      <c r="J859" t="s">
        <v>19</v>
      </c>
      <c r="K859" s="1">
        <v>41197</v>
      </c>
      <c r="L859" t="s">
        <v>4377</v>
      </c>
      <c r="M859" t="s">
        <v>4378</v>
      </c>
      <c r="N859" t="s">
        <v>6370</v>
      </c>
    </row>
    <row r="860" spans="1:14" x14ac:dyDescent="0.25">
      <c r="A860">
        <v>162353</v>
      </c>
      <c r="B860" t="s">
        <v>4379</v>
      </c>
      <c r="C860">
        <v>6459</v>
      </c>
      <c r="D860" t="str" cm="1">
        <f t="array" ref="D860">_xlfn.TEXTJOIN(",",TRUE,_xlfn.XLOOKUP(_xlfn.TEXTSPLIT(C860,",")*1,_xlfn._TRO_TRAILING(Artists!A:A),_xlfn._TRO_TRAILING(Artists!B:B)))</f>
        <v>Frank Lloyd Wright</v>
      </c>
      <c r="E860" t="s">
        <v>800</v>
      </c>
      <c r="F860" cm="1">
        <f t="array" ref="F860">_xlfn.REGEXEXTRACT(E860,"\d{4}")*1</f>
        <v>1934</v>
      </c>
      <c r="G860" t="s">
        <v>4380</v>
      </c>
      <c r="H860" t="s">
        <v>4381</v>
      </c>
      <c r="I860" t="s">
        <v>4368</v>
      </c>
      <c r="J860" t="s">
        <v>19</v>
      </c>
      <c r="K860" s="1">
        <v>41197</v>
      </c>
      <c r="L860" t="s">
        <v>4382</v>
      </c>
      <c r="M860" t="s">
        <v>4383</v>
      </c>
      <c r="N860" t="s">
        <v>6370</v>
      </c>
    </row>
    <row r="861" spans="1:14" x14ac:dyDescent="0.25">
      <c r="A861">
        <v>162354</v>
      </c>
      <c r="B861" t="s">
        <v>4379</v>
      </c>
      <c r="C861">
        <v>6459</v>
      </c>
      <c r="D861" t="str" cm="1">
        <f t="array" ref="D861">_xlfn.TEXTJOIN(",",TRUE,_xlfn.XLOOKUP(_xlfn.TEXTSPLIT(C861,",")*1,_xlfn._TRO_TRAILING(Artists!A:A),_xlfn._TRO_TRAILING(Artists!B:B)))</f>
        <v>Frank Lloyd Wright</v>
      </c>
      <c r="E861" t="s">
        <v>800</v>
      </c>
      <c r="F861" cm="1">
        <f t="array" ref="F861">_xlfn.REGEXEXTRACT(E861,"\d{4}")*1</f>
        <v>1934</v>
      </c>
      <c r="G861" t="s">
        <v>4380</v>
      </c>
      <c r="H861" t="s">
        <v>4384</v>
      </c>
      <c r="I861" t="s">
        <v>4368</v>
      </c>
      <c r="J861" t="s">
        <v>19</v>
      </c>
      <c r="K861" s="1">
        <v>41197</v>
      </c>
      <c r="L861" t="s">
        <v>4385</v>
      </c>
      <c r="M861" t="s">
        <v>4386</v>
      </c>
      <c r="N861" t="s">
        <v>6370</v>
      </c>
    </row>
    <row r="862" spans="1:14" x14ac:dyDescent="0.25">
      <c r="A862">
        <v>163826</v>
      </c>
      <c r="B862" t="s">
        <v>4387</v>
      </c>
      <c r="C862">
        <v>3315</v>
      </c>
      <c r="D862" t="str" cm="1">
        <f t="array" ref="D862">_xlfn.TEXTJOIN(",",TRUE,_xlfn.XLOOKUP(_xlfn.TEXTSPLIT(C862,",")*1,_xlfn._TRO_TRAILING(Artists!A:A),_xlfn._TRO_TRAILING(Artists!B:B)))</f>
        <v>Yayoi Kusama</v>
      </c>
      <c r="E862">
        <v>1962</v>
      </c>
      <c r="F862" cm="1">
        <f t="array" ref="F862">_xlfn.REGEXEXTRACT(E862,"\d{4}")*1</f>
        <v>1962</v>
      </c>
      <c r="G862" t="s">
        <v>4388</v>
      </c>
      <c r="H862" t="s">
        <v>4389</v>
      </c>
      <c r="I862" t="s">
        <v>2248</v>
      </c>
      <c r="J862" t="s">
        <v>879</v>
      </c>
      <c r="K862" s="1">
        <v>41180</v>
      </c>
      <c r="L862" t="s">
        <v>4390</v>
      </c>
      <c r="M862" t="s">
        <v>4391</v>
      </c>
      <c r="N862" t="s">
        <v>6394</v>
      </c>
    </row>
    <row r="863" spans="1:14" x14ac:dyDescent="0.25">
      <c r="A863">
        <v>164938</v>
      </c>
      <c r="B863" t="s">
        <v>4392</v>
      </c>
      <c r="C863">
        <v>5907</v>
      </c>
      <c r="D863" t="str" cm="1">
        <f t="array" ref="D863">_xlfn.TEXTJOIN(",",TRUE,_xlfn.XLOOKUP(_xlfn.TEXTSPLIT(C863,",")*1,_xlfn._TRO_TRAILING(Artists!A:A),_xlfn._TRO_TRAILING(Artists!B:B)))</f>
        <v>Joaquín Torres-García</v>
      </c>
      <c r="E863">
        <v>1931</v>
      </c>
      <c r="F863" cm="1">
        <f t="array" ref="F863">_xlfn.REGEXEXTRACT(E863,"\d{4}")*1</f>
        <v>1931</v>
      </c>
      <c r="G863" t="s">
        <v>4393</v>
      </c>
      <c r="H863" t="s">
        <v>4394</v>
      </c>
      <c r="I863" t="s">
        <v>2248</v>
      </c>
      <c r="J863" t="s">
        <v>879</v>
      </c>
      <c r="K863" s="1">
        <v>41254</v>
      </c>
      <c r="L863" t="s">
        <v>4395</v>
      </c>
      <c r="M863" t="s">
        <v>4396</v>
      </c>
      <c r="N863" t="s">
        <v>6399</v>
      </c>
    </row>
    <row r="864" spans="1:14" x14ac:dyDescent="0.25">
      <c r="A864">
        <v>165011</v>
      </c>
      <c r="B864" t="s">
        <v>4398</v>
      </c>
      <c r="C864">
        <v>4823</v>
      </c>
      <c r="D864" t="str" cm="1">
        <f t="array" ref="D864">_xlfn.TEXTJOIN(",",TRUE,_xlfn.XLOOKUP(_xlfn.TEXTSPLIT(C864,",")*1,_xlfn._TRO_TRAILING(Artists!A:A),_xlfn._TRO_TRAILING(Artists!B:B)))</f>
        <v>Robert Rauschenberg</v>
      </c>
      <c r="E864">
        <v>1959</v>
      </c>
      <c r="F864" cm="1">
        <f t="array" ref="F864">_xlfn.REGEXEXTRACT(E864,"\d{4}")*1</f>
        <v>1959</v>
      </c>
      <c r="G864" t="s">
        <v>4399</v>
      </c>
      <c r="H864" t="s">
        <v>4400</v>
      </c>
      <c r="I864" t="s">
        <v>878</v>
      </c>
      <c r="J864" t="s">
        <v>879</v>
      </c>
      <c r="K864" s="1">
        <v>41240</v>
      </c>
      <c r="L864" t="s">
        <v>4401</v>
      </c>
      <c r="M864" t="s">
        <v>4402</v>
      </c>
      <c r="N864" t="s">
        <v>6398</v>
      </c>
    </row>
    <row r="865" spans="1:14" x14ac:dyDescent="0.25">
      <c r="A865">
        <v>165440</v>
      </c>
      <c r="B865" t="s">
        <v>4403</v>
      </c>
      <c r="C865">
        <v>38017</v>
      </c>
      <c r="D865" t="str" cm="1">
        <f t="array" ref="D865">_xlfn.TEXTJOIN(",",TRUE,_xlfn.XLOOKUP(_xlfn.TEXTSPLIT(C865,",")*1,_xlfn._TRO_TRAILING(Artists!A:A),_xlfn._TRO_TRAILING(Artists!B:B)))</f>
        <v>Martha Wilson</v>
      </c>
      <c r="E865">
        <v>1974</v>
      </c>
      <c r="F865" cm="1">
        <f t="array" ref="F865">_xlfn.REGEXEXTRACT(E865,"\d{4}")*1</f>
        <v>1974</v>
      </c>
      <c r="G865" t="s">
        <v>4404</v>
      </c>
      <c r="H865" t="s">
        <v>4405</v>
      </c>
      <c r="I865" t="s">
        <v>806</v>
      </c>
      <c r="J865" t="s">
        <v>1140</v>
      </c>
      <c r="K865" s="1">
        <v>41318</v>
      </c>
      <c r="L865" t="s">
        <v>4406</v>
      </c>
      <c r="M865" t="s">
        <v>4407</v>
      </c>
      <c r="N865" t="s">
        <v>6388</v>
      </c>
    </row>
    <row r="866" spans="1:14" x14ac:dyDescent="0.25">
      <c r="A866">
        <v>165801</v>
      </c>
      <c r="B866" t="s">
        <v>4408</v>
      </c>
      <c r="C866">
        <v>38908</v>
      </c>
      <c r="D866" t="str" cm="1">
        <f t="array" ref="D866">_xlfn.TEXTJOIN(",",TRUE,_xlfn.XLOOKUP(_xlfn.TEXTSPLIT(C866,",")*1,_xlfn._TRO_TRAILING(Artists!A:A),_xlfn._TRO_TRAILING(Artists!B:B)))</f>
        <v>Kerstin Brätsch</v>
      </c>
      <c r="E866">
        <v>2012</v>
      </c>
      <c r="F866" cm="1">
        <f t="array" ref="F866">_xlfn.REGEXEXTRACT(E866,"\d{4}")*1</f>
        <v>2012</v>
      </c>
      <c r="G866" t="s">
        <v>4409</v>
      </c>
      <c r="H866" t="s">
        <v>4410</v>
      </c>
      <c r="I866" t="s">
        <v>726</v>
      </c>
      <c r="J866" t="s">
        <v>879</v>
      </c>
      <c r="K866" s="1">
        <v>41254</v>
      </c>
      <c r="L866" t="s">
        <v>4411</v>
      </c>
      <c r="M866" t="s">
        <v>4412</v>
      </c>
      <c r="N866" t="s">
        <v>6422</v>
      </c>
    </row>
    <row r="867" spans="1:14" x14ac:dyDescent="0.25">
      <c r="A867">
        <v>166044</v>
      </c>
      <c r="B867" t="s">
        <v>4414</v>
      </c>
      <c r="C867">
        <v>3045</v>
      </c>
      <c r="D867" t="str" cm="1">
        <f t="array" ref="D867">_xlfn.TEXTJOIN(",",TRUE,_xlfn.XLOOKUP(_xlfn.TEXTSPLIT(C867,",")*1,_xlfn._TRO_TRAILING(Artists!A:A),_xlfn._TRO_TRAILING(Artists!B:B)))</f>
        <v>Mike Kelley</v>
      </c>
      <c r="E867" t="s">
        <v>4415</v>
      </c>
      <c r="F867" cm="1">
        <f t="array" ref="F867">_xlfn.REGEXEXTRACT(E867,"\d{4}")*1</f>
        <v>1991</v>
      </c>
      <c r="G867" t="s">
        <v>4416</v>
      </c>
      <c r="H867" t="s">
        <v>2403</v>
      </c>
      <c r="I867" t="s">
        <v>726</v>
      </c>
      <c r="J867" t="s">
        <v>879</v>
      </c>
      <c r="K867" s="1">
        <v>41311</v>
      </c>
      <c r="L867" t="s">
        <v>4417</v>
      </c>
      <c r="M867" t="s">
        <v>4418</v>
      </c>
      <c r="N867" t="s">
        <v>6423</v>
      </c>
    </row>
    <row r="868" spans="1:14" x14ac:dyDescent="0.25">
      <c r="A868">
        <v>166133</v>
      </c>
      <c r="B868" t="s">
        <v>4419</v>
      </c>
      <c r="C868">
        <v>471</v>
      </c>
      <c r="D868" t="str" cm="1">
        <f t="array" ref="D868">_xlfn.TEXTJOIN(",",TRUE,_xlfn.XLOOKUP(_xlfn.TEXTSPLIT(C868,",")*1,_xlfn._TRO_TRAILING(Artists!A:A),_xlfn._TRO_TRAILING(Artists!B:B)))</f>
        <v>Lynda Benglis</v>
      </c>
      <c r="E868">
        <v>1969</v>
      </c>
      <c r="F868" cm="1">
        <f t="array" ref="F868">_xlfn.REGEXEXTRACT(E868,"\d{4}")*1</f>
        <v>1969</v>
      </c>
      <c r="G868" t="s">
        <v>4420</v>
      </c>
      <c r="H868" t="s">
        <v>4421</v>
      </c>
      <c r="I868" t="s">
        <v>2248</v>
      </c>
      <c r="J868" t="s">
        <v>879</v>
      </c>
      <c r="K868" s="1">
        <v>41311</v>
      </c>
      <c r="L868" t="s">
        <v>4422</v>
      </c>
      <c r="M868" t="s">
        <v>4423</v>
      </c>
      <c r="N868" t="s">
        <v>6376</v>
      </c>
    </row>
    <row r="869" spans="1:14" x14ac:dyDescent="0.25">
      <c r="A869">
        <v>166135</v>
      </c>
      <c r="B869" t="s">
        <v>4424</v>
      </c>
      <c r="C869">
        <v>471</v>
      </c>
      <c r="D869" t="str" cm="1">
        <f t="array" ref="D869">_xlfn.TEXTJOIN(",",TRUE,_xlfn.XLOOKUP(_xlfn.TEXTSPLIT(C869,",")*1,_xlfn._TRO_TRAILING(Artists!A:A),_xlfn._TRO_TRAILING(Artists!B:B)))</f>
        <v>Lynda Benglis</v>
      </c>
      <c r="E869">
        <v>2007</v>
      </c>
      <c r="F869" cm="1">
        <f t="array" ref="F869">_xlfn.REGEXEXTRACT(E869,"\d{4}")*1</f>
        <v>2007</v>
      </c>
      <c r="G869" t="s">
        <v>4425</v>
      </c>
      <c r="H869" t="s">
        <v>4426</v>
      </c>
      <c r="I869" t="s">
        <v>2248</v>
      </c>
      <c r="J869" t="s">
        <v>879</v>
      </c>
      <c r="K869" s="1">
        <v>41311</v>
      </c>
      <c r="L869" t="s">
        <v>4427</v>
      </c>
      <c r="M869" t="s">
        <v>4428</v>
      </c>
      <c r="N869" t="s">
        <v>6368</v>
      </c>
    </row>
    <row r="870" spans="1:14" x14ac:dyDescent="0.25">
      <c r="A870">
        <v>166963</v>
      </c>
      <c r="B870" t="s">
        <v>4429</v>
      </c>
      <c r="C870">
        <v>1685</v>
      </c>
      <c r="D870" t="str" cm="1">
        <f t="array" ref="D870">_xlfn.TEXTJOIN(",",TRUE,_xlfn.XLOOKUP(_xlfn.TEXTSPLIT(C870,",")*1,_xlfn._TRO_TRAILING(Artists!A:A),_xlfn._TRO_TRAILING(Artists!B:B)))</f>
        <v>Melvin Edwards</v>
      </c>
      <c r="E870">
        <v>1965</v>
      </c>
      <c r="F870" cm="1">
        <f t="array" ref="F870">_xlfn.REGEXEXTRACT(E870,"\d{4}")*1</f>
        <v>1965</v>
      </c>
      <c r="G870" t="s">
        <v>268</v>
      </c>
      <c r="H870" t="s">
        <v>4430</v>
      </c>
      <c r="I870" t="s">
        <v>2248</v>
      </c>
      <c r="J870" t="s">
        <v>879</v>
      </c>
      <c r="K870" s="1">
        <v>41311</v>
      </c>
      <c r="L870" t="s">
        <v>4431</v>
      </c>
      <c r="M870" t="s">
        <v>4432</v>
      </c>
      <c r="N870" t="s">
        <v>6414</v>
      </c>
    </row>
    <row r="871" spans="1:14" x14ac:dyDescent="0.25">
      <c r="A871">
        <v>167211</v>
      </c>
      <c r="B871" t="s">
        <v>4434</v>
      </c>
      <c r="C871">
        <v>43150</v>
      </c>
      <c r="D871" t="str" cm="1">
        <f t="array" ref="D871">_xlfn.TEXTJOIN(",",TRUE,_xlfn.XLOOKUP(_xlfn.TEXTSPLIT(C871,",")*1,_xlfn._TRO_TRAILING(Artists!A:A),_xlfn._TRO_TRAILING(Artists!B:B)))</f>
        <v>Geta Brătescu</v>
      </c>
      <c r="E871">
        <v>1980</v>
      </c>
      <c r="F871" cm="1">
        <f t="array" ref="F871">_xlfn.REGEXEXTRACT(E871,"\d{4}")*1</f>
        <v>1980</v>
      </c>
      <c r="G871" t="s">
        <v>4435</v>
      </c>
      <c r="H871" t="s">
        <v>4306</v>
      </c>
      <c r="I871" t="s">
        <v>878</v>
      </c>
      <c r="J871" t="s">
        <v>879</v>
      </c>
      <c r="K871" s="1">
        <v>41414</v>
      </c>
      <c r="L871" t="s">
        <v>4436</v>
      </c>
      <c r="M871" t="s">
        <v>4437</v>
      </c>
      <c r="N871" t="s">
        <v>6376</v>
      </c>
    </row>
    <row r="872" spans="1:14" x14ac:dyDescent="0.25">
      <c r="A872">
        <v>167212</v>
      </c>
      <c r="B872" t="s">
        <v>4438</v>
      </c>
      <c r="C872">
        <v>43150</v>
      </c>
      <c r="D872" t="str" cm="1">
        <f t="array" ref="D872">_xlfn.TEXTJOIN(",",TRUE,_xlfn.XLOOKUP(_xlfn.TEXTSPLIT(C872,",")*1,_xlfn._TRO_TRAILING(Artists!A:A),_xlfn._TRO_TRAILING(Artists!B:B)))</f>
        <v>Geta Brătescu</v>
      </c>
      <c r="E872">
        <v>1980</v>
      </c>
      <c r="F872" cm="1">
        <f t="array" ref="F872">_xlfn.REGEXEXTRACT(E872,"\d{4}")*1</f>
        <v>1980</v>
      </c>
      <c r="G872" t="s">
        <v>4435</v>
      </c>
      <c r="H872" t="s">
        <v>4306</v>
      </c>
      <c r="I872" t="s">
        <v>878</v>
      </c>
      <c r="J872" t="s">
        <v>879</v>
      </c>
      <c r="K872" s="1">
        <v>41414</v>
      </c>
      <c r="L872" t="s">
        <v>4439</v>
      </c>
      <c r="M872" t="s">
        <v>4440</v>
      </c>
      <c r="N872" t="s">
        <v>6376</v>
      </c>
    </row>
    <row r="873" spans="1:14" x14ac:dyDescent="0.25">
      <c r="A873">
        <v>167213</v>
      </c>
      <c r="B873" t="s">
        <v>4441</v>
      </c>
      <c r="C873">
        <v>43150</v>
      </c>
      <c r="D873" t="str" cm="1">
        <f t="array" ref="D873">_xlfn.TEXTJOIN(",",TRUE,_xlfn.XLOOKUP(_xlfn.TEXTSPLIT(C873,",")*1,_xlfn._TRO_TRAILING(Artists!A:A),_xlfn._TRO_TRAILING(Artists!B:B)))</f>
        <v>Geta Brătescu</v>
      </c>
      <c r="E873">
        <v>1980</v>
      </c>
      <c r="F873" cm="1">
        <f t="array" ref="F873">_xlfn.REGEXEXTRACT(E873,"\d{4}")*1</f>
        <v>1980</v>
      </c>
      <c r="G873" t="s">
        <v>4435</v>
      </c>
      <c r="H873" t="s">
        <v>4306</v>
      </c>
      <c r="I873" t="s">
        <v>878</v>
      </c>
      <c r="J873" t="s">
        <v>879</v>
      </c>
      <c r="K873" s="1">
        <v>41414</v>
      </c>
      <c r="L873" t="s">
        <v>4442</v>
      </c>
      <c r="M873" t="s">
        <v>4443</v>
      </c>
      <c r="N873" t="s">
        <v>6376</v>
      </c>
    </row>
    <row r="874" spans="1:14" x14ac:dyDescent="0.25">
      <c r="A874">
        <v>168066</v>
      </c>
      <c r="B874" t="s">
        <v>4445</v>
      </c>
      <c r="C874">
        <v>4872</v>
      </c>
      <c r="D874" t="str" cm="1">
        <f t="array" ref="D874">_xlfn.TEXTJOIN(",",TRUE,_xlfn.XLOOKUP(_xlfn.TEXTSPLIT(C874,",")*1,_xlfn._TRO_TRAILING(Artists!A:A),_xlfn._TRO_TRAILING(Artists!B:B)))</f>
        <v>Marcia Resnick</v>
      </c>
      <c r="E874">
        <v>1978</v>
      </c>
      <c r="F874" cm="1">
        <f t="array" ref="F874">_xlfn.REGEXEXTRACT(E874,"\d{4}")*1</f>
        <v>1978</v>
      </c>
      <c r="G874" t="s">
        <v>664</v>
      </c>
      <c r="H874" t="s">
        <v>4444</v>
      </c>
      <c r="I874" t="s">
        <v>806</v>
      </c>
      <c r="J874" t="s">
        <v>1140</v>
      </c>
      <c r="K874" s="1">
        <v>41403</v>
      </c>
      <c r="L874" t="s">
        <v>4446</v>
      </c>
      <c r="M874" t="s">
        <v>4447</v>
      </c>
      <c r="N874" t="s">
        <v>6388</v>
      </c>
    </row>
    <row r="875" spans="1:14" x14ac:dyDescent="0.25">
      <c r="A875">
        <v>168958</v>
      </c>
      <c r="B875" t="s">
        <v>4448</v>
      </c>
      <c r="C875">
        <v>43480</v>
      </c>
      <c r="D875" t="str" cm="1">
        <f t="array" ref="D875">_xlfn.TEXTJOIN(",",TRUE,_xlfn.XLOOKUP(_xlfn.TEXTSPLIT(C875,",")*1,_xlfn._TRO_TRAILING(Artists!A:A),_xlfn._TRO_TRAILING(Artists!B:B)))</f>
        <v>Thomas Lanigan-Schmidt</v>
      </c>
      <c r="E875">
        <v>1985</v>
      </c>
      <c r="F875" cm="1">
        <f t="array" ref="F875">_xlfn.REGEXEXTRACT(E875,"\d{4}")*1</f>
        <v>1985</v>
      </c>
      <c r="G875" t="s">
        <v>4450</v>
      </c>
      <c r="H875" t="s">
        <v>4451</v>
      </c>
      <c r="I875" t="s">
        <v>2248</v>
      </c>
      <c r="J875" t="s">
        <v>879</v>
      </c>
      <c r="K875" s="1">
        <v>41617</v>
      </c>
      <c r="L875" t="s">
        <v>4452</v>
      </c>
      <c r="M875" t="s">
        <v>4453</v>
      </c>
      <c r="N875" t="s">
        <v>6410</v>
      </c>
    </row>
    <row r="876" spans="1:14" x14ac:dyDescent="0.25">
      <c r="A876">
        <v>169939</v>
      </c>
      <c r="B876" t="s">
        <v>51</v>
      </c>
      <c r="C876">
        <v>7391</v>
      </c>
      <c r="D876" t="str" cm="1">
        <f t="array" ref="D876">_xlfn.TEXTJOIN(",",TRUE,_xlfn.XLOOKUP(_xlfn.TEXTSPLIT(C876,",")*1,_xlfn._TRO_TRAILING(Artists!A:A),_xlfn._TRO_TRAILING(Artists!B:B)))</f>
        <v>Marisa Merz</v>
      </c>
      <c r="E876" t="s">
        <v>4454</v>
      </c>
      <c r="F876" cm="1">
        <f t="array" ref="F876">_xlfn.REGEXEXTRACT(E876,"\d{4}")*1</f>
        <v>1993</v>
      </c>
      <c r="G876" t="s">
        <v>25</v>
      </c>
      <c r="H876" t="s">
        <v>4455</v>
      </c>
      <c r="I876" t="s">
        <v>675</v>
      </c>
      <c r="J876" t="s">
        <v>674</v>
      </c>
      <c r="K876" s="1">
        <v>41417</v>
      </c>
      <c r="L876" t="s">
        <v>4456</v>
      </c>
      <c r="M876" t="s">
        <v>4457</v>
      </c>
      <c r="N876" t="s">
        <v>6376</v>
      </c>
    </row>
    <row r="877" spans="1:14" x14ac:dyDescent="0.25">
      <c r="A877">
        <v>172349</v>
      </c>
      <c r="B877" t="s">
        <v>1168</v>
      </c>
      <c r="C877">
        <v>561</v>
      </c>
      <c r="D877" t="str" cm="1">
        <f t="array" ref="D877">_xlfn.TEXTJOIN(",",TRUE,_xlfn.XLOOKUP(_xlfn.TEXTSPLIT(C877,",")*1,_xlfn._TRO_TRAILING(Artists!A:A),_xlfn._TRO_TRAILING(Artists!B:B)))</f>
        <v>Ilse Bing</v>
      </c>
      <c r="E877">
        <v>1931</v>
      </c>
      <c r="F877" cm="1">
        <f t="array" ref="F877">_xlfn.REGEXEXTRACT(E877,"\d{4}")*1</f>
        <v>1931</v>
      </c>
      <c r="G877" t="s">
        <v>664</v>
      </c>
      <c r="H877" t="s">
        <v>4458</v>
      </c>
      <c r="I877" t="s">
        <v>806</v>
      </c>
      <c r="J877" t="s">
        <v>1140</v>
      </c>
      <c r="K877" s="1">
        <v>41571</v>
      </c>
      <c r="L877" t="s">
        <v>4459</v>
      </c>
      <c r="M877" t="s">
        <v>4460</v>
      </c>
      <c r="N877" t="s">
        <v>6369</v>
      </c>
    </row>
    <row r="878" spans="1:14" x14ac:dyDescent="0.25">
      <c r="A878">
        <v>172729</v>
      </c>
      <c r="B878" t="s">
        <v>4461</v>
      </c>
      <c r="C878">
        <v>2330</v>
      </c>
      <c r="D878" t="str" cm="1">
        <f t="array" ref="D878">_xlfn.TEXTJOIN(",",TRUE,_xlfn.XLOOKUP(_xlfn.TEXTSPLIT(C878,",")*1,_xlfn._TRO_TRAILING(Artists!A:A),_xlfn._TRO_TRAILING(Artists!B:B)))</f>
        <v>April Greiman</v>
      </c>
      <c r="E878">
        <v>1986</v>
      </c>
      <c r="F878" cm="1">
        <f t="array" ref="F878">_xlfn.REGEXEXTRACT(E878,"\d{4}")*1</f>
        <v>1986</v>
      </c>
      <c r="G878" t="s">
        <v>32</v>
      </c>
      <c r="H878" t="s">
        <v>4462</v>
      </c>
      <c r="I878" t="s">
        <v>95</v>
      </c>
      <c r="J878" t="s">
        <v>19</v>
      </c>
      <c r="K878" s="1">
        <v>45327</v>
      </c>
      <c r="L878" t="s">
        <v>4463</v>
      </c>
      <c r="M878" t="s">
        <v>4464</v>
      </c>
      <c r="N878" t="s">
        <v>6360</v>
      </c>
    </row>
    <row r="879" spans="1:14" x14ac:dyDescent="0.25">
      <c r="A879">
        <v>173204</v>
      </c>
      <c r="B879" t="s">
        <v>4130</v>
      </c>
      <c r="C879">
        <v>30952</v>
      </c>
      <c r="D879" t="str" cm="1">
        <f t="array" ref="D879">_xlfn.TEXTJOIN(",",TRUE,_xlfn.XLOOKUP(_xlfn.TEXTSPLIT(C879,",")*1,_xlfn._TRO_TRAILING(Artists!A:A),_xlfn._TRO_TRAILING(Artists!B:B)))</f>
        <v>Birgit Jürgenssen</v>
      </c>
      <c r="E879">
        <v>1979</v>
      </c>
      <c r="F879" cm="1">
        <f t="array" ref="F879">_xlfn.REGEXEXTRACT(E879,"\d{4}")*1</f>
        <v>1979</v>
      </c>
      <c r="G879" t="s">
        <v>4397</v>
      </c>
      <c r="H879" t="s">
        <v>4465</v>
      </c>
      <c r="I879" t="s">
        <v>806</v>
      </c>
      <c r="J879" t="s">
        <v>1140</v>
      </c>
      <c r="K879" s="1">
        <v>41571</v>
      </c>
      <c r="L879" t="s">
        <v>4466</v>
      </c>
      <c r="M879" t="s">
        <v>4467</v>
      </c>
      <c r="N879" t="s">
        <v>6376</v>
      </c>
    </row>
    <row r="880" spans="1:14" x14ac:dyDescent="0.25">
      <c r="A880">
        <v>173503</v>
      </c>
      <c r="B880" t="s">
        <v>1168</v>
      </c>
      <c r="C880">
        <v>561</v>
      </c>
      <c r="D880" t="str" cm="1">
        <f t="array" ref="D880">_xlfn.TEXTJOIN(",",TRUE,_xlfn.XLOOKUP(_xlfn.TEXTSPLIT(C880,",")*1,_xlfn._TRO_TRAILING(Artists!A:A),_xlfn._TRO_TRAILING(Artists!B:B)))</f>
        <v>Ilse Bing</v>
      </c>
      <c r="E880">
        <v>1931</v>
      </c>
      <c r="F880" cm="1">
        <f t="array" ref="F880">_xlfn.REGEXEXTRACT(E880,"\d{4}")*1</f>
        <v>1931</v>
      </c>
      <c r="G880" t="s">
        <v>664</v>
      </c>
      <c r="H880" t="s">
        <v>4458</v>
      </c>
      <c r="I880" t="s">
        <v>806</v>
      </c>
      <c r="J880" t="s">
        <v>1140</v>
      </c>
      <c r="K880" s="1">
        <v>41571</v>
      </c>
      <c r="L880" t="s">
        <v>4468</v>
      </c>
      <c r="M880" t="s">
        <v>4469</v>
      </c>
      <c r="N880" t="s">
        <v>6369</v>
      </c>
    </row>
    <row r="881" spans="1:14" x14ac:dyDescent="0.25">
      <c r="A881">
        <v>173508</v>
      </c>
      <c r="B881" t="s">
        <v>1168</v>
      </c>
      <c r="C881">
        <v>561</v>
      </c>
      <c r="D881" t="str" cm="1">
        <f t="array" ref="D881">_xlfn.TEXTJOIN(",",TRUE,_xlfn.XLOOKUP(_xlfn.TEXTSPLIT(C881,",")*1,_xlfn._TRO_TRAILING(Artists!A:A),_xlfn._TRO_TRAILING(Artists!B:B)))</f>
        <v>Ilse Bing</v>
      </c>
      <c r="E881">
        <v>1931</v>
      </c>
      <c r="F881" cm="1">
        <f t="array" ref="F881">_xlfn.REGEXEXTRACT(E881,"\d{4}")*1</f>
        <v>1931</v>
      </c>
      <c r="G881" t="s">
        <v>664</v>
      </c>
      <c r="H881" t="s">
        <v>4458</v>
      </c>
      <c r="I881" t="s">
        <v>806</v>
      </c>
      <c r="J881" t="s">
        <v>1140</v>
      </c>
      <c r="K881" s="1">
        <v>41571</v>
      </c>
      <c r="L881" t="s">
        <v>4470</v>
      </c>
      <c r="M881" t="s">
        <v>4471</v>
      </c>
      <c r="N881" t="s">
        <v>6369</v>
      </c>
    </row>
    <row r="882" spans="1:14" x14ac:dyDescent="0.25">
      <c r="A882">
        <v>175368</v>
      </c>
      <c r="B882" t="s">
        <v>4475</v>
      </c>
      <c r="C882" t="s">
        <v>4474</v>
      </c>
      <c r="D882" t="str" cm="1">
        <f t="array" ref="D882">_xlfn.TEXTJOIN(",",TRUE,_xlfn.XLOOKUP(_xlfn.TEXTSPLIT(C882,",")*1,_xlfn._TRO_TRAILING(Artists!A:A),_xlfn._TRO_TRAILING(Artists!B:B)))</f>
        <v>Mario Gandelsonas,Marta Minujín</v>
      </c>
      <c r="E882">
        <v>1966</v>
      </c>
      <c r="F882" cm="1">
        <f t="array" ref="F882">_xlfn.REGEXEXTRACT(E882,"\d{4}")*1</f>
        <v>1966</v>
      </c>
      <c r="G882" t="s">
        <v>23</v>
      </c>
      <c r="H882" t="s">
        <v>4476</v>
      </c>
      <c r="I882" t="s">
        <v>18</v>
      </c>
      <c r="J882" t="s">
        <v>19</v>
      </c>
      <c r="K882" s="1">
        <v>41778</v>
      </c>
      <c r="L882" t="s">
        <v>4477</v>
      </c>
      <c r="M882" t="s">
        <v>4478</v>
      </c>
      <c r="N882" t="s">
        <v>6360</v>
      </c>
    </row>
    <row r="883" spans="1:14" x14ac:dyDescent="0.25">
      <c r="A883">
        <v>177634</v>
      </c>
      <c r="B883" s="1">
        <v>25503</v>
      </c>
      <c r="C883">
        <v>2161</v>
      </c>
      <c r="D883" t="str" cm="1">
        <f t="array" ref="D883">_xlfn.TEXTJOIN(",",TRUE,_xlfn.XLOOKUP(_xlfn.TEXTSPLIT(C883,",")*1,_xlfn._TRO_TRAILING(Artists!A:A),_xlfn._TRO_TRAILING(Artists!B:B)))</f>
        <v>Sam Gilliam</v>
      </c>
      <c r="E883">
        <v>1969</v>
      </c>
      <c r="F883" cm="1">
        <f t="array" ref="F883">_xlfn.REGEXEXTRACT(E883,"\d{4}")*1</f>
        <v>1969</v>
      </c>
      <c r="G883" t="s">
        <v>2163</v>
      </c>
      <c r="H883" t="s">
        <v>4479</v>
      </c>
      <c r="I883" t="s">
        <v>878</v>
      </c>
      <c r="J883" t="s">
        <v>879</v>
      </c>
      <c r="K883" s="1">
        <v>41674</v>
      </c>
      <c r="L883" t="s">
        <v>4480</v>
      </c>
      <c r="M883" t="s">
        <v>4481</v>
      </c>
      <c r="N883" t="s">
        <v>6414</v>
      </c>
    </row>
    <row r="884" spans="1:14" x14ac:dyDescent="0.25">
      <c r="A884">
        <v>179624</v>
      </c>
      <c r="B884" t="s">
        <v>4484</v>
      </c>
      <c r="C884">
        <v>44767</v>
      </c>
      <c r="D884" t="str" cm="1">
        <f t="array" ref="D884">_xlfn.TEXTJOIN(",",TRUE,_xlfn.XLOOKUP(_xlfn.TEXTSPLIT(C884,",")*1,_xlfn._TRO_TRAILING(Artists!A:A),_xlfn._TRO_TRAILING(Artists!B:B)))</f>
        <v>Mario Gandelsonas</v>
      </c>
      <c r="E884" t="s">
        <v>4486</v>
      </c>
      <c r="F884" cm="1">
        <f t="array" ref="F884">_xlfn.REGEXEXTRACT(E884,"\d{4}")*1</f>
        <v>1970</v>
      </c>
      <c r="G884" t="s">
        <v>4487</v>
      </c>
      <c r="H884" t="s">
        <v>4488</v>
      </c>
      <c r="I884" t="s">
        <v>18</v>
      </c>
      <c r="J884" t="s">
        <v>19</v>
      </c>
      <c r="K884" s="1">
        <v>41778</v>
      </c>
      <c r="L884" t="s">
        <v>4489</v>
      </c>
      <c r="M884" t="s">
        <v>4490</v>
      </c>
      <c r="N884" t="s">
        <v>6360</v>
      </c>
    </row>
    <row r="885" spans="1:14" x14ac:dyDescent="0.25">
      <c r="A885">
        <v>179688</v>
      </c>
      <c r="B885" t="s">
        <v>3519</v>
      </c>
      <c r="C885">
        <v>45626</v>
      </c>
      <c r="D885" t="str" cm="1">
        <f t="array" ref="D885">_xlfn.TEXTJOIN(",",TRUE,_xlfn.XLOOKUP(_xlfn.TEXTSPLIT(C885,",")*1,_xlfn._TRO_TRAILING(Artists!A:A),_xlfn._TRO_TRAILING(Artists!B:B)))</f>
        <v>Lutz Bacher</v>
      </c>
      <c r="E885" t="s">
        <v>3472</v>
      </c>
      <c r="F885" cm="1">
        <f t="array" ref="F885">_xlfn.REGEXEXTRACT(E885,"\d{4}")*1</f>
        <v>1997</v>
      </c>
      <c r="G885" t="s">
        <v>3867</v>
      </c>
      <c r="H885" t="s">
        <v>4011</v>
      </c>
      <c r="I885" t="s">
        <v>1626</v>
      </c>
      <c r="J885" t="s">
        <v>3200</v>
      </c>
      <c r="K885" s="1">
        <v>41680</v>
      </c>
      <c r="L885" t="s">
        <v>4492</v>
      </c>
      <c r="M885" t="s">
        <v>4493</v>
      </c>
      <c r="N885" t="s">
        <v>6382</v>
      </c>
    </row>
    <row r="886" spans="1:14" x14ac:dyDescent="0.25">
      <c r="A886">
        <v>180678</v>
      </c>
      <c r="B886" t="s">
        <v>4495</v>
      </c>
      <c r="C886">
        <v>45961</v>
      </c>
      <c r="D886" t="str" cm="1">
        <f t="array" ref="D886">_xlfn.TEXTJOIN(",",TRUE,_xlfn.XLOOKUP(_xlfn.TEXTSPLIT(C886,",")*1,_xlfn._TRO_TRAILING(Artists!A:A),_xlfn._TRO_TRAILING(Artists!B:B)))</f>
        <v>Ken Okiishi</v>
      </c>
      <c r="E886">
        <v>2014</v>
      </c>
      <c r="F886" cm="1">
        <f t="array" ref="F886">_xlfn.REGEXEXTRACT(E886,"\d{4}")*1</f>
        <v>2014</v>
      </c>
      <c r="G886" t="s">
        <v>4497</v>
      </c>
      <c r="H886" t="s">
        <v>4498</v>
      </c>
      <c r="I886" t="s">
        <v>726</v>
      </c>
      <c r="J886" t="s">
        <v>3200</v>
      </c>
      <c r="K886" s="1">
        <v>41766</v>
      </c>
      <c r="L886" t="s">
        <v>4499</v>
      </c>
      <c r="M886" t="s">
        <v>4500</v>
      </c>
      <c r="N886" t="s">
        <v>6408</v>
      </c>
    </row>
    <row r="887" spans="1:14" x14ac:dyDescent="0.25">
      <c r="A887">
        <v>181796</v>
      </c>
      <c r="B887" t="s">
        <v>4503</v>
      </c>
      <c r="C887">
        <v>26369</v>
      </c>
      <c r="D887" t="str" cm="1">
        <f t="array" ref="D887">_xlfn.TEXTJOIN(",",TRUE,_xlfn.XLOOKUP(_xlfn.TEXTSPLIT(C887,",")*1,_xlfn._TRO_TRAILING(Artists!A:A),_xlfn._TRO_TRAILING(Artists!B:B)))</f>
        <v>Mako Idemitsu</v>
      </c>
      <c r="E887">
        <v>1972</v>
      </c>
      <c r="F887" cm="1">
        <f t="array" ref="F887">_xlfn.REGEXEXTRACT(E887,"\d{4}")*1</f>
        <v>1972</v>
      </c>
      <c r="G887" t="s">
        <v>4246</v>
      </c>
      <c r="H887" t="s">
        <v>4024</v>
      </c>
      <c r="I887" t="s">
        <v>1626</v>
      </c>
      <c r="J887" t="s">
        <v>3200</v>
      </c>
      <c r="K887" s="1">
        <v>41766</v>
      </c>
      <c r="L887" t="s">
        <v>4504</v>
      </c>
      <c r="M887" t="s">
        <v>4505</v>
      </c>
      <c r="N887" t="s">
        <v>6376</v>
      </c>
    </row>
    <row r="888" spans="1:14" x14ac:dyDescent="0.25">
      <c r="A888">
        <v>181803</v>
      </c>
      <c r="B888" t="s">
        <v>4506</v>
      </c>
      <c r="C888">
        <v>4410</v>
      </c>
      <c r="D888" t="str" cm="1">
        <f t="array" ref="D888">_xlfn.TEXTJOIN(",",TRUE,_xlfn.XLOOKUP(_xlfn.TEXTSPLIT(C888,",")*1,_xlfn._TRO_TRAILING(Artists!A:A),_xlfn._TRO_TRAILING(Artists!B:B)))</f>
        <v>Yoko Ono</v>
      </c>
      <c r="E888">
        <v>1965</v>
      </c>
      <c r="F888" cm="1">
        <f t="array" ref="F888">_xlfn.REGEXEXTRACT(E888,"\d{4}")*1</f>
        <v>1965</v>
      </c>
      <c r="G888" t="s">
        <v>664</v>
      </c>
      <c r="H888" t="s">
        <v>4502</v>
      </c>
      <c r="I888" t="s">
        <v>806</v>
      </c>
      <c r="J888" t="s">
        <v>674</v>
      </c>
      <c r="K888" s="1">
        <v>39729</v>
      </c>
      <c r="L888" t="s">
        <v>4507</v>
      </c>
      <c r="M888" t="s">
        <v>4508</v>
      </c>
      <c r="N888" t="s">
        <v>6360</v>
      </c>
    </row>
    <row r="889" spans="1:14" x14ac:dyDescent="0.25">
      <c r="A889">
        <v>181804</v>
      </c>
      <c r="B889" t="s">
        <v>4506</v>
      </c>
      <c r="C889">
        <v>4410</v>
      </c>
      <c r="D889" t="str" cm="1">
        <f t="array" ref="D889">_xlfn.TEXTJOIN(",",TRUE,_xlfn.XLOOKUP(_xlfn.TEXTSPLIT(C889,",")*1,_xlfn._TRO_TRAILING(Artists!A:A),_xlfn._TRO_TRAILING(Artists!B:B)))</f>
        <v>Yoko Ono</v>
      </c>
      <c r="E889">
        <v>1965</v>
      </c>
      <c r="F889" cm="1">
        <f t="array" ref="F889">_xlfn.REGEXEXTRACT(E889,"\d{4}")*1</f>
        <v>1965</v>
      </c>
      <c r="G889" t="s">
        <v>664</v>
      </c>
      <c r="H889" t="s">
        <v>4502</v>
      </c>
      <c r="I889" t="s">
        <v>806</v>
      </c>
      <c r="J889" t="s">
        <v>674</v>
      </c>
      <c r="K889" s="1">
        <v>39729</v>
      </c>
      <c r="L889" t="s">
        <v>4509</v>
      </c>
      <c r="M889" t="s">
        <v>4510</v>
      </c>
      <c r="N889" t="s">
        <v>6360</v>
      </c>
    </row>
    <row r="890" spans="1:14" x14ac:dyDescent="0.25">
      <c r="A890">
        <v>181810</v>
      </c>
      <c r="B890" t="s">
        <v>4506</v>
      </c>
      <c r="C890">
        <v>4410</v>
      </c>
      <c r="D890" t="str" cm="1">
        <f t="array" ref="D890">_xlfn.TEXTJOIN(",",TRUE,_xlfn.XLOOKUP(_xlfn.TEXTSPLIT(C890,",")*1,_xlfn._TRO_TRAILING(Artists!A:A),_xlfn._TRO_TRAILING(Artists!B:B)))</f>
        <v>Yoko Ono</v>
      </c>
      <c r="E890">
        <v>1965</v>
      </c>
      <c r="F890" cm="1">
        <f t="array" ref="F890">_xlfn.REGEXEXTRACT(E890,"\d{4}")*1</f>
        <v>1965</v>
      </c>
      <c r="G890" t="s">
        <v>664</v>
      </c>
      <c r="H890" t="s">
        <v>4502</v>
      </c>
      <c r="I890" t="s">
        <v>806</v>
      </c>
      <c r="J890" t="s">
        <v>674</v>
      </c>
      <c r="K890" s="1">
        <v>39729</v>
      </c>
      <c r="L890" t="s">
        <v>4511</v>
      </c>
      <c r="M890" t="s">
        <v>4512</v>
      </c>
      <c r="N890" t="s">
        <v>6360</v>
      </c>
    </row>
    <row r="891" spans="1:14" x14ac:dyDescent="0.25">
      <c r="A891">
        <v>184051</v>
      </c>
      <c r="B891" t="s">
        <v>4514</v>
      </c>
      <c r="C891">
        <v>412</v>
      </c>
      <c r="D891" t="str" cm="1">
        <f t="array" ref="D891">_xlfn.TEXTJOIN(",",TRUE,_xlfn.XLOOKUP(_xlfn.TEXTSPLIT(C891,",")*1,_xlfn._TRO_TRAILING(Artists!A:A),_xlfn._TRO_TRAILING(Artists!B:B)))</f>
        <v>Romare Bearden</v>
      </c>
      <c r="E891">
        <v>1983</v>
      </c>
      <c r="F891" cm="1">
        <f t="array" ref="F891">_xlfn.REGEXEXTRACT(E891,"\d{4}")*1</f>
        <v>1983</v>
      </c>
      <c r="G891" t="s">
        <v>4515</v>
      </c>
      <c r="H891" t="s">
        <v>4516</v>
      </c>
      <c r="I891" t="s">
        <v>675</v>
      </c>
      <c r="J891" t="s">
        <v>674</v>
      </c>
      <c r="K891" s="1">
        <v>41914</v>
      </c>
      <c r="L891" t="s">
        <v>4517</v>
      </c>
      <c r="M891" t="s">
        <v>4518</v>
      </c>
      <c r="N891" t="s">
        <v>6383</v>
      </c>
    </row>
    <row r="892" spans="1:14" x14ac:dyDescent="0.25">
      <c r="A892">
        <v>184180</v>
      </c>
      <c r="B892" t="s">
        <v>4519</v>
      </c>
      <c r="C892">
        <v>47676</v>
      </c>
      <c r="D892" t="str" cm="1">
        <f t="array" ref="D892">_xlfn.TEXTJOIN(",",TRUE,_xlfn.XLOOKUP(_xlfn.TEXTSPLIT(C892,",")*1,_xlfn._TRO_TRAILING(Artists!A:A),_xlfn._TRO_TRAILING(Artists!B:B)))</f>
        <v>Pauline Oliveros</v>
      </c>
      <c r="E892">
        <v>1982</v>
      </c>
      <c r="F892" cm="1">
        <f t="array" ref="F892">_xlfn.REGEXEXTRACT(E892,"\d{4}")*1</f>
        <v>1982</v>
      </c>
      <c r="G892" t="s">
        <v>4473</v>
      </c>
      <c r="H892" t="s">
        <v>4513</v>
      </c>
      <c r="I892" t="s">
        <v>3959</v>
      </c>
      <c r="J892" t="s">
        <v>674</v>
      </c>
      <c r="K892" s="1">
        <v>41557</v>
      </c>
      <c r="L892" t="s">
        <v>4521</v>
      </c>
      <c r="M892" t="s">
        <v>4522</v>
      </c>
      <c r="N892" t="s">
        <v>6420</v>
      </c>
    </row>
    <row r="893" spans="1:14" x14ac:dyDescent="0.25">
      <c r="A893">
        <v>184288</v>
      </c>
      <c r="B893" t="s">
        <v>4523</v>
      </c>
      <c r="C893">
        <v>46315</v>
      </c>
      <c r="D893" t="str" cm="1">
        <f t="array" ref="D893">_xlfn.TEXTJOIN(",",TRUE,_xlfn.XLOOKUP(_xlfn.TEXTSPLIT(C893,",")*1,_xlfn._TRO_TRAILING(Artists!A:A),_xlfn._TRO_TRAILING(Artists!B:B)))</f>
        <v>Keiji Uematsu</v>
      </c>
      <c r="E893">
        <v>1976</v>
      </c>
      <c r="F893" cm="1">
        <f t="array" ref="F893">_xlfn.REGEXEXTRACT(E893,"\d{4}")*1</f>
        <v>1976</v>
      </c>
      <c r="G893" t="s">
        <v>1208</v>
      </c>
      <c r="H893" t="s">
        <v>4525</v>
      </c>
      <c r="I893" t="s">
        <v>806</v>
      </c>
      <c r="J893" t="s">
        <v>1140</v>
      </c>
      <c r="K893" s="1">
        <v>41921</v>
      </c>
      <c r="L893" t="s">
        <v>4526</v>
      </c>
      <c r="M893" t="s">
        <v>4527</v>
      </c>
      <c r="N893" t="s">
        <v>6388</v>
      </c>
    </row>
    <row r="894" spans="1:14" x14ac:dyDescent="0.25">
      <c r="A894">
        <v>184956</v>
      </c>
      <c r="B894" t="s">
        <v>4528</v>
      </c>
      <c r="C894">
        <v>46384</v>
      </c>
      <c r="D894" t="str" cm="1">
        <f t="array" ref="D894">_xlfn.TEXTJOIN(",",TRUE,_xlfn.XLOOKUP(_xlfn.TEXTSPLIT(C894,",")*1,_xlfn._TRO_TRAILING(Artists!A:A),_xlfn._TRO_TRAILING(Artists!B:B)))</f>
        <v>Jorge Castillo</v>
      </c>
      <c r="E894">
        <v>1972</v>
      </c>
      <c r="F894" cm="1">
        <f t="array" ref="F894">_xlfn.REGEXEXTRACT(E894,"\d{4}")*1</f>
        <v>1972</v>
      </c>
      <c r="G894" t="s">
        <v>4529</v>
      </c>
      <c r="H894" t="s">
        <v>4530</v>
      </c>
      <c r="I894" t="s">
        <v>18</v>
      </c>
      <c r="J894" t="s">
        <v>19</v>
      </c>
      <c r="K894" s="1">
        <v>41918</v>
      </c>
      <c r="L894" t="s">
        <v>4531</v>
      </c>
      <c r="M894" t="s">
        <v>4532</v>
      </c>
      <c r="N894" t="s">
        <v>6360</v>
      </c>
    </row>
    <row r="895" spans="1:14" x14ac:dyDescent="0.25">
      <c r="A895">
        <v>184957</v>
      </c>
      <c r="B895" t="s">
        <v>4528</v>
      </c>
      <c r="C895">
        <v>46384</v>
      </c>
      <c r="D895" t="str" cm="1">
        <f t="array" ref="D895">_xlfn.TEXTJOIN(",",TRUE,_xlfn.XLOOKUP(_xlfn.TEXTSPLIT(C895,",")*1,_xlfn._TRO_TRAILING(Artists!A:A),_xlfn._TRO_TRAILING(Artists!B:B)))</f>
        <v>Jorge Castillo</v>
      </c>
      <c r="E895">
        <v>1972</v>
      </c>
      <c r="F895" cm="1">
        <f t="array" ref="F895">_xlfn.REGEXEXTRACT(E895,"\d{4}")*1</f>
        <v>1972</v>
      </c>
      <c r="G895" t="s">
        <v>4529</v>
      </c>
      <c r="H895" t="s">
        <v>4530</v>
      </c>
      <c r="I895" t="s">
        <v>18</v>
      </c>
      <c r="J895" t="s">
        <v>19</v>
      </c>
      <c r="K895" s="1">
        <v>41918</v>
      </c>
      <c r="L895" t="s">
        <v>4533</v>
      </c>
      <c r="M895" t="s">
        <v>4534</v>
      </c>
      <c r="N895" t="s">
        <v>6360</v>
      </c>
    </row>
    <row r="896" spans="1:14" x14ac:dyDescent="0.25">
      <c r="A896">
        <v>184960</v>
      </c>
      <c r="B896" t="s">
        <v>4528</v>
      </c>
      <c r="C896">
        <v>46384</v>
      </c>
      <c r="D896" t="str" cm="1">
        <f t="array" ref="D896">_xlfn.TEXTJOIN(",",TRUE,_xlfn.XLOOKUP(_xlfn.TEXTSPLIT(C896,",")*1,_xlfn._TRO_TRAILING(Artists!A:A),_xlfn._TRO_TRAILING(Artists!B:B)))</f>
        <v>Jorge Castillo</v>
      </c>
      <c r="E896">
        <v>1972</v>
      </c>
      <c r="F896" cm="1">
        <f t="array" ref="F896">_xlfn.REGEXEXTRACT(E896,"\d{4}")*1</f>
        <v>1972</v>
      </c>
      <c r="G896" t="s">
        <v>4529</v>
      </c>
      <c r="H896" t="s">
        <v>4530</v>
      </c>
      <c r="I896" t="s">
        <v>18</v>
      </c>
      <c r="J896" t="s">
        <v>19</v>
      </c>
      <c r="K896" s="1">
        <v>41918</v>
      </c>
      <c r="L896" t="s">
        <v>4535</v>
      </c>
      <c r="M896" t="s">
        <v>4536</v>
      </c>
      <c r="N896" t="s">
        <v>6360</v>
      </c>
    </row>
    <row r="897" spans="1:14" x14ac:dyDescent="0.25">
      <c r="A897">
        <v>185018</v>
      </c>
      <c r="B897" t="s">
        <v>4537</v>
      </c>
      <c r="C897">
        <v>9555</v>
      </c>
      <c r="D897" t="str" cm="1">
        <f t="array" ref="D897">_xlfn.TEXTJOIN(",",TRUE,_xlfn.XLOOKUP(_xlfn.TEXTSPLIT(C897,",")*1,_xlfn._TRO_TRAILING(Artists!A:A),_xlfn._TRO_TRAILING(Artists!B:B)))</f>
        <v>Technics, Osaka, Japan</v>
      </c>
      <c r="E897">
        <v>1972</v>
      </c>
      <c r="F897" cm="1">
        <f t="array" ref="F897">_xlfn.REGEXEXTRACT(E897,"\d{4}")*1</f>
        <v>1972</v>
      </c>
      <c r="G897" t="s">
        <v>4539</v>
      </c>
      <c r="H897" t="s">
        <v>4540</v>
      </c>
      <c r="I897" t="s">
        <v>95</v>
      </c>
      <c r="J897" t="s">
        <v>19</v>
      </c>
      <c r="K897" s="1">
        <v>41918</v>
      </c>
      <c r="L897" t="s">
        <v>4541</v>
      </c>
      <c r="M897" t="s">
        <v>4542</v>
      </c>
      <c r="N897" t="s">
        <v>6362</v>
      </c>
    </row>
    <row r="898" spans="1:14" x14ac:dyDescent="0.25">
      <c r="A898">
        <v>185042</v>
      </c>
      <c r="B898" t="s">
        <v>4543</v>
      </c>
      <c r="C898">
        <v>9325</v>
      </c>
      <c r="D898" t="str" cm="1">
        <f t="array" ref="D898">_xlfn.TEXTJOIN(",",TRUE,_xlfn.XLOOKUP(_xlfn.TEXTSPLIT(C898,",")*1,_xlfn._TRO_TRAILING(Artists!A:A),_xlfn._TRO_TRAILING(Artists!B:B)))</f>
        <v>Japan Victor Corporation (JVC), Japan</v>
      </c>
      <c r="E898" t="s">
        <v>632</v>
      </c>
      <c r="F898" cm="1">
        <f t="array" ref="F898">_xlfn.REGEXEXTRACT(E898,"\d{4}")*1</f>
        <v>1981</v>
      </c>
      <c r="G898" t="s">
        <v>4545</v>
      </c>
      <c r="H898" t="s">
        <v>4546</v>
      </c>
      <c r="I898" t="s">
        <v>95</v>
      </c>
      <c r="J898" t="s">
        <v>19</v>
      </c>
      <c r="K898" s="1">
        <v>41918</v>
      </c>
      <c r="L898" t="s">
        <v>4547</v>
      </c>
      <c r="M898" t="s">
        <v>4548</v>
      </c>
      <c r="N898" t="s">
        <v>6362</v>
      </c>
    </row>
    <row r="899" spans="1:14" x14ac:dyDescent="0.25">
      <c r="A899">
        <v>185436</v>
      </c>
      <c r="B899" t="s">
        <v>4549</v>
      </c>
      <c r="C899" t="s">
        <v>4550</v>
      </c>
      <c r="D899" t="str" cm="1">
        <f t="array" ref="D899">_xlfn.TEXTJOIN(",",TRUE,_xlfn.XLOOKUP(_xlfn.TEXTSPLIT(C899,",")*1,_xlfn._TRO_TRAILING(Artists!A:A),_xlfn._TRO_TRAILING(Artists!B:B)))</f>
        <v>John Van Hamersveld,Norman Seeff,Robert Frank,Rolling Stones Records</v>
      </c>
      <c r="E899">
        <v>1972</v>
      </c>
      <c r="F899" cm="1">
        <f t="array" ref="F899">_xlfn.REGEXEXTRACT(E899,"\d{4}")*1</f>
        <v>1972</v>
      </c>
      <c r="G899" t="s">
        <v>32</v>
      </c>
      <c r="H899" t="s">
        <v>3801</v>
      </c>
      <c r="I899" t="s">
        <v>95</v>
      </c>
      <c r="J899" t="s">
        <v>19</v>
      </c>
      <c r="K899" s="1">
        <v>41918</v>
      </c>
      <c r="L899" t="s">
        <v>4551</v>
      </c>
      <c r="M899" t="s">
        <v>4552</v>
      </c>
      <c r="N899" t="s">
        <v>6389</v>
      </c>
    </row>
    <row r="900" spans="1:14" x14ac:dyDescent="0.25">
      <c r="A900">
        <v>185452</v>
      </c>
      <c r="B900" t="s">
        <v>4553</v>
      </c>
      <c r="C900">
        <v>46451</v>
      </c>
      <c r="D900" t="str" cm="1">
        <f t="array" ref="D900">_xlfn.TEXTJOIN(",",TRUE,_xlfn.XLOOKUP(_xlfn.TEXTSPLIT(C900,",")*1,_xlfn._TRO_TRAILING(Artists!A:A),_xlfn._TRO_TRAILING(Artists!B:B)))</f>
        <v>Wells Coates</v>
      </c>
      <c r="E900">
        <v>1932</v>
      </c>
      <c r="F900" cm="1">
        <f t="array" ref="F900">_xlfn.REGEXEXTRACT(E900,"\d{4}")*1</f>
        <v>1932</v>
      </c>
      <c r="G900" t="s">
        <v>4555</v>
      </c>
      <c r="H900" t="s">
        <v>4556</v>
      </c>
      <c r="I900" t="s">
        <v>95</v>
      </c>
      <c r="J900" t="s">
        <v>19</v>
      </c>
      <c r="K900" s="1">
        <v>41918</v>
      </c>
      <c r="L900" t="s">
        <v>4557</v>
      </c>
      <c r="M900" t="s">
        <v>4558</v>
      </c>
      <c r="N900" t="s">
        <v>6370</v>
      </c>
    </row>
    <row r="901" spans="1:14" x14ac:dyDescent="0.25">
      <c r="A901">
        <v>185657</v>
      </c>
      <c r="B901" t="s">
        <v>4559</v>
      </c>
      <c r="C901">
        <v>7520</v>
      </c>
      <c r="D901" t="str" cm="1">
        <f t="array" ref="D901">_xlfn.TEXTJOIN(",",TRUE,_xlfn.XLOOKUP(_xlfn.TEXTSPLIT(C901,",")*1,_xlfn._TRO_TRAILING(Artists!A:A),_xlfn._TRO_TRAILING(Artists!B:B)))</f>
        <v>Luc Tuymans</v>
      </c>
      <c r="E901">
        <v>1991</v>
      </c>
      <c r="F901" cm="1">
        <f t="array" ref="F901">_xlfn.REGEXEXTRACT(E901,"\d{4}")*1</f>
        <v>1991</v>
      </c>
      <c r="G901" t="s">
        <v>1034</v>
      </c>
      <c r="H901" t="s">
        <v>4560</v>
      </c>
      <c r="I901" t="s">
        <v>878</v>
      </c>
      <c r="J901" t="s">
        <v>879</v>
      </c>
      <c r="K901" s="1">
        <v>41911</v>
      </c>
      <c r="L901" t="s">
        <v>4561</v>
      </c>
      <c r="M901" t="s">
        <v>4562</v>
      </c>
      <c r="N901" t="s">
        <v>6382</v>
      </c>
    </row>
    <row r="902" spans="1:14" x14ac:dyDescent="0.25">
      <c r="A902">
        <v>185950</v>
      </c>
      <c r="B902" t="s">
        <v>4563</v>
      </c>
      <c r="C902">
        <v>7954</v>
      </c>
      <c r="D902" t="str" cm="1">
        <f t="array" ref="D902">_xlfn.TEXTJOIN(",",TRUE,_xlfn.XLOOKUP(_xlfn.TEXTSPLIT(C902,",")*1,_xlfn._TRO_TRAILING(Artists!A:A),_xlfn._TRO_TRAILING(Artists!B:B)))</f>
        <v>Lew Thomas</v>
      </c>
      <c r="E902">
        <v>1978</v>
      </c>
      <c r="F902" cm="1">
        <f t="array" ref="F902">_xlfn.REGEXEXTRACT(E902,"\d{4}")*1</f>
        <v>1978</v>
      </c>
      <c r="G902" t="s">
        <v>664</v>
      </c>
      <c r="H902" t="s">
        <v>4564</v>
      </c>
      <c r="I902" t="s">
        <v>806</v>
      </c>
      <c r="J902" t="s">
        <v>1140</v>
      </c>
      <c r="K902" s="1">
        <v>41921</v>
      </c>
      <c r="L902" t="s">
        <v>4565</v>
      </c>
      <c r="M902" t="s">
        <v>4566</v>
      </c>
      <c r="N902" t="s">
        <v>6388</v>
      </c>
    </row>
    <row r="903" spans="1:14" x14ac:dyDescent="0.25">
      <c r="A903">
        <v>186570</v>
      </c>
      <c r="B903" t="s">
        <v>4568</v>
      </c>
      <c r="C903">
        <v>29857</v>
      </c>
      <c r="D903" t="str" cm="1">
        <f t="array" ref="D903">_xlfn.TEXTJOIN(",",TRUE,_xlfn.XLOOKUP(_xlfn.TEXTSPLIT(C903,",")*1,_xlfn._TRO_TRAILING(Artists!A:A),_xlfn._TRO_TRAILING(Artists!B:B)))</f>
        <v>Michel Majerus</v>
      </c>
      <c r="E903">
        <v>2002</v>
      </c>
      <c r="F903" cm="1">
        <f t="array" ref="F903">_xlfn.REGEXEXTRACT(E903,"\d{4}")*1</f>
        <v>2002</v>
      </c>
      <c r="G903" t="s">
        <v>2499</v>
      </c>
      <c r="H903" t="s">
        <v>4569</v>
      </c>
      <c r="I903" t="s">
        <v>878</v>
      </c>
      <c r="J903" t="s">
        <v>879</v>
      </c>
      <c r="K903" s="1">
        <v>41988</v>
      </c>
      <c r="L903" t="s">
        <v>4570</v>
      </c>
      <c r="M903" t="s">
        <v>4571</v>
      </c>
      <c r="N903" t="s">
        <v>6424</v>
      </c>
    </row>
    <row r="904" spans="1:14" x14ac:dyDescent="0.25">
      <c r="A904">
        <v>188330</v>
      </c>
      <c r="B904" t="s">
        <v>589</v>
      </c>
      <c r="C904">
        <v>1744</v>
      </c>
      <c r="D904" t="str" cm="1">
        <f t="array" ref="D904">_xlfn.TEXTJOIN(",",TRUE,_xlfn.XLOOKUP(_xlfn.TEXTSPLIT(C904,",")*1,_xlfn._TRO_TRAILING(Artists!A:A),_xlfn._TRO_TRAILING(Artists!B:B)))</f>
        <v>Hugo Erfurth</v>
      </c>
      <c r="E904">
        <v>1925</v>
      </c>
      <c r="F904" cm="1">
        <f t="array" ref="F904">_xlfn.REGEXEXTRACT(E904,"\d{4}")*1</f>
        <v>1925</v>
      </c>
      <c r="G904" t="s">
        <v>664</v>
      </c>
      <c r="H904" t="s">
        <v>4573</v>
      </c>
      <c r="I904" t="s">
        <v>806</v>
      </c>
      <c r="J904" t="s">
        <v>1140</v>
      </c>
      <c r="K904" s="1">
        <v>42033</v>
      </c>
      <c r="L904" t="s">
        <v>4574</v>
      </c>
      <c r="M904" t="s">
        <v>4575</v>
      </c>
      <c r="N904" t="s">
        <v>6391</v>
      </c>
    </row>
    <row r="905" spans="1:14" x14ac:dyDescent="0.25">
      <c r="A905">
        <v>188788</v>
      </c>
      <c r="B905" t="s">
        <v>4576</v>
      </c>
      <c r="C905">
        <v>32825</v>
      </c>
      <c r="D905" t="str" cm="1">
        <f t="array" ref="D905">_xlfn.TEXTJOIN(",",TRUE,_xlfn.XLOOKUP(_xlfn.TEXTSPLIT(C905,",")*1,_xlfn._TRO_TRAILING(Artists!A:A),_xlfn._TRO_TRAILING(Artists!B:B)))</f>
        <v>Nalini Malani</v>
      </c>
      <c r="E905">
        <v>1996</v>
      </c>
      <c r="F905" cm="1">
        <f t="array" ref="F905">_xlfn.REGEXEXTRACT(E905,"\d{4}")*1</f>
        <v>1996</v>
      </c>
      <c r="G905" t="s">
        <v>3539</v>
      </c>
      <c r="H905" t="s">
        <v>4577</v>
      </c>
      <c r="I905" t="s">
        <v>1626</v>
      </c>
      <c r="J905" t="s">
        <v>3200</v>
      </c>
      <c r="K905" s="1">
        <v>42093</v>
      </c>
      <c r="L905" t="s">
        <v>4578</v>
      </c>
      <c r="M905" t="s">
        <v>4579</v>
      </c>
      <c r="N905" t="s">
        <v>6425</v>
      </c>
    </row>
    <row r="906" spans="1:14" x14ac:dyDescent="0.25">
      <c r="A906">
        <v>190112</v>
      </c>
      <c r="B906" t="s">
        <v>4580</v>
      </c>
      <c r="C906">
        <v>47458</v>
      </c>
      <c r="D906" t="str" cm="1">
        <f t="array" ref="D906">_xlfn.TEXTJOIN(",",TRUE,_xlfn.XLOOKUP(_xlfn.TEXTSPLIT(C906,",")*1,_xlfn._TRO_TRAILING(Artists!A:A),_xlfn._TRO_TRAILING(Artists!B:B)))</f>
        <v>Sarah Grilo</v>
      </c>
      <c r="E906">
        <v>1965</v>
      </c>
      <c r="F906" cm="1">
        <f t="array" ref="F906">_xlfn.REGEXEXTRACT(E906,"\d{4}")*1</f>
        <v>1965</v>
      </c>
      <c r="G906" t="s">
        <v>1034</v>
      </c>
      <c r="H906" t="s">
        <v>4582</v>
      </c>
      <c r="I906" t="s">
        <v>878</v>
      </c>
      <c r="J906" t="s">
        <v>879</v>
      </c>
      <c r="K906" s="1">
        <v>42389</v>
      </c>
      <c r="L906" t="s">
        <v>4583</v>
      </c>
      <c r="M906" t="s">
        <v>4584</v>
      </c>
      <c r="N906" t="s">
        <v>6378</v>
      </c>
    </row>
    <row r="907" spans="1:14" x14ac:dyDescent="0.25">
      <c r="A907">
        <v>190933</v>
      </c>
      <c r="B907" t="s">
        <v>4586</v>
      </c>
      <c r="C907" t="s">
        <v>4587</v>
      </c>
      <c r="D907" t="str" cm="1">
        <f t="array" ref="D907">_xlfn.TEXTJOIN(",",TRUE,_xlfn.XLOOKUP(_xlfn.TEXTSPLIT(C907,",")*1,_xlfn._TRO_TRAILING(Artists!A:A),_xlfn._TRO_TRAILING(Artists!B:B)))</f>
        <v>Jackie Winsor,Liza Béar</v>
      </c>
      <c r="E907" t="s">
        <v>4588</v>
      </c>
      <c r="F907" cm="1">
        <f t="array" ref="F907">_xlfn.REGEXEXTRACT(E907,"\d{4}")*1</f>
        <v>1975</v>
      </c>
      <c r="G907" t="s">
        <v>1646</v>
      </c>
      <c r="H907" t="s">
        <v>3779</v>
      </c>
      <c r="I907" t="s">
        <v>1626</v>
      </c>
      <c r="J907" t="s">
        <v>3402</v>
      </c>
      <c r="K907" s="1">
        <v>42052</v>
      </c>
      <c r="L907" t="s">
        <v>4589</v>
      </c>
      <c r="M907" t="s">
        <v>4590</v>
      </c>
      <c r="N907" t="s">
        <v>6376</v>
      </c>
    </row>
    <row r="908" spans="1:14" x14ac:dyDescent="0.25">
      <c r="A908">
        <v>192291</v>
      </c>
      <c r="B908" t="s">
        <v>51</v>
      </c>
      <c r="C908">
        <v>23421</v>
      </c>
      <c r="D908" t="str" cm="1">
        <f t="array" ref="D908">_xlfn.TEXTJOIN(",",TRUE,_xlfn.XLOOKUP(_xlfn.TEXTSPLIT(C908,",")*1,_xlfn._TRO_TRAILING(Artists!A:A),_xlfn._TRO_TRAILING(Artists!B:B)))</f>
        <v>Christina Ramberg</v>
      </c>
      <c r="E908" t="s">
        <v>303</v>
      </c>
      <c r="F908" cm="1">
        <f t="array" ref="F908">_xlfn.REGEXEXTRACT(E908,"\d{4}")*1</f>
        <v>1968</v>
      </c>
      <c r="G908" t="s">
        <v>4591</v>
      </c>
      <c r="H908" t="s">
        <v>955</v>
      </c>
      <c r="I908" t="s">
        <v>675</v>
      </c>
      <c r="J908" t="s">
        <v>674</v>
      </c>
      <c r="K908" s="1">
        <v>42158</v>
      </c>
      <c r="L908" t="s">
        <v>4592</v>
      </c>
      <c r="M908" t="s">
        <v>4593</v>
      </c>
      <c r="N908" t="s">
        <v>6376</v>
      </c>
    </row>
    <row r="909" spans="1:14" x14ac:dyDescent="0.25">
      <c r="A909">
        <v>192892</v>
      </c>
      <c r="B909" t="s">
        <v>4594</v>
      </c>
      <c r="C909">
        <v>3091</v>
      </c>
      <c r="D909" t="str" cm="1">
        <f t="array" ref="D909">_xlfn.TEXTJOIN(",",TRUE,_xlfn.XLOOKUP(_xlfn.TEXTSPLIT(C909,",")*1,_xlfn._TRO_TRAILING(Artists!A:A),_xlfn._TRO_TRAILING(Artists!B:B)))</f>
        <v>Frederick Kiesler</v>
      </c>
      <c r="E909" t="s">
        <v>4595</v>
      </c>
      <c r="F909" cm="1">
        <f t="array" ref="F909">_xlfn.REGEXEXTRACT(E909,"\d{4}")*1</f>
        <v>1947</v>
      </c>
      <c r="G909" t="s">
        <v>23</v>
      </c>
      <c r="H909" t="s">
        <v>4596</v>
      </c>
      <c r="I909" t="s">
        <v>18</v>
      </c>
      <c r="J909" t="s">
        <v>19</v>
      </c>
      <c r="K909" s="1">
        <v>42159</v>
      </c>
      <c r="L909" t="s">
        <v>4597</v>
      </c>
      <c r="M909" t="s">
        <v>4598</v>
      </c>
      <c r="N909" t="s">
        <v>6360</v>
      </c>
    </row>
    <row r="910" spans="1:14" x14ac:dyDescent="0.25">
      <c r="A910">
        <v>193590</v>
      </c>
      <c r="B910" t="s">
        <v>4599</v>
      </c>
      <c r="C910">
        <v>5349</v>
      </c>
      <c r="D910" t="str" cm="1">
        <f t="array" ref="D910">_xlfn.TEXTJOIN(",",TRUE,_xlfn.XLOOKUP(_xlfn.TEXTSPLIT(C910,",")*1,_xlfn._TRO_TRAILING(Artists!A:A),_xlfn._TRO_TRAILING(Artists!B:B)))</f>
        <v>Richard Serra</v>
      </c>
      <c r="E910">
        <v>2015</v>
      </c>
      <c r="F910" cm="1">
        <f t="array" ref="F910">_xlfn.REGEXEXTRACT(E910,"\d{4}")*1</f>
        <v>2015</v>
      </c>
      <c r="G910" t="s">
        <v>4600</v>
      </c>
      <c r="H910" t="s">
        <v>4601</v>
      </c>
      <c r="I910" t="s">
        <v>2248</v>
      </c>
      <c r="J910" t="s">
        <v>879</v>
      </c>
      <c r="K910" s="1">
        <v>42156</v>
      </c>
      <c r="L910" t="s">
        <v>4602</v>
      </c>
      <c r="M910" t="s">
        <v>4603</v>
      </c>
      <c r="N910" t="s">
        <v>6426</v>
      </c>
    </row>
    <row r="911" spans="1:14" x14ac:dyDescent="0.25">
      <c r="A911">
        <v>193811</v>
      </c>
      <c r="B911" t="s">
        <v>4605</v>
      </c>
      <c r="C911">
        <v>5145</v>
      </c>
      <c r="D911" t="str" cm="1">
        <f t="array" ref="D911">_xlfn.TEXTJOIN(",",TRUE,_xlfn.XLOOKUP(_xlfn.TEXTSPLIT(C911,",")*1,_xlfn._TRO_TRAILING(Artists!A:A),_xlfn._TRO_TRAILING(Artists!B:B)))</f>
        <v>August Sander</v>
      </c>
      <c r="E911">
        <v>1923</v>
      </c>
      <c r="F911" cm="1">
        <f t="array" ref="F911">_xlfn.REGEXEXTRACT(E911,"\d{4}")*1</f>
        <v>1923</v>
      </c>
      <c r="G911" t="s">
        <v>664</v>
      </c>
      <c r="H911" t="s">
        <v>4604</v>
      </c>
      <c r="I911" t="s">
        <v>806</v>
      </c>
      <c r="J911" t="s">
        <v>1140</v>
      </c>
      <c r="K911" s="1">
        <v>42152</v>
      </c>
      <c r="L911" t="s">
        <v>4606</v>
      </c>
      <c r="M911" t="s">
        <v>4607</v>
      </c>
      <c r="N911" t="s">
        <v>6391</v>
      </c>
    </row>
    <row r="912" spans="1:14" x14ac:dyDescent="0.25">
      <c r="A912">
        <v>193812</v>
      </c>
      <c r="B912" t="s">
        <v>4608</v>
      </c>
      <c r="C912">
        <v>5145</v>
      </c>
      <c r="D912" t="str" cm="1">
        <f t="array" ref="D912">_xlfn.TEXTJOIN(",",TRUE,_xlfn.XLOOKUP(_xlfn.TEXTSPLIT(C912,",")*1,_xlfn._TRO_TRAILING(Artists!A:A),_xlfn._TRO_TRAILING(Artists!B:B)))</f>
        <v>August Sander</v>
      </c>
      <c r="E912">
        <v>1923</v>
      </c>
      <c r="F912" cm="1">
        <f t="array" ref="F912">_xlfn.REGEXEXTRACT(E912,"\d{4}")*1</f>
        <v>1923</v>
      </c>
      <c r="G912" t="s">
        <v>664</v>
      </c>
      <c r="H912" t="s">
        <v>4604</v>
      </c>
      <c r="I912" t="s">
        <v>806</v>
      </c>
      <c r="J912" t="s">
        <v>1140</v>
      </c>
      <c r="K912" s="1">
        <v>42152</v>
      </c>
      <c r="L912" t="s">
        <v>4609</v>
      </c>
      <c r="M912" t="s">
        <v>4610</v>
      </c>
      <c r="N912" t="s">
        <v>6391</v>
      </c>
    </row>
    <row r="913" spans="1:14" x14ac:dyDescent="0.25">
      <c r="A913">
        <v>193813</v>
      </c>
      <c r="B913" t="s">
        <v>4611</v>
      </c>
      <c r="C913">
        <v>5145</v>
      </c>
      <c r="D913" t="str" cm="1">
        <f t="array" ref="D913">_xlfn.TEXTJOIN(",",TRUE,_xlfn.XLOOKUP(_xlfn.TEXTSPLIT(C913,",")*1,_xlfn._TRO_TRAILING(Artists!A:A),_xlfn._TRO_TRAILING(Artists!B:B)))</f>
        <v>August Sander</v>
      </c>
      <c r="E913">
        <v>1922</v>
      </c>
      <c r="F913" cm="1">
        <f t="array" ref="F913">_xlfn.REGEXEXTRACT(E913,"\d{4}")*1</f>
        <v>1922</v>
      </c>
      <c r="G913" t="s">
        <v>664</v>
      </c>
      <c r="H913" t="s">
        <v>4604</v>
      </c>
      <c r="I913" t="s">
        <v>806</v>
      </c>
      <c r="J913" t="s">
        <v>1140</v>
      </c>
      <c r="K913" s="1">
        <v>42152</v>
      </c>
      <c r="L913" t="s">
        <v>4612</v>
      </c>
      <c r="M913" t="s">
        <v>4613</v>
      </c>
      <c r="N913" t="s">
        <v>6391</v>
      </c>
    </row>
    <row r="914" spans="1:14" x14ac:dyDescent="0.25">
      <c r="A914">
        <v>193814</v>
      </c>
      <c r="B914" t="s">
        <v>4614</v>
      </c>
      <c r="C914">
        <v>5145</v>
      </c>
      <c r="D914" t="str" cm="1">
        <f t="array" ref="D914">_xlfn.TEXTJOIN(",",TRUE,_xlfn.XLOOKUP(_xlfn.TEXTSPLIT(C914,",")*1,_xlfn._TRO_TRAILING(Artists!A:A),_xlfn._TRO_TRAILING(Artists!B:B)))</f>
        <v>August Sander</v>
      </c>
      <c r="E914">
        <v>1930</v>
      </c>
      <c r="F914" cm="1">
        <f t="array" ref="F914">_xlfn.REGEXEXTRACT(E914,"\d{4}")*1</f>
        <v>1930</v>
      </c>
      <c r="G914" t="s">
        <v>664</v>
      </c>
      <c r="H914" t="s">
        <v>4604</v>
      </c>
      <c r="I914" t="s">
        <v>806</v>
      </c>
      <c r="J914" t="s">
        <v>1140</v>
      </c>
      <c r="K914" s="1">
        <v>42152</v>
      </c>
      <c r="L914" t="s">
        <v>4615</v>
      </c>
      <c r="M914" t="s">
        <v>4616</v>
      </c>
      <c r="N914" t="s">
        <v>6391</v>
      </c>
    </row>
    <row r="915" spans="1:14" x14ac:dyDescent="0.25">
      <c r="A915">
        <v>193816</v>
      </c>
      <c r="B915" t="s">
        <v>4617</v>
      </c>
      <c r="C915">
        <v>5145</v>
      </c>
      <c r="D915" t="str" cm="1">
        <f t="array" ref="D915">_xlfn.TEXTJOIN(",",TRUE,_xlfn.XLOOKUP(_xlfn.TEXTSPLIT(C915,",")*1,_xlfn._TRO_TRAILING(Artists!A:A),_xlfn._TRO_TRAILING(Artists!B:B)))</f>
        <v>August Sander</v>
      </c>
      <c r="E915">
        <v>1932</v>
      </c>
      <c r="F915" cm="1">
        <f t="array" ref="F915">_xlfn.REGEXEXTRACT(E915,"\d{4}")*1</f>
        <v>1932</v>
      </c>
      <c r="G915" t="s">
        <v>664</v>
      </c>
      <c r="H915" t="s">
        <v>4604</v>
      </c>
      <c r="I915" t="s">
        <v>806</v>
      </c>
      <c r="J915" t="s">
        <v>1140</v>
      </c>
      <c r="K915" s="1">
        <v>42152</v>
      </c>
      <c r="L915" t="s">
        <v>4618</v>
      </c>
      <c r="M915" t="s">
        <v>4619</v>
      </c>
      <c r="N915" t="s">
        <v>6391</v>
      </c>
    </row>
    <row r="916" spans="1:14" x14ac:dyDescent="0.25">
      <c r="A916">
        <v>193818</v>
      </c>
      <c r="B916" t="s">
        <v>4620</v>
      </c>
      <c r="C916">
        <v>5145</v>
      </c>
      <c r="D916" t="str" cm="1">
        <f t="array" ref="D916">_xlfn.TEXTJOIN(",",TRUE,_xlfn.XLOOKUP(_xlfn.TEXTSPLIT(C916,",")*1,_xlfn._TRO_TRAILING(Artists!A:A),_xlfn._TRO_TRAILING(Artists!B:B)))</f>
        <v>August Sander</v>
      </c>
      <c r="E916" t="s">
        <v>186</v>
      </c>
      <c r="F916" cm="1">
        <f t="array" ref="F916">_xlfn.REGEXEXTRACT(E916,"\d{4}")*1</f>
        <v>1930</v>
      </c>
      <c r="G916" t="s">
        <v>664</v>
      </c>
      <c r="H916" t="s">
        <v>4604</v>
      </c>
      <c r="I916" t="s">
        <v>806</v>
      </c>
      <c r="J916" t="s">
        <v>1140</v>
      </c>
      <c r="K916" s="1">
        <v>42152</v>
      </c>
      <c r="L916" t="s">
        <v>4621</v>
      </c>
      <c r="M916" t="s">
        <v>4622</v>
      </c>
      <c r="N916" t="s">
        <v>6391</v>
      </c>
    </row>
    <row r="917" spans="1:14" x14ac:dyDescent="0.25">
      <c r="A917">
        <v>193819</v>
      </c>
      <c r="B917" t="s">
        <v>4623</v>
      </c>
      <c r="C917">
        <v>5145</v>
      </c>
      <c r="D917" t="str" cm="1">
        <f t="array" ref="D917">_xlfn.TEXTJOIN(",",TRUE,_xlfn.XLOOKUP(_xlfn.TEXTSPLIT(C917,",")*1,_xlfn._TRO_TRAILING(Artists!A:A),_xlfn._TRO_TRAILING(Artists!B:B)))</f>
        <v>August Sander</v>
      </c>
      <c r="E917" t="s">
        <v>166</v>
      </c>
      <c r="F917" cm="1">
        <f t="array" ref="F917">_xlfn.REGEXEXTRACT(E917,"\d{4}")*1</f>
        <v>1926</v>
      </c>
      <c r="G917" t="s">
        <v>664</v>
      </c>
      <c r="H917" t="s">
        <v>4604</v>
      </c>
      <c r="I917" t="s">
        <v>806</v>
      </c>
      <c r="J917" t="s">
        <v>1140</v>
      </c>
      <c r="K917" s="1">
        <v>42152</v>
      </c>
      <c r="L917" t="s">
        <v>4624</v>
      </c>
      <c r="M917" t="s">
        <v>4625</v>
      </c>
      <c r="N917" t="s">
        <v>6391</v>
      </c>
    </row>
    <row r="918" spans="1:14" x14ac:dyDescent="0.25">
      <c r="A918">
        <v>193820</v>
      </c>
      <c r="B918" t="s">
        <v>4626</v>
      </c>
      <c r="C918">
        <v>5145</v>
      </c>
      <c r="D918" t="str" cm="1">
        <f t="array" ref="D918">_xlfn.TEXTJOIN(",",TRUE,_xlfn.XLOOKUP(_xlfn.TEXTSPLIT(C918,",")*1,_xlfn._TRO_TRAILING(Artists!A:A),_xlfn._TRO_TRAILING(Artists!B:B)))</f>
        <v>August Sander</v>
      </c>
      <c r="E918">
        <v>1926</v>
      </c>
      <c r="F918" cm="1">
        <f t="array" ref="F918">_xlfn.REGEXEXTRACT(E918,"\d{4}")*1</f>
        <v>1926</v>
      </c>
      <c r="G918" t="s">
        <v>664</v>
      </c>
      <c r="H918" t="s">
        <v>4604</v>
      </c>
      <c r="I918" t="s">
        <v>806</v>
      </c>
      <c r="J918" t="s">
        <v>1140</v>
      </c>
      <c r="K918" s="1">
        <v>42152</v>
      </c>
      <c r="L918" t="s">
        <v>4627</v>
      </c>
      <c r="M918" t="s">
        <v>4628</v>
      </c>
      <c r="N918" t="s">
        <v>6391</v>
      </c>
    </row>
    <row r="919" spans="1:14" x14ac:dyDescent="0.25">
      <c r="A919">
        <v>193821</v>
      </c>
      <c r="B919" t="s">
        <v>4629</v>
      </c>
      <c r="C919">
        <v>5145</v>
      </c>
      <c r="D919" t="str" cm="1">
        <f t="array" ref="D919">_xlfn.TEXTJOIN(",",TRUE,_xlfn.XLOOKUP(_xlfn.TEXTSPLIT(C919,",")*1,_xlfn._TRO_TRAILING(Artists!A:A),_xlfn._TRO_TRAILING(Artists!B:B)))</f>
        <v>August Sander</v>
      </c>
      <c r="E919" t="s">
        <v>337</v>
      </c>
      <c r="F919" cm="1">
        <f t="array" ref="F919">_xlfn.REGEXEXTRACT(E919,"\d{4}")*1</f>
        <v>1925</v>
      </c>
      <c r="G919" t="s">
        <v>664</v>
      </c>
      <c r="H919" t="s">
        <v>4604</v>
      </c>
      <c r="I919" t="s">
        <v>806</v>
      </c>
      <c r="J919" t="s">
        <v>1140</v>
      </c>
      <c r="K919" s="1">
        <v>42152</v>
      </c>
      <c r="L919" t="s">
        <v>4630</v>
      </c>
      <c r="M919" t="s">
        <v>4631</v>
      </c>
      <c r="N919" t="s">
        <v>6391</v>
      </c>
    </row>
    <row r="920" spans="1:14" x14ac:dyDescent="0.25">
      <c r="A920">
        <v>193822</v>
      </c>
      <c r="B920" t="s">
        <v>4632</v>
      </c>
      <c r="C920">
        <v>5145</v>
      </c>
      <c r="D920" t="str" cm="1">
        <f t="array" ref="D920">_xlfn.TEXTJOIN(",",TRUE,_xlfn.XLOOKUP(_xlfn.TEXTSPLIT(C920,",")*1,_xlfn._TRO_TRAILING(Artists!A:A),_xlfn._TRO_TRAILING(Artists!B:B)))</f>
        <v>August Sander</v>
      </c>
      <c r="E920" t="s">
        <v>165</v>
      </c>
      <c r="F920" cm="1">
        <f t="array" ref="F920">_xlfn.REGEXEXTRACT(E920,"\d{4}")*1</f>
        <v>1925</v>
      </c>
      <c r="G920" t="s">
        <v>664</v>
      </c>
      <c r="H920" t="s">
        <v>4604</v>
      </c>
      <c r="I920" t="s">
        <v>806</v>
      </c>
      <c r="J920" t="s">
        <v>1140</v>
      </c>
      <c r="K920" s="1">
        <v>42152</v>
      </c>
      <c r="L920" t="s">
        <v>4633</v>
      </c>
      <c r="M920" t="s">
        <v>4634</v>
      </c>
      <c r="N920" t="s">
        <v>6391</v>
      </c>
    </row>
    <row r="921" spans="1:14" x14ac:dyDescent="0.25">
      <c r="A921">
        <v>193823</v>
      </c>
      <c r="B921" t="s">
        <v>4635</v>
      </c>
      <c r="C921">
        <v>5145</v>
      </c>
      <c r="D921" t="str" cm="1">
        <f t="array" ref="D921">_xlfn.TEXTJOIN(",",TRUE,_xlfn.XLOOKUP(_xlfn.TEXTSPLIT(C921,",")*1,_xlfn._TRO_TRAILING(Artists!A:A),_xlfn._TRO_TRAILING(Artists!B:B)))</f>
        <v>August Sander</v>
      </c>
      <c r="E921" t="s">
        <v>165</v>
      </c>
      <c r="F921" cm="1">
        <f t="array" ref="F921">_xlfn.REGEXEXTRACT(E921,"\d{4}")*1</f>
        <v>1925</v>
      </c>
      <c r="G921" t="s">
        <v>664</v>
      </c>
      <c r="H921" t="s">
        <v>4604</v>
      </c>
      <c r="I921" t="s">
        <v>806</v>
      </c>
      <c r="J921" t="s">
        <v>1140</v>
      </c>
      <c r="K921" s="1">
        <v>42152</v>
      </c>
      <c r="L921" t="s">
        <v>4636</v>
      </c>
      <c r="M921" t="s">
        <v>4637</v>
      </c>
      <c r="N921" t="s">
        <v>6391</v>
      </c>
    </row>
    <row r="922" spans="1:14" x14ac:dyDescent="0.25">
      <c r="A922">
        <v>193824</v>
      </c>
      <c r="B922" t="s">
        <v>4638</v>
      </c>
      <c r="C922">
        <v>5145</v>
      </c>
      <c r="D922" t="str" cm="1">
        <f t="array" ref="D922">_xlfn.TEXTJOIN(",",TRUE,_xlfn.XLOOKUP(_xlfn.TEXTSPLIT(C922,",")*1,_xlfn._TRO_TRAILING(Artists!A:A),_xlfn._TRO_TRAILING(Artists!B:B)))</f>
        <v>August Sander</v>
      </c>
      <c r="E922">
        <v>1929</v>
      </c>
      <c r="F922" cm="1">
        <f t="array" ref="F922">_xlfn.REGEXEXTRACT(E922,"\d{4}")*1</f>
        <v>1929</v>
      </c>
      <c r="G922" t="s">
        <v>664</v>
      </c>
      <c r="H922" t="s">
        <v>4604</v>
      </c>
      <c r="I922" t="s">
        <v>806</v>
      </c>
      <c r="J922" t="s">
        <v>1140</v>
      </c>
      <c r="K922" s="1">
        <v>42152</v>
      </c>
      <c r="L922" t="s">
        <v>4639</v>
      </c>
      <c r="M922" t="s">
        <v>4640</v>
      </c>
      <c r="N922" t="s">
        <v>6391</v>
      </c>
    </row>
    <row r="923" spans="1:14" x14ac:dyDescent="0.25">
      <c r="A923">
        <v>195435</v>
      </c>
      <c r="B923" t="s">
        <v>1192</v>
      </c>
      <c r="C923">
        <v>2834</v>
      </c>
      <c r="D923" t="str" cm="1">
        <f t="array" ref="D923">_xlfn.TEXTJOIN(",",TRUE,_xlfn.XLOOKUP(_xlfn.TEXTSPLIT(C923,",")*1,_xlfn._TRO_TRAILING(Artists!A:A),_xlfn._TRO_TRAILING(Artists!B:B)))</f>
        <v>Yasuhiro Ishimoto</v>
      </c>
      <c r="E923">
        <v>1950</v>
      </c>
      <c r="F923" cm="1">
        <f t="array" ref="F923">_xlfn.REGEXEXTRACT(E923,"\d{4}")*1</f>
        <v>1950</v>
      </c>
      <c r="G923" t="s">
        <v>664</v>
      </c>
      <c r="H923" t="s">
        <v>4643</v>
      </c>
      <c r="I923" t="s">
        <v>806</v>
      </c>
      <c r="J923" t="s">
        <v>1140</v>
      </c>
      <c r="K923" s="1">
        <v>42509</v>
      </c>
      <c r="L923" t="s">
        <v>4644</v>
      </c>
      <c r="M923" t="s">
        <v>4645</v>
      </c>
      <c r="N923" t="s">
        <v>6387</v>
      </c>
    </row>
    <row r="924" spans="1:14" x14ac:dyDescent="0.25">
      <c r="A924">
        <v>196027</v>
      </c>
      <c r="B924" t="s">
        <v>4646</v>
      </c>
      <c r="C924">
        <v>2313</v>
      </c>
      <c r="D924" t="str" cm="1">
        <f t="array" ref="D924">_xlfn.TEXTJOIN(",",TRUE,_xlfn.XLOOKUP(_xlfn.TEXTSPLIT(C924,",")*1,_xlfn._TRO_TRAILING(Artists!A:A),_xlfn._TRO_TRAILING(Artists!B:B)))</f>
        <v>Eileen Gray</v>
      </c>
      <c r="E924" t="s">
        <v>615</v>
      </c>
      <c r="F924" cm="1">
        <f t="array" ref="F924">_xlfn.REGEXEXTRACT(E924,"\d{4}")*1</f>
        <v>1930</v>
      </c>
      <c r="G924" t="s">
        <v>4647</v>
      </c>
      <c r="H924" t="s">
        <v>4648</v>
      </c>
      <c r="I924" t="s">
        <v>95</v>
      </c>
      <c r="J924" t="s">
        <v>19</v>
      </c>
      <c r="K924" s="1">
        <v>42296</v>
      </c>
      <c r="L924" t="s">
        <v>4649</v>
      </c>
      <c r="M924" t="s">
        <v>4650</v>
      </c>
      <c r="N924" t="s">
        <v>6369</v>
      </c>
    </row>
    <row r="925" spans="1:14" x14ac:dyDescent="0.25">
      <c r="A925">
        <v>196070</v>
      </c>
      <c r="B925" t="s">
        <v>4654</v>
      </c>
      <c r="C925">
        <v>48624</v>
      </c>
      <c r="D925" t="str" cm="1">
        <f t="array" ref="D925">_xlfn.TEXTJOIN(",",TRUE,_xlfn.XLOOKUP(_xlfn.TEXTSPLIT(C925,",")*1,_xlfn._TRO_TRAILING(Artists!A:A),_xlfn._TRO_TRAILING(Artists!B:B)))</f>
        <v>Shigetaka Kurita</v>
      </c>
      <c r="E925" t="s">
        <v>1861</v>
      </c>
      <c r="F925" cm="1">
        <f t="array" ref="F925">_xlfn.REGEXEXTRACT(E925,"\d{4}")*1</f>
        <v>1998</v>
      </c>
      <c r="G925" t="s">
        <v>4472</v>
      </c>
      <c r="H925" t="s">
        <v>481</v>
      </c>
      <c r="I925" t="s">
        <v>95</v>
      </c>
      <c r="J925" t="s">
        <v>19</v>
      </c>
      <c r="K925" s="1">
        <v>42660</v>
      </c>
      <c r="L925" t="s">
        <v>4656</v>
      </c>
      <c r="M925" t="s">
        <v>4657</v>
      </c>
      <c r="N925" t="s">
        <v>6365</v>
      </c>
    </row>
    <row r="926" spans="1:14" x14ac:dyDescent="0.25">
      <c r="A926">
        <v>196478</v>
      </c>
      <c r="B926" t="s">
        <v>4659</v>
      </c>
      <c r="C926">
        <v>30935</v>
      </c>
      <c r="D926" t="str" cm="1">
        <f t="array" ref="D926">_xlfn.TEXTJOIN(",",TRUE,_xlfn.XLOOKUP(_xlfn.TEXTSPLIT(C926,",")*1,_xlfn._TRO_TRAILING(Artists!A:A),_xlfn._TRO_TRAILING(Artists!B:B)))</f>
        <v>Mary Heilmann</v>
      </c>
      <c r="E926">
        <v>1979</v>
      </c>
      <c r="F926" cm="1">
        <f t="array" ref="F926">_xlfn.REGEXEXTRACT(E926,"\d{4}")*1</f>
        <v>1979</v>
      </c>
      <c r="G926" t="s">
        <v>4660</v>
      </c>
      <c r="H926" t="s">
        <v>4661</v>
      </c>
      <c r="I926" t="s">
        <v>878</v>
      </c>
      <c r="J926" t="s">
        <v>879</v>
      </c>
      <c r="K926" s="1">
        <v>42282</v>
      </c>
      <c r="L926" t="s">
        <v>4662</v>
      </c>
      <c r="M926" t="s">
        <v>4663</v>
      </c>
      <c r="N926" t="s">
        <v>6409</v>
      </c>
    </row>
    <row r="927" spans="1:14" x14ac:dyDescent="0.25">
      <c r="A927">
        <v>196642</v>
      </c>
      <c r="B927" t="s">
        <v>4665</v>
      </c>
      <c r="C927">
        <v>5456</v>
      </c>
      <c r="D927" t="str" cm="1">
        <f t="array" ref="D927">_xlfn.TEXTJOIN(",",TRUE,_xlfn.XLOOKUP(_xlfn.TEXTSPLIT(C927,",")*1,_xlfn._TRO_TRAILING(Artists!A:A),_xlfn._TRO_TRAILING(Artists!B:B)))</f>
        <v>Aaron Siskind</v>
      </c>
      <c r="E927">
        <v>1956</v>
      </c>
      <c r="F927" cm="1">
        <f t="array" ref="F927">_xlfn.REGEXEXTRACT(E927,"\d{4}")*1</f>
        <v>1956</v>
      </c>
      <c r="G927" t="s">
        <v>664</v>
      </c>
      <c r="H927" t="s">
        <v>4664</v>
      </c>
      <c r="I927" t="s">
        <v>806</v>
      </c>
      <c r="J927" t="s">
        <v>1140</v>
      </c>
      <c r="K927" s="1">
        <v>42509</v>
      </c>
      <c r="L927" t="s">
        <v>4666</v>
      </c>
      <c r="M927" t="s">
        <v>4667</v>
      </c>
      <c r="N927" t="s">
        <v>6387</v>
      </c>
    </row>
    <row r="928" spans="1:14" x14ac:dyDescent="0.25">
      <c r="A928">
        <v>196975</v>
      </c>
      <c r="B928" t="s">
        <v>1040</v>
      </c>
      <c r="C928">
        <v>412</v>
      </c>
      <c r="D928" t="str" cm="1">
        <f t="array" ref="D928">_xlfn.TEXTJOIN(",",TRUE,_xlfn.XLOOKUP(_xlfn.TEXTSPLIT(C928,",")*1,_xlfn._TRO_TRAILING(Artists!A:A),_xlfn._TRO_TRAILING(Artists!B:B)))</f>
        <v>Romare Bearden</v>
      </c>
      <c r="E928">
        <v>1964</v>
      </c>
      <c r="F928" cm="1">
        <f t="array" ref="F928">_xlfn.REGEXEXTRACT(E928,"\d{4}")*1</f>
        <v>1964</v>
      </c>
      <c r="G928" t="s">
        <v>1241</v>
      </c>
      <c r="H928" t="s">
        <v>4668</v>
      </c>
      <c r="I928" t="s">
        <v>806</v>
      </c>
      <c r="J928" t="s">
        <v>1140</v>
      </c>
      <c r="K928" s="1">
        <v>42292</v>
      </c>
      <c r="L928" t="s">
        <v>4669</v>
      </c>
      <c r="M928" t="s">
        <v>4670</v>
      </c>
      <c r="N928" t="s">
        <v>6383</v>
      </c>
    </row>
    <row r="929" spans="1:14" x14ac:dyDescent="0.25">
      <c r="A929">
        <v>199096</v>
      </c>
      <c r="B929" t="s">
        <v>4651</v>
      </c>
      <c r="C929">
        <v>2313</v>
      </c>
      <c r="D929" t="str" cm="1">
        <f t="array" ref="D929">_xlfn.TEXTJOIN(",",TRUE,_xlfn.XLOOKUP(_xlfn.TEXTSPLIT(C929,",")*1,_xlfn._TRO_TRAILING(Artists!A:A),_xlfn._TRO_TRAILING(Artists!B:B)))</f>
        <v>Eileen Gray</v>
      </c>
      <c r="E929" t="s">
        <v>635</v>
      </c>
      <c r="F929" cm="1">
        <f t="array" ref="F929">_xlfn.REGEXEXTRACT(E929,"\d{4}")*1</f>
        <v>1935</v>
      </c>
      <c r="G929" t="s">
        <v>4652</v>
      </c>
      <c r="H929" t="s">
        <v>4653</v>
      </c>
      <c r="I929" t="s">
        <v>95</v>
      </c>
      <c r="J929" t="s">
        <v>19</v>
      </c>
      <c r="K929" s="1">
        <v>42296</v>
      </c>
      <c r="L929" t="s">
        <v>4671</v>
      </c>
      <c r="M929" t="s">
        <v>4672</v>
      </c>
      <c r="N929" t="s">
        <v>6369</v>
      </c>
    </row>
    <row r="930" spans="1:14" x14ac:dyDescent="0.25">
      <c r="A930">
        <v>199915</v>
      </c>
      <c r="B930" t="s">
        <v>4674</v>
      </c>
      <c r="C930">
        <v>7066</v>
      </c>
      <c r="D930" t="str" cm="1">
        <f t="array" ref="D930">_xlfn.TEXTJOIN(",",TRUE,_xlfn.XLOOKUP(_xlfn.TEXTSPLIT(C930,",")*1,_xlfn._TRO_TRAILING(Artists!A:A),_xlfn._TRO_TRAILING(Artists!B:B)))</f>
        <v>Faith Ringgold</v>
      </c>
      <c r="E930">
        <v>1967</v>
      </c>
      <c r="F930" cm="1">
        <f t="array" ref="F930">_xlfn.REGEXEXTRACT(E930,"\d{4}")*1</f>
        <v>1967</v>
      </c>
      <c r="G930" t="s">
        <v>2194</v>
      </c>
      <c r="H930" t="s">
        <v>4675</v>
      </c>
      <c r="I930" t="s">
        <v>878</v>
      </c>
      <c r="J930" t="s">
        <v>879</v>
      </c>
      <c r="K930" s="1">
        <v>42464</v>
      </c>
      <c r="L930" t="s">
        <v>4676</v>
      </c>
      <c r="M930" t="s">
        <v>4677</v>
      </c>
      <c r="N930" t="s">
        <v>6414</v>
      </c>
    </row>
    <row r="931" spans="1:14" x14ac:dyDescent="0.25">
      <c r="A931">
        <v>199943</v>
      </c>
      <c r="B931" t="s">
        <v>4678</v>
      </c>
      <c r="C931">
        <v>3745</v>
      </c>
      <c r="D931" t="str" cm="1">
        <f t="array" ref="D931">_xlfn.TEXTJOIN(",",TRUE,_xlfn.XLOOKUP(_xlfn.TEXTSPLIT(C931,",")*1,_xlfn._TRO_TRAILING(Artists!A:A),_xlfn._TRO_TRAILING(Artists!B:B)))</f>
        <v>Robert Mapplethorpe</v>
      </c>
      <c r="E931">
        <v>1979</v>
      </c>
      <c r="F931" cm="1">
        <f t="array" ref="F931">_xlfn.REGEXEXTRACT(E931,"\d{4}")*1</f>
        <v>1979</v>
      </c>
      <c r="G931" t="s">
        <v>664</v>
      </c>
      <c r="H931" t="s">
        <v>1312</v>
      </c>
      <c r="I931" t="s">
        <v>806</v>
      </c>
      <c r="J931" t="s">
        <v>1140</v>
      </c>
      <c r="K931" s="1">
        <v>42397</v>
      </c>
      <c r="L931" t="s">
        <v>4679</v>
      </c>
      <c r="M931" t="s">
        <v>4680</v>
      </c>
      <c r="N931" t="s">
        <v>6390</v>
      </c>
    </row>
    <row r="932" spans="1:14" x14ac:dyDescent="0.25">
      <c r="A932">
        <v>199946</v>
      </c>
      <c r="B932" t="s">
        <v>4681</v>
      </c>
      <c r="C932">
        <v>3745</v>
      </c>
      <c r="D932" t="str" cm="1">
        <f t="array" ref="D932">_xlfn.TEXTJOIN(",",TRUE,_xlfn.XLOOKUP(_xlfn.TEXTSPLIT(C932,",")*1,_xlfn._TRO_TRAILING(Artists!A:A),_xlfn._TRO_TRAILING(Artists!B:B)))</f>
        <v>Robert Mapplethorpe</v>
      </c>
      <c r="E932">
        <v>1980</v>
      </c>
      <c r="F932" cm="1">
        <f t="array" ref="F932">_xlfn.REGEXEXTRACT(E932,"\d{4}")*1</f>
        <v>1980</v>
      </c>
      <c r="G932" t="s">
        <v>4222</v>
      </c>
      <c r="H932" t="s">
        <v>4682</v>
      </c>
      <c r="I932" t="s">
        <v>806</v>
      </c>
      <c r="J932" t="s">
        <v>1140</v>
      </c>
      <c r="K932" s="1">
        <v>42397</v>
      </c>
      <c r="L932" t="s">
        <v>4683</v>
      </c>
      <c r="M932" t="s">
        <v>4684</v>
      </c>
      <c r="N932" t="s">
        <v>6390</v>
      </c>
    </row>
    <row r="933" spans="1:14" x14ac:dyDescent="0.25">
      <c r="A933">
        <v>199950</v>
      </c>
      <c r="B933" t="s">
        <v>4685</v>
      </c>
      <c r="C933">
        <v>3745</v>
      </c>
      <c r="D933" t="str" cm="1">
        <f t="array" ref="D933">_xlfn.TEXTJOIN(",",TRUE,_xlfn.XLOOKUP(_xlfn.TEXTSPLIT(C933,",")*1,_xlfn._TRO_TRAILING(Artists!A:A),_xlfn._TRO_TRAILING(Artists!B:B)))</f>
        <v>Robert Mapplethorpe</v>
      </c>
      <c r="E933">
        <v>1981</v>
      </c>
      <c r="F933" cm="1">
        <f t="array" ref="F933">_xlfn.REGEXEXTRACT(E933,"\d{4}")*1</f>
        <v>1981</v>
      </c>
      <c r="G933" t="s">
        <v>664</v>
      </c>
      <c r="H933" t="s">
        <v>4686</v>
      </c>
      <c r="I933" t="s">
        <v>806</v>
      </c>
      <c r="J933" t="s">
        <v>1140</v>
      </c>
      <c r="K933" s="1">
        <v>42397</v>
      </c>
      <c r="L933" t="s">
        <v>4687</v>
      </c>
      <c r="M933" t="s">
        <v>4688</v>
      </c>
      <c r="N933" t="s">
        <v>6390</v>
      </c>
    </row>
    <row r="934" spans="1:14" x14ac:dyDescent="0.25">
      <c r="A934">
        <v>199984</v>
      </c>
      <c r="B934" t="s">
        <v>1558</v>
      </c>
      <c r="C934">
        <v>49158</v>
      </c>
      <c r="D934" t="str" cm="1">
        <f t="array" ref="D934">_xlfn.TEXTJOIN(",",TRUE,_xlfn.XLOOKUP(_xlfn.TEXTSPLIT(C934,",")*1,_xlfn._TRO_TRAILING(Artists!A:A),_xlfn._TRO_TRAILING(Artists!B:B)))</f>
        <v>Tarsila do Amaral</v>
      </c>
      <c r="E934">
        <v>1928</v>
      </c>
      <c r="F934" cm="1">
        <f t="array" ref="F934">_xlfn.REGEXEXTRACT(E934,"\d{4}")*1</f>
        <v>1928</v>
      </c>
      <c r="G934" t="s">
        <v>1034</v>
      </c>
      <c r="H934" t="s">
        <v>4689</v>
      </c>
      <c r="I934" t="s">
        <v>878</v>
      </c>
      <c r="J934" t="s">
        <v>879</v>
      </c>
      <c r="K934" s="1">
        <v>43507</v>
      </c>
      <c r="L934" t="s">
        <v>4690</v>
      </c>
      <c r="M934" t="s">
        <v>4691</v>
      </c>
      <c r="N934" t="s">
        <v>6375</v>
      </c>
    </row>
    <row r="935" spans="1:14" x14ac:dyDescent="0.25">
      <c r="A935">
        <v>203380</v>
      </c>
      <c r="B935" t="s">
        <v>3568</v>
      </c>
      <c r="C935">
        <v>1973</v>
      </c>
      <c r="D935" t="str" cm="1">
        <f t="array" ref="D935">_xlfn.TEXTJOIN(",",TRUE,_xlfn.XLOOKUP(_xlfn.TEXTSPLIT(C935,",")*1,_xlfn._TRO_TRAILING(Artists!A:A),_xlfn._TRO_TRAILING(Artists!B:B)))</f>
        <v>Robert Frank</v>
      </c>
      <c r="E935">
        <v>1977</v>
      </c>
      <c r="F935" cm="1">
        <f t="array" ref="F935">_xlfn.REGEXEXTRACT(E935,"\d{4}")*1</f>
        <v>1977</v>
      </c>
      <c r="G935" t="s">
        <v>1175</v>
      </c>
      <c r="H935" t="s">
        <v>4693</v>
      </c>
      <c r="I935" t="s">
        <v>806</v>
      </c>
      <c r="J935" t="s">
        <v>1140</v>
      </c>
      <c r="K935" s="1">
        <v>42509</v>
      </c>
      <c r="L935" t="s">
        <v>4694</v>
      </c>
      <c r="M935" t="s">
        <v>4695</v>
      </c>
      <c r="N935" t="s">
        <v>6389</v>
      </c>
    </row>
    <row r="936" spans="1:14" x14ac:dyDescent="0.25">
      <c r="A936">
        <v>203419</v>
      </c>
      <c r="B936" t="s">
        <v>4696</v>
      </c>
      <c r="C936">
        <v>49614</v>
      </c>
      <c r="D936" t="str" cm="1">
        <f t="array" ref="D936">_xlfn.TEXTJOIN(",",TRUE,_xlfn.XLOOKUP(_xlfn.TEXTSPLIT(C936,",")*1,_xlfn._TRO_TRAILING(Artists!A:A),_xlfn._TRO_TRAILING(Artists!B:B)))</f>
        <v>Aslı Çavuşoğlu</v>
      </c>
      <c r="E936">
        <v>2015</v>
      </c>
      <c r="F936" cm="1">
        <f t="array" ref="F936">_xlfn.REGEXEXTRACT(E936,"\d{4}")*1</f>
        <v>2015</v>
      </c>
      <c r="G936" t="s">
        <v>4698</v>
      </c>
      <c r="H936" t="s">
        <v>4699</v>
      </c>
      <c r="I936" t="s">
        <v>675</v>
      </c>
      <c r="J936" t="s">
        <v>674</v>
      </c>
      <c r="K936" s="1">
        <v>42529</v>
      </c>
      <c r="L936" t="s">
        <v>4700</v>
      </c>
      <c r="M936" t="s">
        <v>4701</v>
      </c>
      <c r="N936" t="s">
        <v>6422</v>
      </c>
    </row>
    <row r="937" spans="1:14" x14ac:dyDescent="0.25">
      <c r="A937">
        <v>203420</v>
      </c>
      <c r="B937" t="s">
        <v>4702</v>
      </c>
      <c r="C937">
        <v>49614</v>
      </c>
      <c r="D937" t="str" cm="1">
        <f t="array" ref="D937">_xlfn.TEXTJOIN(",",TRUE,_xlfn.XLOOKUP(_xlfn.TEXTSPLIT(C937,",")*1,_xlfn._TRO_TRAILING(Artists!A:A),_xlfn._TRO_TRAILING(Artists!B:B)))</f>
        <v>Aslı Çavuşoğlu</v>
      </c>
      <c r="E937">
        <v>2015</v>
      </c>
      <c r="F937" cm="1">
        <f t="array" ref="F937">_xlfn.REGEXEXTRACT(E937,"\d{4}")*1</f>
        <v>2015</v>
      </c>
      <c r="G937" t="s">
        <v>4698</v>
      </c>
      <c r="H937" t="s">
        <v>4699</v>
      </c>
      <c r="I937" t="s">
        <v>675</v>
      </c>
      <c r="J937" t="s">
        <v>674</v>
      </c>
      <c r="K937" s="1">
        <v>42529</v>
      </c>
      <c r="L937" t="s">
        <v>4703</v>
      </c>
      <c r="M937" t="s">
        <v>4704</v>
      </c>
      <c r="N937" t="s">
        <v>6422</v>
      </c>
    </row>
    <row r="938" spans="1:14" x14ac:dyDescent="0.25">
      <c r="A938">
        <v>204109</v>
      </c>
      <c r="B938" t="s">
        <v>4705</v>
      </c>
      <c r="C938">
        <v>7928</v>
      </c>
      <c r="D938" t="str" cm="1">
        <f t="array" ref="D938">_xlfn.TEXTJOIN(",",TRUE,_xlfn.XLOOKUP(_xlfn.TEXTSPLIT(C938,",")*1,_xlfn._TRO_TRAILING(Artists!A:A),_xlfn._TRO_TRAILING(Artists!B:B)))</f>
        <v>Louise Lawler</v>
      </c>
      <c r="E938">
        <v>1981</v>
      </c>
      <c r="F938" cm="1">
        <f t="array" ref="F938">_xlfn.REGEXEXTRACT(E938,"\d{4}")*1</f>
        <v>1981</v>
      </c>
      <c r="G938" t="s">
        <v>664</v>
      </c>
      <c r="H938" t="s">
        <v>4706</v>
      </c>
      <c r="I938" t="s">
        <v>806</v>
      </c>
      <c r="J938" t="s">
        <v>1140</v>
      </c>
      <c r="K938" s="1">
        <v>42509</v>
      </c>
      <c r="L938" t="s">
        <v>4707</v>
      </c>
      <c r="M938" t="s">
        <v>4708</v>
      </c>
      <c r="N938" t="s">
        <v>6388</v>
      </c>
    </row>
    <row r="939" spans="1:14" x14ac:dyDescent="0.25">
      <c r="A939">
        <v>204434</v>
      </c>
      <c r="B939" t="s">
        <v>4709</v>
      </c>
      <c r="C939">
        <v>7928</v>
      </c>
      <c r="D939" t="str" cm="1">
        <f t="array" ref="D939">_xlfn.TEXTJOIN(",",TRUE,_xlfn.XLOOKUP(_xlfn.TEXTSPLIT(C939,",")*1,_xlfn._TRO_TRAILING(Artists!A:A),_xlfn._TRO_TRAILING(Artists!B:B)))</f>
        <v>Louise Lawler</v>
      </c>
      <c r="E939" t="s">
        <v>4710</v>
      </c>
      <c r="F939" cm="1">
        <f t="array" ref="F939">_xlfn.REGEXEXTRACT(E939,"\d{4}")*1</f>
        <v>2002</v>
      </c>
      <c r="G939" t="s">
        <v>4711</v>
      </c>
      <c r="H939" t="s">
        <v>4712</v>
      </c>
      <c r="I939" t="s">
        <v>806</v>
      </c>
      <c r="J939" t="s">
        <v>1140</v>
      </c>
      <c r="K939" s="1">
        <v>42509</v>
      </c>
      <c r="L939" t="s">
        <v>4713</v>
      </c>
      <c r="M939" t="s">
        <v>4714</v>
      </c>
      <c r="N939" t="s">
        <v>6365</v>
      </c>
    </row>
    <row r="940" spans="1:14" x14ac:dyDescent="0.25">
      <c r="A940">
        <v>204788</v>
      </c>
      <c r="B940" t="s">
        <v>4715</v>
      </c>
      <c r="C940">
        <v>1391</v>
      </c>
      <c r="D940" t="str" cm="1">
        <f t="array" ref="D940">_xlfn.TEXTJOIN(",",TRUE,_xlfn.XLOOKUP(_xlfn.TEXTSPLIT(C940,",")*1,_xlfn._TRO_TRAILING(Artists!A:A),_xlfn._TRO_TRAILING(Artists!B:B)))</f>
        <v>Sandu Darie</v>
      </c>
      <c r="E940" t="s">
        <v>3640</v>
      </c>
      <c r="F940" cm="1">
        <f t="array" ref="F940">_xlfn.REGEXEXTRACT(E940,"\d{4}")*1</f>
        <v>1950</v>
      </c>
      <c r="G940" t="s">
        <v>4716</v>
      </c>
      <c r="H940" t="s">
        <v>4717</v>
      </c>
      <c r="I940" t="s">
        <v>2248</v>
      </c>
      <c r="J940" t="s">
        <v>879</v>
      </c>
      <c r="K940" s="1">
        <v>42527</v>
      </c>
      <c r="L940" t="s">
        <v>4718</v>
      </c>
      <c r="M940" t="s">
        <v>4719</v>
      </c>
      <c r="N940" t="s">
        <v>6399</v>
      </c>
    </row>
    <row r="941" spans="1:14" x14ac:dyDescent="0.25">
      <c r="A941">
        <v>204919</v>
      </c>
      <c r="B941" t="s">
        <v>4720</v>
      </c>
      <c r="C941">
        <v>5981</v>
      </c>
      <c r="D941" t="str" cm="1">
        <f t="array" ref="D941">_xlfn.TEXTJOIN(",",TRUE,_xlfn.XLOOKUP(_xlfn.TEXTSPLIT(C941,",")*1,_xlfn._TRO_TRAILING(Artists!A:A),_xlfn._TRO_TRAILING(Artists!B:B)))</f>
        <v>James Turrell</v>
      </c>
      <c r="E941" t="s">
        <v>4721</v>
      </c>
      <c r="F941" cm="1">
        <f t="array" ref="F941">_xlfn.REGEXEXTRACT(E941,"\d{4}")*1</f>
        <v>1980</v>
      </c>
      <c r="G941" t="s">
        <v>1404</v>
      </c>
      <c r="H941" t="s">
        <v>3851</v>
      </c>
      <c r="I941" t="s">
        <v>726</v>
      </c>
      <c r="J941" t="s">
        <v>879</v>
      </c>
      <c r="K941" s="1">
        <v>42527</v>
      </c>
      <c r="L941" t="s">
        <v>4722</v>
      </c>
      <c r="M941" t="s">
        <v>4723</v>
      </c>
      <c r="N941" t="s">
        <v>6432</v>
      </c>
    </row>
    <row r="942" spans="1:14" x14ac:dyDescent="0.25">
      <c r="A942">
        <v>205927</v>
      </c>
      <c r="B942" t="s">
        <v>4725</v>
      </c>
      <c r="C942">
        <v>27445</v>
      </c>
      <c r="D942" t="str" cm="1">
        <f t="array" ref="D942">_xlfn.TEXTJOIN(",",TRUE,_xlfn.XLOOKUP(_xlfn.TEXTSPLIT(C942,",")*1,_xlfn._TRO_TRAILING(Artists!A:A),_xlfn._TRO_TRAILING(Artists!B:B)))</f>
        <v>Lygia Clark</v>
      </c>
      <c r="E942">
        <v>1959</v>
      </c>
      <c r="F942" cm="1">
        <f t="array" ref="F942">_xlfn.REGEXEXTRACT(E942,"\d{4}")*1</f>
        <v>1959</v>
      </c>
      <c r="G942" t="s">
        <v>4726</v>
      </c>
      <c r="H942" t="s">
        <v>4727</v>
      </c>
      <c r="I942" t="s">
        <v>878</v>
      </c>
      <c r="J942" t="s">
        <v>879</v>
      </c>
      <c r="K942" s="1">
        <v>42634</v>
      </c>
      <c r="L942" t="s">
        <v>4728</v>
      </c>
      <c r="M942" t="s">
        <v>4729</v>
      </c>
      <c r="N942" t="s">
        <v>6399</v>
      </c>
    </row>
    <row r="943" spans="1:14" x14ac:dyDescent="0.25">
      <c r="A943">
        <v>205928</v>
      </c>
      <c r="B943" t="s">
        <v>4730</v>
      </c>
      <c r="C943">
        <v>42856</v>
      </c>
      <c r="D943" t="str" cm="1">
        <f t="array" ref="D943">_xlfn.TEXTJOIN(",",TRUE,_xlfn.XLOOKUP(_xlfn.TEXTSPLIT(C943,",")*1,_xlfn._TRO_TRAILING(Artists!A:A),_xlfn._TRO_TRAILING(Artists!B:B)))</f>
        <v>Waldemar Cordeiro</v>
      </c>
      <c r="E943">
        <v>1956</v>
      </c>
      <c r="F943" cm="1">
        <f t="array" ref="F943">_xlfn.REGEXEXTRACT(E943,"\d{4}")*1</f>
        <v>1956</v>
      </c>
      <c r="G943" t="s">
        <v>4724</v>
      </c>
      <c r="H943" t="s">
        <v>4731</v>
      </c>
      <c r="I943" t="s">
        <v>878</v>
      </c>
      <c r="J943" t="s">
        <v>879</v>
      </c>
      <c r="K943" s="1">
        <v>42634</v>
      </c>
      <c r="L943" t="s">
        <v>4732</v>
      </c>
      <c r="M943" t="s">
        <v>4733</v>
      </c>
      <c r="N943" t="s">
        <v>6379</v>
      </c>
    </row>
    <row r="944" spans="1:14" x14ac:dyDescent="0.25">
      <c r="A944">
        <v>205953</v>
      </c>
      <c r="B944" t="s">
        <v>4734</v>
      </c>
      <c r="C944">
        <v>50003</v>
      </c>
      <c r="D944" t="str" cm="1">
        <f t="array" ref="D944">_xlfn.TEXTJOIN(",",TRUE,_xlfn.XLOOKUP(_xlfn.TEXTSPLIT(C944,",")*1,_xlfn._TRO_TRAILING(Artists!A:A),_xlfn._TRO_TRAILING(Artists!B:B)))</f>
        <v>Alfredo Hlito</v>
      </c>
      <c r="E944">
        <v>1948</v>
      </c>
      <c r="F944" cm="1">
        <f t="array" ref="F944">_xlfn.REGEXEXTRACT(E944,"\d{4}")*1</f>
        <v>1948</v>
      </c>
      <c r="G944" t="s">
        <v>1034</v>
      </c>
      <c r="H944" t="s">
        <v>4736</v>
      </c>
      <c r="I944" t="s">
        <v>878</v>
      </c>
      <c r="J944" t="s">
        <v>879</v>
      </c>
      <c r="K944" s="1">
        <v>42634</v>
      </c>
      <c r="L944" t="s">
        <v>4737</v>
      </c>
      <c r="M944" t="s">
        <v>4738</v>
      </c>
      <c r="N944" t="s">
        <v>6399</v>
      </c>
    </row>
    <row r="945" spans="1:14" x14ac:dyDescent="0.25">
      <c r="A945">
        <v>205955</v>
      </c>
      <c r="B945" t="s">
        <v>4739</v>
      </c>
      <c r="C945">
        <v>50004</v>
      </c>
      <c r="D945" t="str" cm="1">
        <f t="array" ref="D945">_xlfn.TEXTJOIN(",",TRUE,_xlfn.XLOOKUP(_xlfn.TEXTSPLIT(C945,",")*1,_xlfn._TRO_TRAILING(Artists!A:A),_xlfn._TRO_TRAILING(Artists!B:B)))</f>
        <v>Judith Lauand</v>
      </c>
      <c r="E945">
        <v>1957</v>
      </c>
      <c r="F945" cm="1">
        <f t="array" ref="F945">_xlfn.REGEXEXTRACT(E945,"\d{4}")*1</f>
        <v>1957</v>
      </c>
      <c r="G945" t="s">
        <v>4724</v>
      </c>
      <c r="H945" t="s">
        <v>4741</v>
      </c>
      <c r="I945" t="s">
        <v>878</v>
      </c>
      <c r="J945" t="s">
        <v>879</v>
      </c>
      <c r="K945" s="1">
        <v>42634</v>
      </c>
      <c r="L945" t="s">
        <v>4742</v>
      </c>
      <c r="M945" t="s">
        <v>4743</v>
      </c>
      <c r="N945" t="s">
        <v>6399</v>
      </c>
    </row>
    <row r="946" spans="1:14" x14ac:dyDescent="0.25">
      <c r="A946">
        <v>205988</v>
      </c>
      <c r="B946" t="s">
        <v>51</v>
      </c>
      <c r="C946">
        <v>8196</v>
      </c>
      <c r="D946" t="str" cm="1">
        <f t="array" ref="D946">_xlfn.TEXTJOIN(",",TRUE,_xlfn.XLOOKUP(_xlfn.TEXTSPLIT(C946,",")*1,_xlfn._TRO_TRAILING(Artists!A:A),_xlfn._TRO_TRAILING(Artists!B:B)))</f>
        <v>Lygia Pape</v>
      </c>
      <c r="E946">
        <v>1956</v>
      </c>
      <c r="F946" cm="1">
        <f t="array" ref="F946">_xlfn.REGEXEXTRACT(E946,"\d{4}")*1</f>
        <v>1956</v>
      </c>
      <c r="G946" t="s">
        <v>3620</v>
      </c>
      <c r="H946" t="s">
        <v>4744</v>
      </c>
      <c r="I946" t="s">
        <v>878</v>
      </c>
      <c r="J946" t="s">
        <v>879</v>
      </c>
      <c r="K946" s="1">
        <v>42634</v>
      </c>
      <c r="L946" t="s">
        <v>4745</v>
      </c>
      <c r="M946" t="s">
        <v>4746</v>
      </c>
      <c r="N946" t="s">
        <v>6399</v>
      </c>
    </row>
    <row r="947" spans="1:14" x14ac:dyDescent="0.25">
      <c r="A947">
        <v>205989</v>
      </c>
      <c r="B947" t="s">
        <v>4747</v>
      </c>
      <c r="C947">
        <v>50006</v>
      </c>
      <c r="D947" t="str" cm="1">
        <f t="array" ref="D947">_xlfn.TEXTJOIN(",",TRUE,_xlfn.XLOOKUP(_xlfn.TEXTSPLIT(C947,",")*1,_xlfn._TRO_TRAILING(Artists!A:A),_xlfn._TRO_TRAILING(Artists!B:B)))</f>
        <v>Rhod Rothfuss</v>
      </c>
      <c r="E947">
        <v>1955</v>
      </c>
      <c r="F947" cm="1">
        <f t="array" ref="F947">_xlfn.REGEXEXTRACT(E947,"\d{4}")*1</f>
        <v>1955</v>
      </c>
      <c r="G947" t="s">
        <v>4749</v>
      </c>
      <c r="H947" t="s">
        <v>4750</v>
      </c>
      <c r="I947" t="s">
        <v>878</v>
      </c>
      <c r="J947" t="s">
        <v>879</v>
      </c>
      <c r="K947" s="1">
        <v>42634</v>
      </c>
      <c r="L947" t="s">
        <v>4751</v>
      </c>
      <c r="M947" t="s">
        <v>4752</v>
      </c>
      <c r="N947" t="s">
        <v>6399</v>
      </c>
    </row>
    <row r="948" spans="1:14" x14ac:dyDescent="0.25">
      <c r="A948">
        <v>205996</v>
      </c>
      <c r="B948" t="s">
        <v>51</v>
      </c>
      <c r="C948">
        <v>33865</v>
      </c>
      <c r="D948" t="str" cm="1">
        <f t="array" ref="D948">_xlfn.TEXTJOIN(",",TRUE,_xlfn.XLOOKUP(_xlfn.TEXTSPLIT(C948,",")*1,_xlfn._TRO_TRAILING(Artists!A:A),_xlfn._TRO_TRAILING(Artists!B:B)))</f>
        <v>Ivan Serpa</v>
      </c>
      <c r="E948">
        <v>1954</v>
      </c>
      <c r="F948" cm="1">
        <f t="array" ref="F948">_xlfn.REGEXEXTRACT(E948,"\d{4}")*1</f>
        <v>1954</v>
      </c>
      <c r="G948" t="s">
        <v>1034</v>
      </c>
      <c r="H948" t="s">
        <v>4753</v>
      </c>
      <c r="I948" t="s">
        <v>878</v>
      </c>
      <c r="J948" t="s">
        <v>879</v>
      </c>
      <c r="K948" s="1">
        <v>42634</v>
      </c>
      <c r="L948" t="s">
        <v>4754</v>
      </c>
      <c r="M948" t="s">
        <v>4755</v>
      </c>
      <c r="N948" t="s">
        <v>6379</v>
      </c>
    </row>
    <row r="949" spans="1:14" x14ac:dyDescent="0.25">
      <c r="A949">
        <v>214451</v>
      </c>
      <c r="B949" t="s">
        <v>4757</v>
      </c>
      <c r="C949">
        <v>7017</v>
      </c>
      <c r="D949" t="str" cm="1">
        <f t="array" ref="D949">_xlfn.TEXTJOIN(",",TRUE,_xlfn.XLOOKUP(_xlfn.TEXTSPLIT(C949,",")*1,_xlfn._TRO_TRAILING(Artists!A:A),_xlfn._TRO_TRAILING(Artists!B:B)))</f>
        <v>Adrian Piper</v>
      </c>
      <c r="E949">
        <v>1966</v>
      </c>
      <c r="F949" cm="1">
        <f t="array" ref="F949">_xlfn.REGEXEXTRACT(E949,"\d{4}")*1</f>
        <v>1966</v>
      </c>
      <c r="G949" t="s">
        <v>4758</v>
      </c>
      <c r="H949" t="s">
        <v>4759</v>
      </c>
      <c r="I949" t="s">
        <v>878</v>
      </c>
      <c r="J949" t="s">
        <v>879</v>
      </c>
      <c r="K949" s="1">
        <v>44655</v>
      </c>
      <c r="L949" t="s">
        <v>4760</v>
      </c>
      <c r="M949" t="s">
        <v>4761</v>
      </c>
      <c r="N949" t="s">
        <v>6397</v>
      </c>
    </row>
    <row r="950" spans="1:14" x14ac:dyDescent="0.25">
      <c r="A950">
        <v>215292</v>
      </c>
      <c r="B950" t="s">
        <v>4762</v>
      </c>
      <c r="C950">
        <v>556</v>
      </c>
      <c r="D950" t="str" cm="1">
        <f t="array" ref="D950">_xlfn.TEXTJOIN(",",TRUE,_xlfn.XLOOKUP(_xlfn.TEXTSPLIT(C950,",")*1,_xlfn._TRO_TRAILING(Artists!A:A),_xlfn._TRO_TRAILING(Artists!B:B)))</f>
        <v>Aenne Biermann</v>
      </c>
      <c r="E950" t="s">
        <v>470</v>
      </c>
      <c r="F950" cm="1">
        <f t="array" ref="F950">_xlfn.REGEXEXTRACT(E950,"\d{4}")*1</f>
        <v>1929</v>
      </c>
      <c r="G950" t="s">
        <v>664</v>
      </c>
      <c r="H950" t="s">
        <v>4763</v>
      </c>
      <c r="I950" t="s">
        <v>806</v>
      </c>
      <c r="J950" t="s">
        <v>1140</v>
      </c>
      <c r="K950" s="1">
        <v>42768</v>
      </c>
      <c r="L950" t="s">
        <v>4764</v>
      </c>
      <c r="M950" t="s">
        <v>4765</v>
      </c>
      <c r="N950" t="s">
        <v>6370</v>
      </c>
    </row>
    <row r="951" spans="1:14" x14ac:dyDescent="0.25">
      <c r="A951">
        <v>215303</v>
      </c>
      <c r="B951" t="s">
        <v>4766</v>
      </c>
      <c r="C951">
        <v>36310</v>
      </c>
      <c r="D951" t="str" cm="1">
        <f t="array" ref="D951">_xlfn.TEXTJOIN(",",TRUE,_xlfn.XLOOKUP(_xlfn.TEXTSPLIT(C951,",")*1,_xlfn._TRO_TRAILING(Artists!A:A),_xlfn._TRO_TRAILING(Artists!B:B)))</f>
        <v>Dr. Arvid Gutschow</v>
      </c>
      <c r="E951" t="s">
        <v>68</v>
      </c>
      <c r="F951" cm="1">
        <f t="array" ref="F951">_xlfn.REGEXEXTRACT(E951,"\d{4}")*1</f>
        <v>1930</v>
      </c>
      <c r="G951" t="s">
        <v>664</v>
      </c>
      <c r="H951" t="s">
        <v>4768</v>
      </c>
      <c r="I951" t="s">
        <v>806</v>
      </c>
      <c r="J951" t="s">
        <v>1140</v>
      </c>
      <c r="K951" s="1">
        <v>42768</v>
      </c>
      <c r="L951" t="s">
        <v>4769</v>
      </c>
      <c r="M951" t="s">
        <v>4770</v>
      </c>
      <c r="N951" t="s">
        <v>6370</v>
      </c>
    </row>
    <row r="952" spans="1:14" x14ac:dyDescent="0.25">
      <c r="A952">
        <v>215351</v>
      </c>
      <c r="B952" t="s">
        <v>51</v>
      </c>
      <c r="C952">
        <v>38972</v>
      </c>
      <c r="D952" t="str" cm="1">
        <f t="array" ref="D952">_xlfn.TEXTJOIN(",",TRUE,_xlfn.XLOOKUP(_xlfn.TEXTSPLIT(C952,",")*1,_xlfn._TRO_TRAILING(Artists!A:A),_xlfn._TRO_TRAILING(Artists!B:B)))</f>
        <v>Kazuo Shiraga</v>
      </c>
      <c r="E952">
        <v>1964</v>
      </c>
      <c r="F952" cm="1">
        <f t="array" ref="F952">_xlfn.REGEXEXTRACT(E952,"\d{4}")*1</f>
        <v>1964</v>
      </c>
      <c r="G952" t="s">
        <v>1034</v>
      </c>
      <c r="H952" t="s">
        <v>4772</v>
      </c>
      <c r="I952" t="s">
        <v>878</v>
      </c>
      <c r="J952" t="s">
        <v>879</v>
      </c>
      <c r="K952" s="1">
        <v>43585</v>
      </c>
      <c r="L952" t="s">
        <v>4773</v>
      </c>
      <c r="M952" t="s">
        <v>4774</v>
      </c>
      <c r="N952" t="s">
        <v>6407</v>
      </c>
    </row>
    <row r="953" spans="1:14" x14ac:dyDescent="0.25">
      <c r="A953">
        <v>215656</v>
      </c>
      <c r="B953" t="s">
        <v>4775</v>
      </c>
      <c r="C953">
        <v>67347</v>
      </c>
      <c r="D953" t="str" cm="1">
        <f t="array" ref="D953">_xlfn.TEXTJOIN(",",TRUE,_xlfn.XLOOKUP(_xlfn.TEXTSPLIT(C953,",")*1,_xlfn._TRO_TRAILING(Artists!A:A),_xlfn._TRO_TRAILING(Artists!B:B)))</f>
        <v>Mrinalini Mukherjee</v>
      </c>
      <c r="E953">
        <v>1984</v>
      </c>
      <c r="F953" cm="1">
        <f t="array" ref="F953">_xlfn.REGEXEXTRACT(E953,"\d{4}")*1</f>
        <v>1984</v>
      </c>
      <c r="G953" t="s">
        <v>4777</v>
      </c>
      <c r="H953" t="s">
        <v>4778</v>
      </c>
      <c r="I953" t="s">
        <v>217</v>
      </c>
      <c r="J953" t="s">
        <v>879</v>
      </c>
      <c r="K953" s="1">
        <v>42823</v>
      </c>
      <c r="L953" t="s">
        <v>4779</v>
      </c>
      <c r="M953" t="s">
        <v>4780</v>
      </c>
      <c r="N953" t="s">
        <v>6376</v>
      </c>
    </row>
    <row r="954" spans="1:14" x14ac:dyDescent="0.25">
      <c r="A954">
        <v>217283</v>
      </c>
      <c r="B954" t="s">
        <v>4783</v>
      </c>
      <c r="C954">
        <v>67545</v>
      </c>
      <c r="D954" t="str" cm="1">
        <f t="array" ref="D954">_xlfn.TEXTJOIN(",",TRUE,_xlfn.XLOOKUP(_xlfn.TEXTSPLIT(C954,",")*1,_xlfn._TRO_TRAILING(Artists!A:A),_xlfn._TRO_TRAILING(Artists!B:B)))</f>
        <v>Sunil Gupta</v>
      </c>
      <c r="E954">
        <v>1986</v>
      </c>
      <c r="F954" cm="1">
        <f t="array" ref="F954">_xlfn.REGEXEXTRACT(E954,"\d{4}")*1</f>
        <v>1986</v>
      </c>
      <c r="G954" t="s">
        <v>4756</v>
      </c>
      <c r="H954" t="s">
        <v>1225</v>
      </c>
      <c r="I954" t="s">
        <v>692</v>
      </c>
      <c r="J954" t="s">
        <v>1140</v>
      </c>
      <c r="K954" s="1">
        <v>42768</v>
      </c>
      <c r="L954" t="s">
        <v>4784</v>
      </c>
      <c r="M954" t="s">
        <v>4785</v>
      </c>
      <c r="N954" t="s">
        <v>6388</v>
      </c>
    </row>
    <row r="955" spans="1:14" x14ac:dyDescent="0.25">
      <c r="A955">
        <v>217681</v>
      </c>
      <c r="B955" t="s">
        <v>4786</v>
      </c>
      <c r="C955">
        <v>869</v>
      </c>
      <c r="D955" t="str" cm="1">
        <f t="array" ref="D955">_xlfn.TEXTJOIN(",",TRUE,_xlfn.XLOOKUP(_xlfn.TEXTSPLIT(C955,",")*1,_xlfn._TRO_TRAILING(Artists!A:A),_xlfn._TRO_TRAILING(Artists!B:B)))</f>
        <v>Max Burchartz</v>
      </c>
      <c r="E955" t="s">
        <v>521</v>
      </c>
      <c r="F955" cm="1">
        <f t="array" ref="F955">_xlfn.REGEXEXTRACT(E955,"\d{4}")*1</f>
        <v>1928</v>
      </c>
      <c r="G955" t="s">
        <v>4787</v>
      </c>
      <c r="H955" t="s">
        <v>4788</v>
      </c>
      <c r="I955" t="s">
        <v>675</v>
      </c>
      <c r="J955" t="s">
        <v>674</v>
      </c>
      <c r="K955" s="1">
        <v>43180</v>
      </c>
      <c r="L955" t="s">
        <v>4789</v>
      </c>
      <c r="M955" t="s">
        <v>4790</v>
      </c>
      <c r="N955" t="s">
        <v>6385</v>
      </c>
    </row>
    <row r="956" spans="1:14" x14ac:dyDescent="0.25">
      <c r="A956">
        <v>218220</v>
      </c>
      <c r="B956" t="s">
        <v>4791</v>
      </c>
      <c r="C956" t="s">
        <v>4792</v>
      </c>
      <c r="D956" t="str" cm="1">
        <f t="array" ref="D956">_xlfn.TEXTJOIN(",",TRUE,_xlfn.XLOOKUP(_xlfn.TEXTSPLIT(C956,",")*1,_xlfn._TRO_TRAILING(Artists!A:A),_xlfn._TRO_TRAILING(Artists!B:B)))</f>
        <v>Gauri Gill,Rajesh Vangad</v>
      </c>
      <c r="E956">
        <v>2016</v>
      </c>
      <c r="F956" cm="1">
        <f t="array" ref="F956">_xlfn.REGEXEXTRACT(E956,"\d{4}")*1</f>
        <v>2016</v>
      </c>
      <c r="G956" t="s">
        <v>4793</v>
      </c>
      <c r="H956" t="s">
        <v>4794</v>
      </c>
      <c r="I956" t="s">
        <v>675</v>
      </c>
      <c r="J956" t="s">
        <v>674</v>
      </c>
      <c r="K956" s="1">
        <v>42824</v>
      </c>
      <c r="L956" t="s">
        <v>4795</v>
      </c>
      <c r="M956" t="s">
        <v>4796</v>
      </c>
      <c r="N956" t="s">
        <v>6422</v>
      </c>
    </row>
    <row r="957" spans="1:14" x14ac:dyDescent="0.25">
      <c r="A957">
        <v>218221</v>
      </c>
      <c r="B957" t="s">
        <v>4797</v>
      </c>
      <c r="C957" t="s">
        <v>4792</v>
      </c>
      <c r="D957" t="str" cm="1">
        <f t="array" ref="D957">_xlfn.TEXTJOIN(",",TRUE,_xlfn.XLOOKUP(_xlfn.TEXTSPLIT(C957,",")*1,_xlfn._TRO_TRAILING(Artists!A:A),_xlfn._TRO_TRAILING(Artists!B:B)))</f>
        <v>Gauri Gill,Rajesh Vangad</v>
      </c>
      <c r="E957">
        <v>2016</v>
      </c>
      <c r="F957" cm="1">
        <f t="array" ref="F957">_xlfn.REGEXEXTRACT(E957,"\d{4}")*1</f>
        <v>2016</v>
      </c>
      <c r="G957" t="s">
        <v>4793</v>
      </c>
      <c r="H957" t="s">
        <v>4794</v>
      </c>
      <c r="I957" t="s">
        <v>675</v>
      </c>
      <c r="J957" t="s">
        <v>674</v>
      </c>
      <c r="K957" s="1">
        <v>42824</v>
      </c>
      <c r="L957" t="s">
        <v>4798</v>
      </c>
      <c r="M957" t="s">
        <v>4799</v>
      </c>
      <c r="N957" t="s">
        <v>6422</v>
      </c>
    </row>
    <row r="958" spans="1:14" x14ac:dyDescent="0.25">
      <c r="A958">
        <v>218700</v>
      </c>
      <c r="B958" t="s">
        <v>4800</v>
      </c>
      <c r="C958">
        <v>4394</v>
      </c>
      <c r="D958" t="str" cm="1">
        <f t="array" ref="D958">_xlfn.TEXTJOIN(",",TRUE,_xlfn.XLOOKUP(_xlfn.TEXTSPLIT(C958,",")*1,_xlfn._TRO_TRAILING(Artists!A:A),_xlfn._TRO_TRAILING(Artists!B:B)))</f>
        <v>Joseph Maria Olbrich</v>
      </c>
      <c r="E958" t="s">
        <v>4801</v>
      </c>
      <c r="F958" cm="1">
        <f t="array" ref="F958">_xlfn.REGEXEXTRACT(E958,"\d{4}")*1</f>
        <v>1901</v>
      </c>
      <c r="G958" t="s">
        <v>32</v>
      </c>
      <c r="H958" t="s">
        <v>4802</v>
      </c>
      <c r="I958" t="s">
        <v>95</v>
      </c>
      <c r="J958" t="s">
        <v>19</v>
      </c>
      <c r="K958" s="1">
        <v>43180</v>
      </c>
      <c r="L958" t="s">
        <v>4803</v>
      </c>
      <c r="M958" t="s">
        <v>4804</v>
      </c>
      <c r="N958" t="s">
        <v>6366</v>
      </c>
    </row>
    <row r="959" spans="1:14" x14ac:dyDescent="0.25">
      <c r="A959">
        <v>218721</v>
      </c>
      <c r="B959" t="s">
        <v>4805</v>
      </c>
      <c r="C959">
        <v>24583</v>
      </c>
      <c r="D959" t="str" cm="1">
        <f t="array" ref="D959">_xlfn.TEXTJOIN(",",TRUE,_xlfn.XLOOKUP(_xlfn.TEXTSPLIT(C959,",")*1,_xlfn._TRO_TRAILING(Artists!A:A),_xlfn._TRO_TRAILING(Artists!B:B)))</f>
        <v>Vasili Elkin</v>
      </c>
      <c r="E959" t="s">
        <v>521</v>
      </c>
      <c r="F959" cm="1">
        <f t="array" ref="F959">_xlfn.REGEXEXTRACT(E959,"\d{4}")*1</f>
        <v>1928</v>
      </c>
      <c r="G959" t="s">
        <v>4807</v>
      </c>
      <c r="H959" t="s">
        <v>4808</v>
      </c>
      <c r="I959" t="s">
        <v>675</v>
      </c>
      <c r="J959" t="s">
        <v>674</v>
      </c>
      <c r="K959" s="1">
        <v>43180</v>
      </c>
      <c r="L959" t="s">
        <v>4809</v>
      </c>
      <c r="M959" t="s">
        <v>4810</v>
      </c>
      <c r="N959" t="s">
        <v>6385</v>
      </c>
    </row>
    <row r="960" spans="1:14" x14ac:dyDescent="0.25">
      <c r="A960">
        <v>218761</v>
      </c>
      <c r="B960" t="s">
        <v>4812</v>
      </c>
      <c r="C960" t="s">
        <v>81</v>
      </c>
      <c r="D960" t="str" cm="1">
        <f t="array" ref="D960">_xlfn.TEXTJOIN(",",TRUE,_xlfn.XLOOKUP(_xlfn.TEXTSPLIT(C960,",")*1,_xlfn._TRO_TRAILING(Artists!A:A),_xlfn._TRO_TRAILING(Artists!B:B)))</f>
        <v>Charles Eames,Ray Eames</v>
      </c>
      <c r="E960">
        <v>1970</v>
      </c>
      <c r="F960" cm="1">
        <f t="array" ref="F960">_xlfn.REGEXEXTRACT(E960,"\d{4}")*1</f>
        <v>1970</v>
      </c>
      <c r="G960" t="s">
        <v>4811</v>
      </c>
      <c r="I960" t="s">
        <v>1626</v>
      </c>
      <c r="J960" t="s">
        <v>3402</v>
      </c>
      <c r="K960" s="1">
        <v>42774</v>
      </c>
      <c r="L960" t="s">
        <v>4813</v>
      </c>
      <c r="M960" t="s">
        <v>4814</v>
      </c>
      <c r="N960" t="s">
        <v>6362</v>
      </c>
    </row>
    <row r="961" spans="1:14" x14ac:dyDescent="0.25">
      <c r="A961">
        <v>219267</v>
      </c>
      <c r="B961" t="s">
        <v>4815</v>
      </c>
      <c r="C961">
        <v>67887</v>
      </c>
      <c r="D961" t="str" cm="1">
        <f t="array" ref="D961">_xlfn.TEXTJOIN(",",TRUE,_xlfn.XLOOKUP(_xlfn.TEXTSPLIT(C961,",")*1,_xlfn._TRO_TRAILING(Artists!A:A),_xlfn._TRO_TRAILING(Artists!B:B)))</f>
        <v>Paul Mpagi Sepuya</v>
      </c>
      <c r="E961">
        <v>2015</v>
      </c>
      <c r="F961" cm="1">
        <f t="array" ref="F961">_xlfn.REGEXEXTRACT(E961,"\d{4}")*1</f>
        <v>2015</v>
      </c>
      <c r="G961" t="s">
        <v>1524</v>
      </c>
      <c r="H961" t="s">
        <v>4817</v>
      </c>
      <c r="I961" t="s">
        <v>806</v>
      </c>
      <c r="J961" t="s">
        <v>1140</v>
      </c>
      <c r="K961" s="1">
        <v>42873</v>
      </c>
      <c r="L961" t="s">
        <v>4818</v>
      </c>
      <c r="M961" t="s">
        <v>4819</v>
      </c>
      <c r="N961" t="s">
        <v>6392</v>
      </c>
    </row>
    <row r="962" spans="1:14" x14ac:dyDescent="0.25">
      <c r="A962">
        <v>219270</v>
      </c>
      <c r="B962" t="s">
        <v>4820</v>
      </c>
      <c r="C962">
        <v>67887</v>
      </c>
      <c r="D962" t="str" cm="1">
        <f t="array" ref="D962">_xlfn.TEXTJOIN(",",TRUE,_xlfn.XLOOKUP(_xlfn.TEXTSPLIT(C962,",")*1,_xlfn._TRO_TRAILING(Artists!A:A),_xlfn._TRO_TRAILING(Artists!B:B)))</f>
        <v>Paul Mpagi Sepuya</v>
      </c>
      <c r="E962">
        <v>2016</v>
      </c>
      <c r="F962" cm="1">
        <f t="array" ref="F962">_xlfn.REGEXEXTRACT(E962,"\d{4}")*1</f>
        <v>2016</v>
      </c>
      <c r="G962" t="s">
        <v>1524</v>
      </c>
      <c r="H962" t="s">
        <v>4817</v>
      </c>
      <c r="I962" t="s">
        <v>806</v>
      </c>
      <c r="J962" t="s">
        <v>1140</v>
      </c>
      <c r="K962" s="1">
        <v>42873</v>
      </c>
      <c r="L962" t="s">
        <v>4821</v>
      </c>
      <c r="M962" t="s">
        <v>4822</v>
      </c>
      <c r="N962" t="s">
        <v>6392</v>
      </c>
    </row>
    <row r="963" spans="1:14" x14ac:dyDescent="0.25">
      <c r="A963">
        <v>219627</v>
      </c>
      <c r="B963" t="s">
        <v>4823</v>
      </c>
      <c r="C963">
        <v>5281</v>
      </c>
      <c r="D963" t="str" cm="1">
        <f t="array" ref="D963">_xlfn.TEXTJOIN(",",TRUE,_xlfn.XLOOKUP(_xlfn.TEXTSPLIT(C963,",")*1,_xlfn._TRO_TRAILING(Artists!A:A),_xlfn._TRO_TRAILING(Artists!B:B)))</f>
        <v>Thomas Schütte</v>
      </c>
      <c r="E963">
        <v>1981</v>
      </c>
      <c r="F963" cm="1">
        <f t="array" ref="F963">_xlfn.REGEXEXTRACT(E963,"\d{4}")*1</f>
        <v>1981</v>
      </c>
      <c r="G963" t="s">
        <v>4824</v>
      </c>
      <c r="H963" t="s">
        <v>4825</v>
      </c>
      <c r="I963" t="s">
        <v>675</v>
      </c>
      <c r="J963" t="s">
        <v>674</v>
      </c>
      <c r="K963" s="1">
        <v>42824</v>
      </c>
      <c r="L963" t="s">
        <v>4826</v>
      </c>
      <c r="M963" t="s">
        <v>4827</v>
      </c>
      <c r="N963" t="s">
        <v>6421</v>
      </c>
    </row>
    <row r="964" spans="1:14" x14ac:dyDescent="0.25">
      <c r="A964">
        <v>220346</v>
      </c>
      <c r="B964" t="s">
        <v>4829</v>
      </c>
      <c r="C964">
        <v>67990</v>
      </c>
      <c r="D964" t="str" cm="1">
        <f t="array" ref="D964">_xlfn.TEXTJOIN(",",TRUE,_xlfn.XLOOKUP(_xlfn.TEXTSPLIT(C964,",")*1,_xlfn._TRO_TRAILING(Artists!A:A),_xlfn._TRO_TRAILING(Artists!B:B)))</f>
        <v>José Alejandro Restrepo</v>
      </c>
      <c r="E964">
        <v>1992</v>
      </c>
      <c r="F964" cm="1">
        <f t="array" ref="F964">_xlfn.REGEXEXTRACT(E964,"\d{4}")*1</f>
        <v>1992</v>
      </c>
      <c r="G964" t="s">
        <v>4831</v>
      </c>
      <c r="H964" t="s">
        <v>4832</v>
      </c>
      <c r="I964" t="s">
        <v>1626</v>
      </c>
      <c r="J964" t="s">
        <v>3200</v>
      </c>
      <c r="K964" s="1">
        <v>43034</v>
      </c>
      <c r="L964" t="s">
        <v>4833</v>
      </c>
      <c r="M964" t="s">
        <v>4834</v>
      </c>
      <c r="N964" t="s">
        <v>6427</v>
      </c>
    </row>
    <row r="965" spans="1:14" x14ac:dyDescent="0.25">
      <c r="A965">
        <v>273170</v>
      </c>
      <c r="B965" t="s">
        <v>4839</v>
      </c>
      <c r="C965">
        <v>69495</v>
      </c>
      <c r="D965" t="str" cm="1">
        <f t="array" ref="D965">_xlfn.TEXTJOIN(",",TRUE,_xlfn.XLOOKUP(_xlfn.TEXTSPLIT(C965,",")*1,_xlfn._TRO_TRAILING(Artists!A:A),_xlfn._TRO_TRAILING(Artists!B:B)))</f>
        <v>Hal Fischer</v>
      </c>
      <c r="E965">
        <v>1977</v>
      </c>
      <c r="F965" cm="1">
        <f t="array" ref="F965">_xlfn.REGEXEXTRACT(E965,"\d{4}")*1</f>
        <v>1977</v>
      </c>
      <c r="G965" t="s">
        <v>4483</v>
      </c>
      <c r="H965" t="s">
        <v>4840</v>
      </c>
      <c r="I965" t="s">
        <v>806</v>
      </c>
      <c r="J965" t="s">
        <v>1140</v>
      </c>
      <c r="K965" s="1">
        <v>43034</v>
      </c>
      <c r="L965" t="s">
        <v>4841</v>
      </c>
      <c r="M965" t="s">
        <v>4842</v>
      </c>
      <c r="N965" t="s">
        <v>6388</v>
      </c>
    </row>
    <row r="966" spans="1:14" x14ac:dyDescent="0.25">
      <c r="A966">
        <v>273171</v>
      </c>
      <c r="B966" t="s">
        <v>4843</v>
      </c>
      <c r="C966">
        <v>69495</v>
      </c>
      <c r="D966" t="str" cm="1">
        <f t="array" ref="D966">_xlfn.TEXTJOIN(",",TRUE,_xlfn.XLOOKUP(_xlfn.TEXTSPLIT(C966,",")*1,_xlfn._TRO_TRAILING(Artists!A:A),_xlfn._TRO_TRAILING(Artists!B:B)))</f>
        <v>Hal Fischer</v>
      </c>
      <c r="E966">
        <v>1977</v>
      </c>
      <c r="F966" cm="1">
        <f t="array" ref="F966">_xlfn.REGEXEXTRACT(E966,"\d{4}")*1</f>
        <v>1977</v>
      </c>
      <c r="G966" t="s">
        <v>4483</v>
      </c>
      <c r="H966" t="s">
        <v>4844</v>
      </c>
      <c r="I966" t="s">
        <v>806</v>
      </c>
      <c r="J966" t="s">
        <v>1140</v>
      </c>
      <c r="K966" s="1">
        <v>43034</v>
      </c>
      <c r="L966" t="s">
        <v>4845</v>
      </c>
      <c r="M966" t="s">
        <v>4846</v>
      </c>
      <c r="N966" t="s">
        <v>6388</v>
      </c>
    </row>
    <row r="967" spans="1:14" x14ac:dyDescent="0.25">
      <c r="A967">
        <v>273172</v>
      </c>
      <c r="B967" t="s">
        <v>4641</v>
      </c>
      <c r="C967">
        <v>69495</v>
      </c>
      <c r="D967" t="str" cm="1">
        <f t="array" ref="D967">_xlfn.TEXTJOIN(",",TRUE,_xlfn.XLOOKUP(_xlfn.TEXTSPLIT(C967,",")*1,_xlfn._TRO_TRAILING(Artists!A:A),_xlfn._TRO_TRAILING(Artists!B:B)))</f>
        <v>Hal Fischer</v>
      </c>
      <c r="E967">
        <v>1977</v>
      </c>
      <c r="F967" cm="1">
        <f t="array" ref="F967">_xlfn.REGEXEXTRACT(E967,"\d{4}")*1</f>
        <v>1977</v>
      </c>
      <c r="G967" t="s">
        <v>4483</v>
      </c>
      <c r="H967" t="s">
        <v>4844</v>
      </c>
      <c r="I967" t="s">
        <v>806</v>
      </c>
      <c r="J967" t="s">
        <v>1140</v>
      </c>
      <c r="K967" s="1">
        <v>43034</v>
      </c>
      <c r="L967" t="s">
        <v>4847</v>
      </c>
      <c r="M967" t="s">
        <v>4848</v>
      </c>
      <c r="N967" t="s">
        <v>6388</v>
      </c>
    </row>
    <row r="968" spans="1:14" x14ac:dyDescent="0.25">
      <c r="A968">
        <v>273173</v>
      </c>
      <c r="B968" t="s">
        <v>4849</v>
      </c>
      <c r="C968">
        <v>69495</v>
      </c>
      <c r="D968" t="str" cm="1">
        <f t="array" ref="D968">_xlfn.TEXTJOIN(",",TRUE,_xlfn.XLOOKUP(_xlfn.TEXTSPLIT(C968,",")*1,_xlfn._TRO_TRAILING(Artists!A:A),_xlfn._TRO_TRAILING(Artists!B:B)))</f>
        <v>Hal Fischer</v>
      </c>
      <c r="E968">
        <v>1977</v>
      </c>
      <c r="F968" cm="1">
        <f t="array" ref="F968">_xlfn.REGEXEXTRACT(E968,"\d{4}")*1</f>
        <v>1977</v>
      </c>
      <c r="G968" t="s">
        <v>4483</v>
      </c>
      <c r="H968" t="s">
        <v>4844</v>
      </c>
      <c r="I968" t="s">
        <v>806</v>
      </c>
      <c r="J968" t="s">
        <v>1140</v>
      </c>
      <c r="K968" s="1">
        <v>43034</v>
      </c>
      <c r="L968" t="s">
        <v>4850</v>
      </c>
      <c r="M968" t="s">
        <v>4851</v>
      </c>
      <c r="N968" t="s">
        <v>6388</v>
      </c>
    </row>
    <row r="969" spans="1:14" x14ac:dyDescent="0.25">
      <c r="A969">
        <v>273588</v>
      </c>
      <c r="B969" t="s">
        <v>4852</v>
      </c>
      <c r="C969">
        <v>46962</v>
      </c>
      <c r="D969" t="str" cm="1">
        <f t="array" ref="D969">_xlfn.TEXTJOIN(",",TRUE,_xlfn.XLOOKUP(_xlfn.TEXTSPLIT(C969,",")*1,_xlfn._TRO_TRAILING(Artists!A:A),_xlfn._TRO_TRAILING(Artists!B:B)))</f>
        <v>Lynette Yiadom-Boakye</v>
      </c>
      <c r="E969">
        <v>2010</v>
      </c>
      <c r="F969" cm="1">
        <f t="array" ref="F969">_xlfn.REGEXEXTRACT(E969,"\d{4}")*1</f>
        <v>2010</v>
      </c>
      <c r="G969" t="s">
        <v>1034</v>
      </c>
      <c r="H969" t="s">
        <v>4853</v>
      </c>
      <c r="I969" t="s">
        <v>878</v>
      </c>
      <c r="J969" t="s">
        <v>879</v>
      </c>
      <c r="K969" s="1">
        <v>43081</v>
      </c>
      <c r="L969" t="s">
        <v>4854</v>
      </c>
      <c r="M969" t="s">
        <v>4855</v>
      </c>
      <c r="N969" t="s">
        <v>6392</v>
      </c>
    </row>
    <row r="970" spans="1:14" x14ac:dyDescent="0.25">
      <c r="A970">
        <v>273909</v>
      </c>
      <c r="B970" t="s">
        <v>4857</v>
      </c>
      <c r="C970">
        <v>7928</v>
      </c>
      <c r="D970" t="str" cm="1">
        <f t="array" ref="D970">_xlfn.TEXTJOIN(",",TRUE,_xlfn.XLOOKUP(_xlfn.TEXTSPLIT(C970,",")*1,_xlfn._TRO_TRAILING(Artists!A:A),_xlfn._TRO_TRAILING(Artists!B:B)))</f>
        <v>Louise Lawler</v>
      </c>
      <c r="E970">
        <v>2013</v>
      </c>
      <c r="F970" cm="1">
        <f t="array" ref="F970">_xlfn.REGEXEXTRACT(E970,"\d{4}")*1</f>
        <v>2013</v>
      </c>
      <c r="G970" t="s">
        <v>4858</v>
      </c>
      <c r="H970" t="s">
        <v>4859</v>
      </c>
      <c r="I970" t="s">
        <v>713</v>
      </c>
      <c r="J970" t="s">
        <v>674</v>
      </c>
      <c r="K970" s="1">
        <v>43026</v>
      </c>
      <c r="L970" t="s">
        <v>4860</v>
      </c>
      <c r="M970" t="s">
        <v>4861</v>
      </c>
      <c r="N970" t="s">
        <v>6418</v>
      </c>
    </row>
    <row r="971" spans="1:14" x14ac:dyDescent="0.25">
      <c r="A971">
        <v>275273</v>
      </c>
      <c r="B971" t="s">
        <v>4865</v>
      </c>
      <c r="C971">
        <v>35212</v>
      </c>
      <c r="D971" t="str" cm="1">
        <f t="array" ref="D971">_xlfn.TEXTJOIN(",",TRUE,_xlfn.XLOOKUP(_xlfn.TEXTSPLIT(C971,",")*1,_xlfn._TRO_TRAILING(Artists!A:A),_xlfn._TRO_TRAILING(Artists!B:B)))</f>
        <v>Shannon Ebner</v>
      </c>
      <c r="E971">
        <v>2017</v>
      </c>
      <c r="F971" cm="1">
        <f t="array" ref="F971">_xlfn.REGEXEXTRACT(E971,"\d{4}")*1</f>
        <v>2017</v>
      </c>
      <c r="G971" t="s">
        <v>1524</v>
      </c>
      <c r="H971" t="s">
        <v>4866</v>
      </c>
      <c r="I971" t="s">
        <v>806</v>
      </c>
      <c r="J971" t="s">
        <v>1140</v>
      </c>
      <c r="K971" s="1">
        <v>43124</v>
      </c>
      <c r="L971" t="s">
        <v>4867</v>
      </c>
      <c r="M971" t="s">
        <v>4868</v>
      </c>
      <c r="N971" t="s">
        <v>6388</v>
      </c>
    </row>
    <row r="972" spans="1:14" x14ac:dyDescent="0.25">
      <c r="A972">
        <v>279734</v>
      </c>
      <c r="B972" t="s">
        <v>4869</v>
      </c>
      <c r="C972">
        <v>69972</v>
      </c>
      <c r="D972" t="str" cm="1">
        <f t="array" ref="D972">_xlfn.TEXTJOIN(",",TRUE,_xlfn.XLOOKUP(_xlfn.TEXTSPLIT(C972,",")*1,_xlfn._TRO_TRAILING(Artists!A:A),_xlfn._TRO_TRAILING(Artists!B:B)))</f>
        <v>Pushpamala N</v>
      </c>
      <c r="E972">
        <v>2003</v>
      </c>
      <c r="F972" cm="1">
        <f t="array" ref="F972">_xlfn.REGEXEXTRACT(E972,"\d{4}")*1</f>
        <v>2003</v>
      </c>
      <c r="G972" t="s">
        <v>1175</v>
      </c>
      <c r="H972" t="s">
        <v>4864</v>
      </c>
      <c r="I972" t="s">
        <v>806</v>
      </c>
      <c r="J972" t="s">
        <v>1140</v>
      </c>
      <c r="K972" s="1">
        <v>43124</v>
      </c>
      <c r="L972" t="s">
        <v>4870</v>
      </c>
      <c r="M972" t="s">
        <v>4863</v>
      </c>
      <c r="N972" t="s">
        <v>6425</v>
      </c>
    </row>
    <row r="973" spans="1:14" x14ac:dyDescent="0.25">
      <c r="A973">
        <v>280234</v>
      </c>
      <c r="B973" t="s">
        <v>4871</v>
      </c>
      <c r="C973">
        <v>4163</v>
      </c>
      <c r="D973" t="str" cm="1">
        <f t="array" ref="D973">_xlfn.TEXTJOIN(",",TRUE,_xlfn.XLOOKUP(_xlfn.TEXTSPLIT(C973,",")*1,_xlfn._TRO_TRAILING(Artists!A:A),_xlfn._TRO_TRAILING(Artists!B:B)))</f>
        <v>Bruno Munari</v>
      </c>
      <c r="E973" t="s">
        <v>59</v>
      </c>
      <c r="F973" cm="1">
        <f t="array" ref="F973">_xlfn.REGEXEXTRACT(E973,"\d{4}")*1</f>
        <v>1938</v>
      </c>
      <c r="G973" t="s">
        <v>4872</v>
      </c>
      <c r="H973" t="s">
        <v>4873</v>
      </c>
      <c r="I973" t="s">
        <v>675</v>
      </c>
      <c r="J973" t="s">
        <v>674</v>
      </c>
      <c r="K973" s="1">
        <v>43180</v>
      </c>
      <c r="L973" t="s">
        <v>4874</v>
      </c>
      <c r="M973" t="s">
        <v>4875</v>
      </c>
      <c r="N973" t="s">
        <v>6385</v>
      </c>
    </row>
    <row r="974" spans="1:14" x14ac:dyDescent="0.25">
      <c r="A974">
        <v>280439</v>
      </c>
      <c r="B974" t="s">
        <v>4876</v>
      </c>
      <c r="C974">
        <v>66091</v>
      </c>
      <c r="D974" t="str" cm="1">
        <f t="array" ref="D974">_xlfn.TEXTJOIN(",",TRUE,_xlfn.XLOOKUP(_xlfn.TEXTSPLIT(C974,",")*1,_xlfn._TRO_TRAILING(Artists!A:A),_xlfn._TRO_TRAILING(Artists!B:B)))</f>
        <v>Lois Dodd</v>
      </c>
      <c r="E974">
        <v>1971</v>
      </c>
      <c r="F974" cm="1">
        <f t="array" ref="F974">_xlfn.REGEXEXTRACT(E974,"\d{4}")*1</f>
        <v>1971</v>
      </c>
      <c r="G974" t="s">
        <v>1034</v>
      </c>
      <c r="H974" t="s">
        <v>4878</v>
      </c>
      <c r="I974" t="s">
        <v>878</v>
      </c>
      <c r="J974" t="s">
        <v>879</v>
      </c>
      <c r="K974" s="1">
        <v>43206</v>
      </c>
      <c r="L974" t="s">
        <v>4879</v>
      </c>
      <c r="M974" t="s">
        <v>4880</v>
      </c>
      <c r="N974" t="s">
        <v>6413</v>
      </c>
    </row>
    <row r="975" spans="1:14" x14ac:dyDescent="0.25">
      <c r="A975">
        <v>283693</v>
      </c>
      <c r="B975" t="s">
        <v>3618</v>
      </c>
      <c r="C975">
        <v>41280</v>
      </c>
      <c r="D975" t="str" cm="1">
        <f t="array" ref="D975">_xlfn.TEXTJOIN(",",TRUE,_xlfn.XLOOKUP(_xlfn.TEXTSPLIT(C975,",")*1,_xlfn._TRO_TRAILING(Artists!A:A),_xlfn._TRO_TRAILING(Artists!B:B)))</f>
        <v>Maren Hassinger</v>
      </c>
      <c r="E975">
        <v>1980</v>
      </c>
      <c r="F975" cm="1">
        <f t="array" ref="F975">_xlfn.REGEXEXTRACT(E975,"\d{4}")*1</f>
        <v>1980</v>
      </c>
      <c r="G975" t="s">
        <v>4882</v>
      </c>
      <c r="H975" t="s">
        <v>4883</v>
      </c>
      <c r="I975" t="s">
        <v>2248</v>
      </c>
      <c r="J975" t="s">
        <v>879</v>
      </c>
      <c r="K975" s="1">
        <v>43206</v>
      </c>
      <c r="L975" t="s">
        <v>4884</v>
      </c>
      <c r="M975" t="s">
        <v>4885</v>
      </c>
      <c r="N975" t="s">
        <v>6376</v>
      </c>
    </row>
    <row r="976" spans="1:14" x14ac:dyDescent="0.25">
      <c r="A976">
        <v>283753</v>
      </c>
      <c r="B976" t="s">
        <v>1192</v>
      </c>
      <c r="C976">
        <v>3948</v>
      </c>
      <c r="D976" t="str" cm="1">
        <f t="array" ref="D976">_xlfn.TEXTJOIN(",",TRUE,_xlfn.XLOOKUP(_xlfn.TEXTSPLIT(C976,",")*1,_xlfn._TRO_TRAILING(Artists!A:A),_xlfn._TRO_TRAILING(Artists!B:B)))</f>
        <v>Ray K. Metzker</v>
      </c>
      <c r="E976">
        <v>1958</v>
      </c>
      <c r="F976" cm="1">
        <f t="array" ref="F976">_xlfn.REGEXEXTRACT(E976,"\d{4}")*1</f>
        <v>1958</v>
      </c>
      <c r="G976" t="s">
        <v>664</v>
      </c>
      <c r="H976" t="s">
        <v>4886</v>
      </c>
      <c r="I976" t="s">
        <v>806</v>
      </c>
      <c r="J976" t="s">
        <v>1140</v>
      </c>
      <c r="K976" s="1">
        <v>43524</v>
      </c>
      <c r="L976" t="s">
        <v>4887</v>
      </c>
      <c r="M976" t="s">
        <v>4888</v>
      </c>
      <c r="N976" t="s">
        <v>6387</v>
      </c>
    </row>
    <row r="977" spans="1:14" x14ac:dyDescent="0.25">
      <c r="A977">
        <v>284354</v>
      </c>
      <c r="B977" t="s">
        <v>4889</v>
      </c>
      <c r="C977">
        <v>46544</v>
      </c>
      <c r="D977" t="str" cm="1">
        <f t="array" ref="D977">_xlfn.TEXTJOIN(",",TRUE,_xlfn.XLOOKUP(_xlfn.TEXTSPLIT(C977,",")*1,_xlfn._TRO_TRAILING(Artists!A:A),_xlfn._TRO_TRAILING(Artists!B:B)))</f>
        <v>Ulrike Müller</v>
      </c>
      <c r="E977">
        <v>2017</v>
      </c>
      <c r="F977" cm="1">
        <f t="array" ref="F977">_xlfn.REGEXEXTRACT(E977,"\d{4}")*1</f>
        <v>2017</v>
      </c>
      <c r="G977" t="s">
        <v>4890</v>
      </c>
      <c r="H977" t="s">
        <v>1559</v>
      </c>
      <c r="I977" t="s">
        <v>878</v>
      </c>
      <c r="J977" t="s">
        <v>879</v>
      </c>
      <c r="K977" s="1">
        <v>43374</v>
      </c>
      <c r="L977" t="s">
        <v>4891</v>
      </c>
      <c r="M977" t="s">
        <v>4892</v>
      </c>
      <c r="N977" t="s">
        <v>6371</v>
      </c>
    </row>
    <row r="978" spans="1:14" x14ac:dyDescent="0.25">
      <c r="A978">
        <v>284439</v>
      </c>
      <c r="B978" t="s">
        <v>4893</v>
      </c>
      <c r="C978">
        <v>6191</v>
      </c>
      <c r="D978" t="str" cm="1">
        <f t="array" ref="D978">_xlfn.TEXTJOIN(",",TRUE,_xlfn.XLOOKUP(_xlfn.TEXTSPLIT(C978,",")*1,_xlfn._TRO_TRAILING(Artists!A:A),_xlfn._TRO_TRAILING(Artists!B:B)))</f>
        <v>Wolf Vostell</v>
      </c>
      <c r="E978" t="s">
        <v>1221</v>
      </c>
      <c r="F978" cm="1">
        <f t="array" ref="F978">_xlfn.REGEXEXTRACT(E978,"\d{4}")*1</f>
        <v>1958</v>
      </c>
      <c r="G978" t="s">
        <v>4894</v>
      </c>
      <c r="H978" t="s">
        <v>4895</v>
      </c>
      <c r="I978" t="s">
        <v>726</v>
      </c>
      <c r="J978" t="s">
        <v>3200</v>
      </c>
      <c r="K978" s="1">
        <v>43411</v>
      </c>
      <c r="L978" t="s">
        <v>4896</v>
      </c>
      <c r="M978" t="s">
        <v>4897</v>
      </c>
      <c r="N978" t="s">
        <v>6407</v>
      </c>
    </row>
    <row r="979" spans="1:14" x14ac:dyDescent="0.25">
      <c r="A979">
        <v>288407</v>
      </c>
      <c r="B979" t="s">
        <v>4898</v>
      </c>
      <c r="C979">
        <v>2834</v>
      </c>
      <c r="D979" t="str" cm="1">
        <f t="array" ref="D979">_xlfn.TEXTJOIN(",",TRUE,_xlfn.XLOOKUP(_xlfn.TEXTSPLIT(C979,",")*1,_xlfn._TRO_TRAILING(Artists!A:A),_xlfn._TRO_TRAILING(Artists!B:B)))</f>
        <v>Yasuhiro Ishimoto</v>
      </c>
      <c r="E979">
        <v>1950</v>
      </c>
      <c r="F979" cm="1">
        <f t="array" ref="F979">_xlfn.REGEXEXTRACT(E979,"\d{4}")*1</f>
        <v>1950</v>
      </c>
      <c r="G979" t="s">
        <v>664</v>
      </c>
      <c r="H979" t="s">
        <v>4643</v>
      </c>
      <c r="I979" t="s">
        <v>806</v>
      </c>
      <c r="J979" t="s">
        <v>1140</v>
      </c>
      <c r="K979" s="1">
        <v>42509</v>
      </c>
      <c r="L979" t="s">
        <v>4899</v>
      </c>
      <c r="M979" t="s">
        <v>4900</v>
      </c>
      <c r="N979" t="s">
        <v>6387</v>
      </c>
    </row>
    <row r="980" spans="1:14" x14ac:dyDescent="0.25">
      <c r="A980">
        <v>288408</v>
      </c>
      <c r="B980" t="s">
        <v>4898</v>
      </c>
      <c r="C980">
        <v>2834</v>
      </c>
      <c r="D980" t="str" cm="1">
        <f t="array" ref="D980">_xlfn.TEXTJOIN(",",TRUE,_xlfn.XLOOKUP(_xlfn.TEXTSPLIT(C980,",")*1,_xlfn._TRO_TRAILING(Artists!A:A),_xlfn._TRO_TRAILING(Artists!B:B)))</f>
        <v>Yasuhiro Ishimoto</v>
      </c>
      <c r="E980">
        <v>1950</v>
      </c>
      <c r="F980" cm="1">
        <f t="array" ref="F980">_xlfn.REGEXEXTRACT(E980,"\d{4}")*1</f>
        <v>1950</v>
      </c>
      <c r="G980" t="s">
        <v>664</v>
      </c>
      <c r="H980" t="s">
        <v>4643</v>
      </c>
      <c r="I980" t="s">
        <v>806</v>
      </c>
      <c r="J980" t="s">
        <v>1140</v>
      </c>
      <c r="K980" s="1">
        <v>42509</v>
      </c>
      <c r="L980" t="s">
        <v>4901</v>
      </c>
      <c r="M980" t="s">
        <v>4902</v>
      </c>
      <c r="N980" t="s">
        <v>6387</v>
      </c>
    </row>
    <row r="981" spans="1:14" x14ac:dyDescent="0.25">
      <c r="A981">
        <v>288409</v>
      </c>
      <c r="B981" t="s">
        <v>4898</v>
      </c>
      <c r="C981">
        <v>2834</v>
      </c>
      <c r="D981" t="str" cm="1">
        <f t="array" ref="D981">_xlfn.TEXTJOIN(",",TRUE,_xlfn.XLOOKUP(_xlfn.TEXTSPLIT(C981,",")*1,_xlfn._TRO_TRAILING(Artists!A:A),_xlfn._TRO_TRAILING(Artists!B:B)))</f>
        <v>Yasuhiro Ishimoto</v>
      </c>
      <c r="E981">
        <v>1950</v>
      </c>
      <c r="F981" cm="1">
        <f t="array" ref="F981">_xlfn.REGEXEXTRACT(E981,"\d{4}")*1</f>
        <v>1950</v>
      </c>
      <c r="G981" t="s">
        <v>664</v>
      </c>
      <c r="H981" t="s">
        <v>4643</v>
      </c>
      <c r="I981" t="s">
        <v>806</v>
      </c>
      <c r="J981" t="s">
        <v>1140</v>
      </c>
      <c r="K981" s="1">
        <v>42509</v>
      </c>
      <c r="L981" t="s">
        <v>4903</v>
      </c>
      <c r="M981" t="s">
        <v>4904</v>
      </c>
      <c r="N981" t="s">
        <v>6387</v>
      </c>
    </row>
    <row r="982" spans="1:14" x14ac:dyDescent="0.25">
      <c r="A982">
        <v>288410</v>
      </c>
      <c r="B982" t="s">
        <v>4898</v>
      </c>
      <c r="C982">
        <v>2834</v>
      </c>
      <c r="D982" t="str" cm="1">
        <f t="array" ref="D982">_xlfn.TEXTJOIN(",",TRUE,_xlfn.XLOOKUP(_xlfn.TEXTSPLIT(C982,",")*1,_xlfn._TRO_TRAILING(Artists!A:A),_xlfn._TRO_TRAILING(Artists!B:B)))</f>
        <v>Yasuhiro Ishimoto</v>
      </c>
      <c r="E982">
        <v>1950</v>
      </c>
      <c r="F982" cm="1">
        <f t="array" ref="F982">_xlfn.REGEXEXTRACT(E982,"\d{4}")*1</f>
        <v>1950</v>
      </c>
      <c r="G982" t="s">
        <v>664</v>
      </c>
      <c r="H982" t="s">
        <v>4643</v>
      </c>
      <c r="I982" t="s">
        <v>806</v>
      </c>
      <c r="J982" t="s">
        <v>1140</v>
      </c>
      <c r="K982" s="1">
        <v>42509</v>
      </c>
      <c r="L982" t="s">
        <v>4905</v>
      </c>
      <c r="M982" t="s">
        <v>4906</v>
      </c>
      <c r="N982" t="s">
        <v>6387</v>
      </c>
    </row>
    <row r="983" spans="1:14" x14ac:dyDescent="0.25">
      <c r="A983">
        <v>288411</v>
      </c>
      <c r="B983" t="s">
        <v>4898</v>
      </c>
      <c r="C983">
        <v>2834</v>
      </c>
      <c r="D983" t="str" cm="1">
        <f t="array" ref="D983">_xlfn.TEXTJOIN(",",TRUE,_xlfn.XLOOKUP(_xlfn.TEXTSPLIT(C983,",")*1,_xlfn._TRO_TRAILING(Artists!A:A),_xlfn._TRO_TRAILING(Artists!B:B)))</f>
        <v>Yasuhiro Ishimoto</v>
      </c>
      <c r="E983">
        <v>1950</v>
      </c>
      <c r="F983" cm="1">
        <f t="array" ref="F983">_xlfn.REGEXEXTRACT(E983,"\d{4}")*1</f>
        <v>1950</v>
      </c>
      <c r="G983" t="s">
        <v>664</v>
      </c>
      <c r="H983" t="s">
        <v>4643</v>
      </c>
      <c r="I983" t="s">
        <v>806</v>
      </c>
      <c r="J983" t="s">
        <v>1140</v>
      </c>
      <c r="K983" s="1">
        <v>42509</v>
      </c>
      <c r="L983" t="s">
        <v>4907</v>
      </c>
      <c r="M983" t="s">
        <v>4908</v>
      </c>
      <c r="N983" t="s">
        <v>6387</v>
      </c>
    </row>
    <row r="984" spans="1:14" x14ac:dyDescent="0.25">
      <c r="A984">
        <v>288412</v>
      </c>
      <c r="B984" t="s">
        <v>4898</v>
      </c>
      <c r="C984">
        <v>2834</v>
      </c>
      <c r="D984" t="str" cm="1">
        <f t="array" ref="D984">_xlfn.TEXTJOIN(",",TRUE,_xlfn.XLOOKUP(_xlfn.TEXTSPLIT(C984,",")*1,_xlfn._TRO_TRAILING(Artists!A:A),_xlfn._TRO_TRAILING(Artists!B:B)))</f>
        <v>Yasuhiro Ishimoto</v>
      </c>
      <c r="E984">
        <v>1950</v>
      </c>
      <c r="F984" cm="1">
        <f t="array" ref="F984">_xlfn.REGEXEXTRACT(E984,"\d{4}")*1</f>
        <v>1950</v>
      </c>
      <c r="G984" t="s">
        <v>664</v>
      </c>
      <c r="H984" t="s">
        <v>4909</v>
      </c>
      <c r="I984" t="s">
        <v>806</v>
      </c>
      <c r="J984" t="s">
        <v>1140</v>
      </c>
      <c r="K984" s="1">
        <v>42509</v>
      </c>
      <c r="L984" t="s">
        <v>4910</v>
      </c>
      <c r="M984" t="s">
        <v>4911</v>
      </c>
      <c r="N984" t="s">
        <v>6387</v>
      </c>
    </row>
    <row r="985" spans="1:14" x14ac:dyDescent="0.25">
      <c r="A985">
        <v>288413</v>
      </c>
      <c r="B985" t="s">
        <v>4898</v>
      </c>
      <c r="C985">
        <v>2834</v>
      </c>
      <c r="D985" t="str" cm="1">
        <f t="array" ref="D985">_xlfn.TEXTJOIN(",",TRUE,_xlfn.XLOOKUP(_xlfn.TEXTSPLIT(C985,",")*1,_xlfn._TRO_TRAILING(Artists!A:A),_xlfn._TRO_TRAILING(Artists!B:B)))</f>
        <v>Yasuhiro Ishimoto</v>
      </c>
      <c r="E985">
        <v>1950</v>
      </c>
      <c r="F985" cm="1">
        <f t="array" ref="F985">_xlfn.REGEXEXTRACT(E985,"\d{4}")*1</f>
        <v>1950</v>
      </c>
      <c r="G985" t="s">
        <v>664</v>
      </c>
      <c r="H985" t="s">
        <v>4909</v>
      </c>
      <c r="I985" t="s">
        <v>806</v>
      </c>
      <c r="J985" t="s">
        <v>1140</v>
      </c>
      <c r="K985" s="1">
        <v>42509</v>
      </c>
      <c r="L985" t="s">
        <v>4912</v>
      </c>
      <c r="M985" t="s">
        <v>4913</v>
      </c>
      <c r="N985" t="s">
        <v>6387</v>
      </c>
    </row>
    <row r="986" spans="1:14" x14ac:dyDescent="0.25">
      <c r="A986">
        <v>288972</v>
      </c>
      <c r="B986" t="s">
        <v>4914</v>
      </c>
      <c r="C986">
        <v>1444</v>
      </c>
      <c r="D986" t="str" cm="1">
        <f t="array" ref="D986">_xlfn.TEXTJOIN(",",TRUE,_xlfn.XLOOKUP(_xlfn.TEXTSPLIT(C986,",")*1,_xlfn._TRO_TRAILING(Artists!A:A),_xlfn._TRO_TRAILING(Artists!B:B)))</f>
        <v>Niki de Saint Phalle</v>
      </c>
      <c r="E986">
        <v>1969</v>
      </c>
      <c r="F986" cm="1">
        <f t="array" ref="F986">_xlfn.REGEXEXTRACT(E986,"\d{4}")*1</f>
        <v>1969</v>
      </c>
      <c r="G986" t="s">
        <v>900</v>
      </c>
      <c r="H986" t="s">
        <v>4915</v>
      </c>
      <c r="I986" t="s">
        <v>675</v>
      </c>
      <c r="J986" t="s">
        <v>674</v>
      </c>
      <c r="K986" s="1">
        <v>43409</v>
      </c>
      <c r="L986" t="s">
        <v>4916</v>
      </c>
      <c r="M986" t="s">
        <v>4917</v>
      </c>
      <c r="N986" t="s">
        <v>6360</v>
      </c>
    </row>
    <row r="987" spans="1:14" x14ac:dyDescent="0.25">
      <c r="A987">
        <v>289512</v>
      </c>
      <c r="B987" t="s">
        <v>4918</v>
      </c>
      <c r="C987">
        <v>31072</v>
      </c>
      <c r="D987" t="str" cm="1">
        <f t="array" ref="D987">_xlfn.TEXTJOIN(",",TRUE,_xlfn.XLOOKUP(_xlfn.TEXTSPLIT(C987,",")*1,_xlfn._TRO_TRAILING(Artists!A:A),_xlfn._TRO_TRAILING(Artists!B:B)))</f>
        <v>Krzysztof Wodiczko</v>
      </c>
      <c r="E987">
        <v>1999</v>
      </c>
      <c r="F987" cm="1">
        <f t="array" ref="F987">_xlfn.REGEXEXTRACT(E987,"\d{4}")*1</f>
        <v>1999</v>
      </c>
      <c r="G987" t="s">
        <v>4919</v>
      </c>
      <c r="H987" t="s">
        <v>4920</v>
      </c>
      <c r="I987" t="s">
        <v>675</v>
      </c>
      <c r="J987" t="s">
        <v>674</v>
      </c>
      <c r="K987" s="1">
        <v>43409</v>
      </c>
      <c r="L987" t="s">
        <v>4921</v>
      </c>
      <c r="M987" t="s">
        <v>4922</v>
      </c>
      <c r="N987" t="s">
        <v>6418</v>
      </c>
    </row>
    <row r="988" spans="1:14" x14ac:dyDescent="0.25">
      <c r="A988">
        <v>290939</v>
      </c>
      <c r="B988" t="s">
        <v>4924</v>
      </c>
      <c r="C988">
        <v>37569</v>
      </c>
      <c r="D988" t="str" cm="1">
        <f t="array" ref="D988">_xlfn.TEXTJOIN(",",TRUE,_xlfn.XLOOKUP(_xlfn.TEXTSPLIT(C988,",")*1,_xlfn._TRO_TRAILING(Artists!A:A),_xlfn._TRO_TRAILING(Artists!B:B)))</f>
        <v>Cecilia Vicuña</v>
      </c>
      <c r="E988" t="s">
        <v>4925</v>
      </c>
      <c r="F988" cm="1">
        <f t="array" ref="F988">_xlfn.REGEXEXTRACT(E988,"\d{4}")*1</f>
        <v>1978</v>
      </c>
      <c r="G988" t="s">
        <v>1034</v>
      </c>
      <c r="H988" t="s">
        <v>4926</v>
      </c>
      <c r="I988" t="s">
        <v>878</v>
      </c>
      <c r="J988" t="s">
        <v>879</v>
      </c>
      <c r="K988" s="1">
        <v>43374</v>
      </c>
      <c r="L988" t="s">
        <v>4927</v>
      </c>
      <c r="M988" t="s">
        <v>4928</v>
      </c>
      <c r="N988" t="s">
        <v>6376</v>
      </c>
    </row>
    <row r="989" spans="1:14" x14ac:dyDescent="0.25">
      <c r="A989">
        <v>291307</v>
      </c>
      <c r="B989" t="s">
        <v>4929</v>
      </c>
      <c r="C989">
        <v>8317</v>
      </c>
      <c r="D989" t="str" cm="1">
        <f t="array" ref="D989">_xlfn.TEXTJOIN(",",TRUE,_xlfn.XLOOKUP(_xlfn.TEXTSPLIT(C989,",")*1,_xlfn._TRO_TRAILING(Artists!A:A),_xlfn._TRO_TRAILING(Artists!B:B)))</f>
        <v>Remedios Varo</v>
      </c>
      <c r="E989">
        <v>1956</v>
      </c>
      <c r="F989" cm="1">
        <f t="array" ref="F989">_xlfn.REGEXEXTRACT(E989,"\d{4}")*1</f>
        <v>1956</v>
      </c>
      <c r="G989" t="s">
        <v>4931</v>
      </c>
      <c r="H989" t="s">
        <v>4932</v>
      </c>
      <c r="I989" t="s">
        <v>878</v>
      </c>
      <c r="J989" t="s">
        <v>879</v>
      </c>
      <c r="K989" s="1">
        <v>43374</v>
      </c>
      <c r="L989" t="s">
        <v>4933</v>
      </c>
      <c r="M989" t="s">
        <v>4934</v>
      </c>
      <c r="N989" t="s">
        <v>6386</v>
      </c>
    </row>
    <row r="990" spans="1:14" x14ac:dyDescent="0.25">
      <c r="A990">
        <v>292571</v>
      </c>
      <c r="B990" t="s">
        <v>4889</v>
      </c>
      <c r="C990">
        <v>46544</v>
      </c>
      <c r="D990" t="str" cm="1">
        <f t="array" ref="D990">_xlfn.TEXTJOIN(",",TRUE,_xlfn.XLOOKUP(_xlfn.TEXTSPLIT(C990,",")*1,_xlfn._TRO_TRAILING(Artists!A:A),_xlfn._TRO_TRAILING(Artists!B:B)))</f>
        <v>Ulrike Müller</v>
      </c>
      <c r="E990">
        <v>2017</v>
      </c>
      <c r="F990" cm="1">
        <f t="array" ref="F990">_xlfn.REGEXEXTRACT(E990,"\d{4}")*1</f>
        <v>2017</v>
      </c>
      <c r="G990" t="s">
        <v>4890</v>
      </c>
      <c r="H990" t="s">
        <v>1559</v>
      </c>
      <c r="I990" t="s">
        <v>878</v>
      </c>
      <c r="J990" t="s">
        <v>879</v>
      </c>
      <c r="K990" s="1">
        <v>43374</v>
      </c>
      <c r="L990" t="s">
        <v>4935</v>
      </c>
      <c r="M990" t="s">
        <v>4936</v>
      </c>
      <c r="N990" t="s">
        <v>6371</v>
      </c>
    </row>
    <row r="991" spans="1:14" x14ac:dyDescent="0.25">
      <c r="A991">
        <v>292572</v>
      </c>
      <c r="B991" t="s">
        <v>4889</v>
      </c>
      <c r="C991">
        <v>46544</v>
      </c>
      <c r="D991" t="str" cm="1">
        <f t="array" ref="D991">_xlfn.TEXTJOIN(",",TRUE,_xlfn.XLOOKUP(_xlfn.TEXTSPLIT(C991,",")*1,_xlfn._TRO_TRAILING(Artists!A:A),_xlfn._TRO_TRAILING(Artists!B:B)))</f>
        <v>Ulrike Müller</v>
      </c>
      <c r="E991">
        <v>2017</v>
      </c>
      <c r="F991" cm="1">
        <f t="array" ref="F991">_xlfn.REGEXEXTRACT(E991,"\d{4}")*1</f>
        <v>2017</v>
      </c>
      <c r="G991" t="s">
        <v>4890</v>
      </c>
      <c r="H991" t="s">
        <v>1559</v>
      </c>
      <c r="I991" t="s">
        <v>878</v>
      </c>
      <c r="J991" t="s">
        <v>879</v>
      </c>
      <c r="K991" s="1">
        <v>43374</v>
      </c>
      <c r="L991" t="s">
        <v>4937</v>
      </c>
      <c r="M991" t="s">
        <v>4938</v>
      </c>
      <c r="N991" t="s">
        <v>6371</v>
      </c>
    </row>
    <row r="992" spans="1:14" x14ac:dyDescent="0.25">
      <c r="A992">
        <v>292573</v>
      </c>
      <c r="B992" t="s">
        <v>4889</v>
      </c>
      <c r="C992">
        <v>46544</v>
      </c>
      <c r="D992" t="str" cm="1">
        <f t="array" ref="D992">_xlfn.TEXTJOIN(",",TRUE,_xlfn.XLOOKUP(_xlfn.TEXTSPLIT(C992,",")*1,_xlfn._TRO_TRAILING(Artists!A:A),_xlfn._TRO_TRAILING(Artists!B:B)))</f>
        <v>Ulrike Müller</v>
      </c>
      <c r="E992">
        <v>2017</v>
      </c>
      <c r="F992" cm="1">
        <f t="array" ref="F992">_xlfn.REGEXEXTRACT(E992,"\d{4}")*1</f>
        <v>2017</v>
      </c>
      <c r="G992" t="s">
        <v>4890</v>
      </c>
      <c r="H992" t="s">
        <v>1559</v>
      </c>
      <c r="I992" t="s">
        <v>878</v>
      </c>
      <c r="J992" t="s">
        <v>879</v>
      </c>
      <c r="K992" s="1">
        <v>43374</v>
      </c>
      <c r="L992" t="s">
        <v>4939</v>
      </c>
      <c r="M992" t="s">
        <v>4940</v>
      </c>
      <c r="N992" t="s">
        <v>6371</v>
      </c>
    </row>
    <row r="993" spans="1:14" x14ac:dyDescent="0.25">
      <c r="A993">
        <v>292574</v>
      </c>
      <c r="B993" t="s">
        <v>4889</v>
      </c>
      <c r="C993">
        <v>46544</v>
      </c>
      <c r="D993" t="str" cm="1">
        <f t="array" ref="D993">_xlfn.TEXTJOIN(",",TRUE,_xlfn.XLOOKUP(_xlfn.TEXTSPLIT(C993,",")*1,_xlfn._TRO_TRAILING(Artists!A:A),_xlfn._TRO_TRAILING(Artists!B:B)))</f>
        <v>Ulrike Müller</v>
      </c>
      <c r="E993">
        <v>2017</v>
      </c>
      <c r="F993" cm="1">
        <f t="array" ref="F993">_xlfn.REGEXEXTRACT(E993,"\d{4}")*1</f>
        <v>2017</v>
      </c>
      <c r="G993" t="s">
        <v>4890</v>
      </c>
      <c r="H993" t="s">
        <v>1559</v>
      </c>
      <c r="I993" t="s">
        <v>878</v>
      </c>
      <c r="J993" t="s">
        <v>879</v>
      </c>
      <c r="K993" s="1">
        <v>43374</v>
      </c>
      <c r="L993" t="s">
        <v>4941</v>
      </c>
      <c r="M993" t="s">
        <v>4942</v>
      </c>
      <c r="N993" t="s">
        <v>6371</v>
      </c>
    </row>
    <row r="994" spans="1:14" x14ac:dyDescent="0.25">
      <c r="A994">
        <v>292720</v>
      </c>
      <c r="B994" t="s">
        <v>4943</v>
      </c>
      <c r="C994" t="s">
        <v>81</v>
      </c>
      <c r="D994" t="str" cm="1">
        <f t="array" ref="D994">_xlfn.TEXTJOIN(",",TRUE,_xlfn.XLOOKUP(_xlfn.TEXTSPLIT(C994,",")*1,_xlfn._TRO_TRAILING(Artists!A:A),_xlfn._TRO_TRAILING(Artists!B:B)))</f>
        <v>Charles Eames,Ray Eames</v>
      </c>
      <c r="E994">
        <v>1953</v>
      </c>
      <c r="F994" cm="1">
        <f t="array" ref="F994">_xlfn.REGEXEXTRACT(E994,"\d{4}")*1</f>
        <v>1953</v>
      </c>
      <c r="G994" t="s">
        <v>4944</v>
      </c>
      <c r="H994" t="s">
        <v>4945</v>
      </c>
      <c r="I994" t="s">
        <v>95</v>
      </c>
      <c r="J994" t="s">
        <v>19</v>
      </c>
      <c r="K994" s="1">
        <v>43388</v>
      </c>
      <c r="L994" t="s">
        <v>4946</v>
      </c>
      <c r="M994" t="s">
        <v>4947</v>
      </c>
      <c r="N994" t="s">
        <v>6362</v>
      </c>
    </row>
    <row r="995" spans="1:14" x14ac:dyDescent="0.25">
      <c r="A995">
        <v>293592</v>
      </c>
      <c r="B995" s="2">
        <v>24612</v>
      </c>
      <c r="C995">
        <v>3030</v>
      </c>
      <c r="D995" t="str" cm="1">
        <f t="array" ref="D995">_xlfn.TEXTJOIN(",",TRUE,_xlfn.XLOOKUP(_xlfn.TEXTSPLIT(C995,",")*1,_xlfn._TRO_TRAILING(Artists!A:A),_xlfn._TRO_TRAILING(Artists!B:B)))</f>
        <v>On Kawara</v>
      </c>
      <c r="E995">
        <v>1967</v>
      </c>
      <c r="F995" cm="1">
        <f t="array" ref="F995">_xlfn.REGEXEXTRACT(E995,"\d{4}")*1</f>
        <v>1967</v>
      </c>
      <c r="G995" t="s">
        <v>2163</v>
      </c>
      <c r="H995" t="s">
        <v>4948</v>
      </c>
      <c r="I995" t="s">
        <v>878</v>
      </c>
      <c r="J995" t="s">
        <v>879</v>
      </c>
      <c r="K995" s="1">
        <v>43439</v>
      </c>
      <c r="L995" t="s">
        <v>4949</v>
      </c>
      <c r="M995" t="s">
        <v>4950</v>
      </c>
      <c r="N995" t="s">
        <v>6396</v>
      </c>
    </row>
    <row r="996" spans="1:14" x14ac:dyDescent="0.25">
      <c r="A996">
        <v>294325</v>
      </c>
      <c r="B996" t="s">
        <v>4252</v>
      </c>
      <c r="C996">
        <v>2171</v>
      </c>
      <c r="D996" t="str" cm="1">
        <f t="array" ref="D996">_xlfn.TEXTJOIN(",",TRUE,_xlfn.XLOOKUP(_xlfn.TEXTSPLIT(C996,",")*1,_xlfn._TRO_TRAILING(Artists!A:A),_xlfn._TRO_TRAILING(Artists!B:B)))</f>
        <v>John Giorno</v>
      </c>
      <c r="E996" t="s">
        <v>4253</v>
      </c>
      <c r="F996" cm="1">
        <f t="array" ref="F996">_xlfn.REGEXEXTRACT(E996,"\d{4}")*1</f>
        <v>1968</v>
      </c>
      <c r="G996" t="s">
        <v>4951</v>
      </c>
      <c r="H996" t="s">
        <v>481</v>
      </c>
      <c r="I996" t="s">
        <v>726</v>
      </c>
      <c r="J996" t="s">
        <v>3200</v>
      </c>
      <c r="K996" s="1">
        <v>43411</v>
      </c>
      <c r="L996" t="s">
        <v>4952</v>
      </c>
      <c r="M996" t="s">
        <v>4953</v>
      </c>
      <c r="N996" t="s">
        <v>6428</v>
      </c>
    </row>
    <row r="997" spans="1:14" x14ac:dyDescent="0.25">
      <c r="A997">
        <v>393384</v>
      </c>
      <c r="B997" t="s">
        <v>4955</v>
      </c>
      <c r="C997">
        <v>993</v>
      </c>
      <c r="D997" t="str" cm="1">
        <f t="array" ref="D997">_xlfn.TEXTJOIN(",",TRUE,_xlfn.XLOOKUP(_xlfn.TEXTSPLIT(C997,",")*1,_xlfn._TRO_TRAILING(Artists!A:A),_xlfn._TRO_TRAILING(Artists!B:B)))</f>
        <v>Leonora Carrington</v>
      </c>
      <c r="E997">
        <v>1953</v>
      </c>
      <c r="F997" cm="1">
        <f t="array" ref="F997">_xlfn.REGEXEXTRACT(E997,"\d{4}")*1</f>
        <v>1953</v>
      </c>
      <c r="G997" t="s">
        <v>1034</v>
      </c>
      <c r="H997" t="s">
        <v>4956</v>
      </c>
      <c r="I997" t="s">
        <v>878</v>
      </c>
      <c r="J997" t="s">
        <v>879</v>
      </c>
      <c r="K997" s="1">
        <v>43634</v>
      </c>
      <c r="L997" t="s">
        <v>4957</v>
      </c>
      <c r="M997" t="s">
        <v>4958</v>
      </c>
      <c r="N997" t="s">
        <v>6386</v>
      </c>
    </row>
    <row r="998" spans="1:14" x14ac:dyDescent="0.25">
      <c r="A998">
        <v>395666</v>
      </c>
      <c r="B998" t="s">
        <v>4959</v>
      </c>
      <c r="C998">
        <v>1973</v>
      </c>
      <c r="D998" t="str" cm="1">
        <f t="array" ref="D998">_xlfn.TEXTJOIN(",",TRUE,_xlfn.XLOOKUP(_xlfn.TEXTSPLIT(C998,",")*1,_xlfn._TRO_TRAILING(Artists!A:A),_xlfn._TRO_TRAILING(Artists!B:B)))</f>
        <v>Robert Frank</v>
      </c>
      <c r="E998">
        <v>1975</v>
      </c>
      <c r="F998" cm="1">
        <f t="array" ref="F998">_xlfn.REGEXEXTRACT(E998,"\d{4}")*1</f>
        <v>1975</v>
      </c>
      <c r="G998" t="s">
        <v>4960</v>
      </c>
      <c r="H998" t="s">
        <v>4961</v>
      </c>
      <c r="I998" t="s">
        <v>806</v>
      </c>
      <c r="J998" t="s">
        <v>1140</v>
      </c>
      <c r="K998" s="1">
        <v>45433</v>
      </c>
      <c r="L998" t="s">
        <v>4962</v>
      </c>
      <c r="M998" t="s">
        <v>4963</v>
      </c>
      <c r="N998" t="s">
        <v>6389</v>
      </c>
    </row>
    <row r="999" spans="1:14" x14ac:dyDescent="0.25">
      <c r="A999">
        <v>396742</v>
      </c>
      <c r="B999" t="s">
        <v>4964</v>
      </c>
      <c r="C999">
        <v>131529</v>
      </c>
      <c r="D999" t="str" cm="1">
        <f t="array" ref="D999">_xlfn.TEXTJOIN(",",TRUE,_xlfn.XLOOKUP(_xlfn.TEXTSPLIT(C999,",")*1,_xlfn._TRO_TRAILING(Artists!A:A),_xlfn._TRO_TRAILING(Artists!B:B)))</f>
        <v>Mustafa Faruki</v>
      </c>
      <c r="E999">
        <v>2017</v>
      </c>
      <c r="F999" cm="1">
        <f t="array" ref="F999">_xlfn.REGEXEXTRACT(E999,"\d{4}")*1</f>
        <v>2017</v>
      </c>
      <c r="G999" t="s">
        <v>4966</v>
      </c>
      <c r="H999" t="s">
        <v>4967</v>
      </c>
      <c r="I999" t="s">
        <v>18</v>
      </c>
      <c r="J999" t="s">
        <v>19</v>
      </c>
      <c r="K999" s="1">
        <v>43773</v>
      </c>
      <c r="L999" t="s">
        <v>4968</v>
      </c>
      <c r="M999" t="s">
        <v>4969</v>
      </c>
      <c r="N999" t="s">
        <v>6381</v>
      </c>
    </row>
    <row r="1000" spans="1:14" x14ac:dyDescent="0.25">
      <c r="A1000">
        <v>400021</v>
      </c>
      <c r="B1000" t="s">
        <v>51</v>
      </c>
      <c r="C1000">
        <v>8595</v>
      </c>
      <c r="D1000" t="str" cm="1">
        <f t="array" ref="D1000">_xlfn.TEXTJOIN(",",TRUE,_xlfn.XLOOKUP(_xlfn.TEXTSPLIT(C1000,",")*1,_xlfn._TRO_TRAILING(Artists!A:A),_xlfn._TRO_TRAILING(Artists!B:B)))</f>
        <v>Unidentified photographer</v>
      </c>
      <c r="E1000" t="s">
        <v>135</v>
      </c>
      <c r="F1000" cm="1">
        <f t="array" ref="F1000">_xlfn.REGEXEXTRACT(E1000,"\d{4}")*1</f>
        <v>1950</v>
      </c>
      <c r="G1000" t="s">
        <v>664</v>
      </c>
      <c r="H1000" t="s">
        <v>4970</v>
      </c>
      <c r="I1000" t="s">
        <v>806</v>
      </c>
      <c r="J1000" t="s">
        <v>1140</v>
      </c>
      <c r="K1000" s="1">
        <v>43781</v>
      </c>
      <c r="L1000" t="s">
        <v>4971</v>
      </c>
      <c r="M1000" t="s">
        <v>4972</v>
      </c>
      <c r="N1000" t="s">
        <v>6393</v>
      </c>
    </row>
    <row r="1001" spans="1:14" x14ac:dyDescent="0.25">
      <c r="A1001">
        <v>400023</v>
      </c>
      <c r="B1001" t="s">
        <v>51</v>
      </c>
      <c r="C1001">
        <v>8595</v>
      </c>
      <c r="D1001" t="str" cm="1">
        <f t="array" ref="D1001">_xlfn.TEXTJOIN(",",TRUE,_xlfn.XLOOKUP(_xlfn.TEXTSPLIT(C1001,",")*1,_xlfn._TRO_TRAILING(Artists!A:A),_xlfn._TRO_TRAILING(Artists!B:B)))</f>
        <v>Unidentified photographer</v>
      </c>
      <c r="E1001" t="s">
        <v>68</v>
      </c>
      <c r="F1001" cm="1">
        <f t="array" ref="F1001">_xlfn.REGEXEXTRACT(E1001,"\d{4}")*1</f>
        <v>1930</v>
      </c>
      <c r="G1001" t="s">
        <v>664</v>
      </c>
      <c r="H1001" t="s">
        <v>4973</v>
      </c>
      <c r="I1001" t="s">
        <v>806</v>
      </c>
      <c r="J1001" t="s">
        <v>1140</v>
      </c>
      <c r="K1001" s="1">
        <v>43781</v>
      </c>
      <c r="L1001" t="s">
        <v>4974</v>
      </c>
      <c r="M1001" t="s">
        <v>4975</v>
      </c>
      <c r="N1001" t="s">
        <v>6393</v>
      </c>
    </row>
    <row r="1002" spans="1:14" x14ac:dyDescent="0.25">
      <c r="A1002">
        <v>400052</v>
      </c>
      <c r="B1002" t="s">
        <v>51</v>
      </c>
      <c r="C1002">
        <v>8595</v>
      </c>
      <c r="D1002" t="str" cm="1">
        <f t="array" ref="D1002">_xlfn.TEXTJOIN(",",TRUE,_xlfn.XLOOKUP(_xlfn.TEXTSPLIT(C1002,",")*1,_xlfn._TRO_TRAILING(Artists!A:A),_xlfn._TRO_TRAILING(Artists!B:B)))</f>
        <v>Unidentified photographer</v>
      </c>
      <c r="E1002" t="s">
        <v>161</v>
      </c>
      <c r="F1002" cm="1">
        <f t="array" ref="F1002">_xlfn.REGEXEXTRACT(E1002,"\d{4}")*1</f>
        <v>1945</v>
      </c>
      <c r="G1002" t="s">
        <v>664</v>
      </c>
      <c r="H1002" t="s">
        <v>4976</v>
      </c>
      <c r="I1002" t="s">
        <v>806</v>
      </c>
      <c r="J1002" t="s">
        <v>1140</v>
      </c>
      <c r="K1002" s="1">
        <v>43781</v>
      </c>
      <c r="L1002" t="s">
        <v>4977</v>
      </c>
      <c r="M1002" t="s">
        <v>4978</v>
      </c>
      <c r="N1002" t="s">
        <v>6393</v>
      </c>
    </row>
    <row r="1003" spans="1:14" x14ac:dyDescent="0.25">
      <c r="A1003">
        <v>400159</v>
      </c>
      <c r="B1003" t="s">
        <v>51</v>
      </c>
      <c r="C1003">
        <v>8595</v>
      </c>
      <c r="D1003" t="str" cm="1">
        <f t="array" ref="D1003">_xlfn.TEXTJOIN(",",TRUE,_xlfn.XLOOKUP(_xlfn.TEXTSPLIT(C1003,",")*1,_xlfn._TRO_TRAILING(Artists!A:A),_xlfn._TRO_TRAILING(Artists!B:B)))</f>
        <v>Unidentified photographer</v>
      </c>
      <c r="E1003" t="s">
        <v>184</v>
      </c>
      <c r="F1003" cm="1">
        <f t="array" ref="F1003">_xlfn.REGEXEXTRACT(E1003,"\d{4}")*1</f>
        <v>1920</v>
      </c>
      <c r="G1003" t="s">
        <v>664</v>
      </c>
      <c r="H1003" t="s">
        <v>4979</v>
      </c>
      <c r="I1003" t="s">
        <v>806</v>
      </c>
      <c r="J1003" t="s">
        <v>1140</v>
      </c>
      <c r="K1003" s="1">
        <v>43781</v>
      </c>
      <c r="L1003" t="s">
        <v>4980</v>
      </c>
      <c r="M1003" t="s">
        <v>4981</v>
      </c>
      <c r="N1003" t="s">
        <v>6393</v>
      </c>
    </row>
    <row r="1004" spans="1:14" x14ac:dyDescent="0.25">
      <c r="A1004">
        <v>400216</v>
      </c>
      <c r="B1004" t="s">
        <v>51</v>
      </c>
      <c r="C1004">
        <v>8595</v>
      </c>
      <c r="D1004" t="str" cm="1">
        <f t="array" ref="D1004">_xlfn.TEXTJOIN(",",TRUE,_xlfn.XLOOKUP(_xlfn.TEXTSPLIT(C1004,",")*1,_xlfn._TRO_TRAILING(Artists!A:A),_xlfn._TRO_TRAILING(Artists!B:B)))</f>
        <v>Unidentified photographer</v>
      </c>
      <c r="E1004">
        <v>1889</v>
      </c>
      <c r="F1004" cm="1">
        <f t="array" ref="F1004">_xlfn.REGEXEXTRACT(E1004,"\d{4}")*1</f>
        <v>1889</v>
      </c>
      <c r="G1004" t="s">
        <v>4954</v>
      </c>
      <c r="H1004" t="s">
        <v>4982</v>
      </c>
      <c r="I1004" t="s">
        <v>806</v>
      </c>
      <c r="J1004" t="s">
        <v>1140</v>
      </c>
      <c r="K1004" s="1">
        <v>43781</v>
      </c>
      <c r="L1004" t="s">
        <v>4983</v>
      </c>
      <c r="M1004" t="s">
        <v>4984</v>
      </c>
      <c r="N1004" t="s">
        <v>6393</v>
      </c>
    </row>
    <row r="1005" spans="1:14" x14ac:dyDescent="0.25">
      <c r="A1005">
        <v>400218</v>
      </c>
      <c r="B1005" t="s">
        <v>51</v>
      </c>
      <c r="C1005">
        <v>8595</v>
      </c>
      <c r="D1005" t="str" cm="1">
        <f t="array" ref="D1005">_xlfn.TEXTJOIN(",",TRUE,_xlfn.XLOOKUP(_xlfn.TEXTSPLIT(C1005,",")*1,_xlfn._TRO_TRAILING(Artists!A:A),_xlfn._TRO_TRAILING(Artists!B:B)))</f>
        <v>Unidentified photographer</v>
      </c>
      <c r="E1005">
        <v>1889</v>
      </c>
      <c r="F1005" cm="1">
        <f t="array" ref="F1005">_xlfn.REGEXEXTRACT(E1005,"\d{4}")*1</f>
        <v>1889</v>
      </c>
      <c r="G1005" t="s">
        <v>4954</v>
      </c>
      <c r="H1005" t="s">
        <v>4985</v>
      </c>
      <c r="I1005" t="s">
        <v>806</v>
      </c>
      <c r="J1005" t="s">
        <v>1140</v>
      </c>
      <c r="K1005" s="1">
        <v>43781</v>
      </c>
      <c r="L1005" t="s">
        <v>4986</v>
      </c>
      <c r="M1005" t="s">
        <v>4987</v>
      </c>
      <c r="N1005" t="s">
        <v>6393</v>
      </c>
    </row>
    <row r="1006" spans="1:14" x14ac:dyDescent="0.25">
      <c r="A1006">
        <v>400219</v>
      </c>
      <c r="B1006" t="s">
        <v>51</v>
      </c>
      <c r="C1006">
        <v>8595</v>
      </c>
      <c r="D1006" t="str" cm="1">
        <f t="array" ref="D1006">_xlfn.TEXTJOIN(",",TRUE,_xlfn.XLOOKUP(_xlfn.TEXTSPLIT(C1006,",")*1,_xlfn._TRO_TRAILING(Artists!A:A),_xlfn._TRO_TRAILING(Artists!B:B)))</f>
        <v>Unidentified photographer</v>
      </c>
      <c r="E1006">
        <v>1889</v>
      </c>
      <c r="F1006" cm="1">
        <f t="array" ref="F1006">_xlfn.REGEXEXTRACT(E1006,"\d{4}")*1</f>
        <v>1889</v>
      </c>
      <c r="G1006" t="s">
        <v>4954</v>
      </c>
      <c r="H1006" t="s">
        <v>4985</v>
      </c>
      <c r="I1006" t="s">
        <v>806</v>
      </c>
      <c r="J1006" t="s">
        <v>1140</v>
      </c>
      <c r="K1006" s="1">
        <v>43781</v>
      </c>
      <c r="L1006" t="s">
        <v>4988</v>
      </c>
      <c r="M1006" t="s">
        <v>4989</v>
      </c>
      <c r="N1006" t="s">
        <v>6393</v>
      </c>
    </row>
    <row r="1007" spans="1:14" x14ac:dyDescent="0.25">
      <c r="A1007">
        <v>400220</v>
      </c>
      <c r="B1007" t="s">
        <v>51</v>
      </c>
      <c r="C1007">
        <v>8595</v>
      </c>
      <c r="D1007" t="str" cm="1">
        <f t="array" ref="D1007">_xlfn.TEXTJOIN(",",TRUE,_xlfn.XLOOKUP(_xlfn.TEXTSPLIT(C1007,",")*1,_xlfn._TRO_TRAILING(Artists!A:A),_xlfn._TRO_TRAILING(Artists!B:B)))</f>
        <v>Unidentified photographer</v>
      </c>
      <c r="E1007">
        <v>1889</v>
      </c>
      <c r="F1007" cm="1">
        <f t="array" ref="F1007">_xlfn.REGEXEXTRACT(E1007,"\d{4}")*1</f>
        <v>1889</v>
      </c>
      <c r="G1007" t="s">
        <v>4954</v>
      </c>
      <c r="H1007" t="s">
        <v>4985</v>
      </c>
      <c r="I1007" t="s">
        <v>806</v>
      </c>
      <c r="J1007" t="s">
        <v>1140</v>
      </c>
      <c r="K1007" s="1">
        <v>43781</v>
      </c>
      <c r="L1007" t="s">
        <v>4990</v>
      </c>
      <c r="M1007" t="s">
        <v>4991</v>
      </c>
      <c r="N1007" t="s">
        <v>6393</v>
      </c>
    </row>
    <row r="1008" spans="1:14" x14ac:dyDescent="0.25">
      <c r="A1008">
        <v>400223</v>
      </c>
      <c r="B1008" t="s">
        <v>51</v>
      </c>
      <c r="C1008">
        <v>8595</v>
      </c>
      <c r="D1008" t="str" cm="1">
        <f t="array" ref="D1008">_xlfn.TEXTJOIN(",",TRUE,_xlfn.XLOOKUP(_xlfn.TEXTSPLIT(C1008,",")*1,_xlfn._TRO_TRAILING(Artists!A:A),_xlfn._TRO_TRAILING(Artists!B:B)))</f>
        <v>Unidentified photographer</v>
      </c>
      <c r="E1008">
        <v>1889</v>
      </c>
      <c r="F1008" cm="1">
        <f t="array" ref="F1008">_xlfn.REGEXEXTRACT(E1008,"\d{4}")*1</f>
        <v>1889</v>
      </c>
      <c r="G1008" t="s">
        <v>4954</v>
      </c>
      <c r="H1008" t="s">
        <v>4985</v>
      </c>
      <c r="I1008" t="s">
        <v>806</v>
      </c>
      <c r="J1008" t="s">
        <v>1140</v>
      </c>
      <c r="K1008" s="1">
        <v>43781</v>
      </c>
      <c r="L1008" t="s">
        <v>4992</v>
      </c>
      <c r="M1008" t="s">
        <v>4993</v>
      </c>
      <c r="N1008" t="s">
        <v>6393</v>
      </c>
    </row>
    <row r="1009" spans="1:14" x14ac:dyDescent="0.25">
      <c r="A1009">
        <v>400225</v>
      </c>
      <c r="B1009" t="s">
        <v>51</v>
      </c>
      <c r="C1009">
        <v>8595</v>
      </c>
      <c r="D1009" t="str" cm="1">
        <f t="array" ref="D1009">_xlfn.TEXTJOIN(",",TRUE,_xlfn.XLOOKUP(_xlfn.TEXTSPLIT(C1009,",")*1,_xlfn._TRO_TRAILING(Artists!A:A),_xlfn._TRO_TRAILING(Artists!B:B)))</f>
        <v>Unidentified photographer</v>
      </c>
      <c r="E1009">
        <v>1889</v>
      </c>
      <c r="F1009" cm="1">
        <f t="array" ref="F1009">_xlfn.REGEXEXTRACT(E1009,"\d{4}")*1</f>
        <v>1889</v>
      </c>
      <c r="G1009" t="s">
        <v>4954</v>
      </c>
      <c r="H1009" t="s">
        <v>4985</v>
      </c>
      <c r="I1009" t="s">
        <v>806</v>
      </c>
      <c r="J1009" t="s">
        <v>1140</v>
      </c>
      <c r="K1009" s="1">
        <v>43781</v>
      </c>
      <c r="L1009" t="s">
        <v>4994</v>
      </c>
      <c r="M1009" t="s">
        <v>4995</v>
      </c>
      <c r="N1009" t="s">
        <v>6393</v>
      </c>
    </row>
    <row r="1010" spans="1:14" x14ac:dyDescent="0.25">
      <c r="A1010">
        <v>400226</v>
      </c>
      <c r="B1010" t="s">
        <v>51</v>
      </c>
      <c r="C1010">
        <v>8595</v>
      </c>
      <c r="D1010" t="str" cm="1">
        <f t="array" ref="D1010">_xlfn.TEXTJOIN(",",TRUE,_xlfn.XLOOKUP(_xlfn.TEXTSPLIT(C1010,",")*1,_xlfn._TRO_TRAILING(Artists!A:A),_xlfn._TRO_TRAILING(Artists!B:B)))</f>
        <v>Unidentified photographer</v>
      </c>
      <c r="E1010">
        <v>1889</v>
      </c>
      <c r="F1010" cm="1">
        <f t="array" ref="F1010">_xlfn.REGEXEXTRACT(E1010,"\d{4}")*1</f>
        <v>1889</v>
      </c>
      <c r="G1010" t="s">
        <v>4954</v>
      </c>
      <c r="H1010" t="s">
        <v>4985</v>
      </c>
      <c r="I1010" t="s">
        <v>806</v>
      </c>
      <c r="J1010" t="s">
        <v>1140</v>
      </c>
      <c r="K1010" s="1">
        <v>43781</v>
      </c>
      <c r="L1010" t="s">
        <v>4996</v>
      </c>
      <c r="M1010" t="s">
        <v>4997</v>
      </c>
      <c r="N1010" t="s">
        <v>6393</v>
      </c>
    </row>
    <row r="1011" spans="1:14" x14ac:dyDescent="0.25">
      <c r="A1011">
        <v>400228</v>
      </c>
      <c r="B1011" t="s">
        <v>51</v>
      </c>
      <c r="C1011">
        <v>8595</v>
      </c>
      <c r="D1011" t="str" cm="1">
        <f t="array" ref="D1011">_xlfn.TEXTJOIN(",",TRUE,_xlfn.XLOOKUP(_xlfn.TEXTSPLIT(C1011,",")*1,_xlfn._TRO_TRAILING(Artists!A:A),_xlfn._TRO_TRAILING(Artists!B:B)))</f>
        <v>Unidentified photographer</v>
      </c>
      <c r="E1011">
        <v>1889</v>
      </c>
      <c r="F1011" cm="1">
        <f t="array" ref="F1011">_xlfn.REGEXEXTRACT(E1011,"\d{4}")*1</f>
        <v>1889</v>
      </c>
      <c r="G1011" t="s">
        <v>4954</v>
      </c>
      <c r="H1011" t="s">
        <v>4998</v>
      </c>
      <c r="I1011" t="s">
        <v>806</v>
      </c>
      <c r="J1011" t="s">
        <v>1140</v>
      </c>
      <c r="K1011" s="1">
        <v>43781</v>
      </c>
      <c r="L1011" t="s">
        <v>4999</v>
      </c>
      <c r="M1011" t="s">
        <v>5000</v>
      </c>
      <c r="N1011" t="s">
        <v>6393</v>
      </c>
    </row>
    <row r="1012" spans="1:14" x14ac:dyDescent="0.25">
      <c r="A1012">
        <v>400229</v>
      </c>
      <c r="B1012" t="s">
        <v>51</v>
      </c>
      <c r="C1012">
        <v>8595</v>
      </c>
      <c r="D1012" t="str" cm="1">
        <f t="array" ref="D1012">_xlfn.TEXTJOIN(",",TRUE,_xlfn.XLOOKUP(_xlfn.TEXTSPLIT(C1012,",")*1,_xlfn._TRO_TRAILING(Artists!A:A),_xlfn._TRO_TRAILING(Artists!B:B)))</f>
        <v>Unidentified photographer</v>
      </c>
      <c r="E1012">
        <v>1889</v>
      </c>
      <c r="F1012" cm="1">
        <f t="array" ref="F1012">_xlfn.REGEXEXTRACT(E1012,"\d{4}")*1</f>
        <v>1889</v>
      </c>
      <c r="G1012" t="s">
        <v>4954</v>
      </c>
      <c r="H1012" t="s">
        <v>4998</v>
      </c>
      <c r="I1012" t="s">
        <v>806</v>
      </c>
      <c r="J1012" t="s">
        <v>1140</v>
      </c>
      <c r="K1012" s="1">
        <v>43781</v>
      </c>
      <c r="L1012" t="s">
        <v>5001</v>
      </c>
      <c r="M1012" t="s">
        <v>5002</v>
      </c>
      <c r="N1012" t="s">
        <v>6393</v>
      </c>
    </row>
    <row r="1013" spans="1:14" x14ac:dyDescent="0.25">
      <c r="A1013">
        <v>401235</v>
      </c>
      <c r="B1013" t="s">
        <v>5003</v>
      </c>
      <c r="C1013" t="s">
        <v>5004</v>
      </c>
      <c r="D1013" t="str" cm="1">
        <f t="array" ref="D1013">_xlfn.TEXTJOIN(",",TRUE,_xlfn.XLOOKUP(_xlfn.TEXTSPLIT(C1013,",")*1,_xlfn._TRO_TRAILING(Artists!A:A),_xlfn._TRO_TRAILING(Artists!B:B)))</f>
        <v>Anthony Romani,Henry M. Childrey,Samuel H. Bundles Jr.</v>
      </c>
      <c r="E1013" t="s">
        <v>5005</v>
      </c>
      <c r="F1013" cm="1">
        <f t="array" ref="F1013">_xlfn.REGEXEXTRACT(E1013,"\d{4}")*1</f>
        <v>1972</v>
      </c>
      <c r="G1013" t="s">
        <v>5006</v>
      </c>
      <c r="H1013" t="s">
        <v>5007</v>
      </c>
      <c r="I1013" t="s">
        <v>95</v>
      </c>
      <c r="J1013" t="s">
        <v>19</v>
      </c>
      <c r="K1013" s="1">
        <v>43773</v>
      </c>
      <c r="L1013" t="s">
        <v>5008</v>
      </c>
      <c r="M1013" t="s">
        <v>5009</v>
      </c>
      <c r="N1013" t="s">
        <v>6362</v>
      </c>
    </row>
    <row r="1014" spans="1:14" x14ac:dyDescent="0.25">
      <c r="A1014">
        <v>401429</v>
      </c>
      <c r="B1014" t="s">
        <v>5010</v>
      </c>
      <c r="C1014" t="s">
        <v>5011</v>
      </c>
      <c r="D1014" t="str" cm="1">
        <f t="array" ref="D1014">_xlfn.TEXTJOIN(",",TRUE,_xlfn.XLOOKUP(_xlfn.TEXTSPLIT(C1014,",")*1,_xlfn._TRO_TRAILING(Artists!A:A),_xlfn._TRO_TRAILING(Artists!B:B)))</f>
        <v>Atelier Luma / Luma Arles,Eric Klarenbeek,Maartje Dros,Studio Klarenbeek &amp; Dros</v>
      </c>
      <c r="E1014">
        <v>2019</v>
      </c>
      <c r="F1014" cm="1">
        <f t="array" ref="F1014">_xlfn.REGEXEXTRACT(E1014,"\d{4}")*1</f>
        <v>2019</v>
      </c>
      <c r="G1014" t="s">
        <v>5012</v>
      </c>
      <c r="H1014" t="s">
        <v>5013</v>
      </c>
      <c r="I1014" t="s">
        <v>95</v>
      </c>
      <c r="J1014" t="s">
        <v>19</v>
      </c>
      <c r="K1014" s="1">
        <v>43773</v>
      </c>
      <c r="L1014" t="s">
        <v>5014</v>
      </c>
      <c r="M1014" t="s">
        <v>5015</v>
      </c>
      <c r="N1014" t="s">
        <v>6362</v>
      </c>
    </row>
    <row r="1015" spans="1:14" x14ac:dyDescent="0.25">
      <c r="A1015">
        <v>401490</v>
      </c>
      <c r="B1015" t="s">
        <v>353</v>
      </c>
      <c r="C1015">
        <v>131916</v>
      </c>
      <c r="D1015" t="str" cm="1">
        <f t="array" ref="D1015">_xlfn.TEXTJOIN(",",TRUE,_xlfn.XLOOKUP(_xlfn.TEXTSPLIT(C1015,",")*1,_xlfn._TRO_TRAILING(Artists!A:A),_xlfn._TRO_TRAILING(Artists!B:B)))</f>
        <v>Yente (Eugenia Crenovich)</v>
      </c>
      <c r="E1015">
        <v>1946</v>
      </c>
      <c r="F1015" cm="1">
        <f t="array" ref="F1015">_xlfn.REGEXEXTRACT(E1015,"\d{4}")*1</f>
        <v>1946</v>
      </c>
      <c r="G1015" t="s">
        <v>2910</v>
      </c>
      <c r="H1015" t="s">
        <v>5017</v>
      </c>
      <c r="I1015" t="s">
        <v>2248</v>
      </c>
      <c r="J1015" t="s">
        <v>879</v>
      </c>
      <c r="K1015" s="1">
        <v>43808</v>
      </c>
      <c r="L1015" t="s">
        <v>5018</v>
      </c>
      <c r="M1015" t="s">
        <v>5019</v>
      </c>
      <c r="N1015" t="s">
        <v>6399</v>
      </c>
    </row>
    <row r="1016" spans="1:14" x14ac:dyDescent="0.25">
      <c r="A1016">
        <v>401491</v>
      </c>
      <c r="B1016" t="s">
        <v>5020</v>
      </c>
      <c r="C1016">
        <v>131916</v>
      </c>
      <c r="D1016" t="str" cm="1">
        <f t="array" ref="D1016">_xlfn.TEXTJOIN(",",TRUE,_xlfn.XLOOKUP(_xlfn.TEXTSPLIT(C1016,",")*1,_xlfn._TRO_TRAILING(Artists!A:A),_xlfn._TRO_TRAILING(Artists!B:B)))</f>
        <v>Yente (Eugenia Crenovich)</v>
      </c>
      <c r="E1016">
        <v>1958</v>
      </c>
      <c r="F1016" cm="1">
        <f t="array" ref="F1016">_xlfn.REGEXEXTRACT(E1016,"\d{4}")*1</f>
        <v>1958</v>
      </c>
      <c r="G1016" t="s">
        <v>5021</v>
      </c>
      <c r="H1016" t="s">
        <v>5022</v>
      </c>
      <c r="I1016" t="s">
        <v>878</v>
      </c>
      <c r="J1016" t="s">
        <v>879</v>
      </c>
      <c r="K1016" s="1">
        <v>43808</v>
      </c>
      <c r="L1016" t="s">
        <v>5023</v>
      </c>
      <c r="M1016" t="s">
        <v>5024</v>
      </c>
      <c r="N1016" t="s">
        <v>6400</v>
      </c>
    </row>
    <row r="1017" spans="1:14" x14ac:dyDescent="0.25">
      <c r="A1017">
        <v>402420</v>
      </c>
      <c r="B1017" t="s">
        <v>1627</v>
      </c>
      <c r="C1017">
        <v>131958</v>
      </c>
      <c r="D1017" t="str" cm="1">
        <f t="array" ref="D1017">_xlfn.TEXTJOIN(",",TRUE,_xlfn.XLOOKUP(_xlfn.TEXTSPLIT(C1017,",")*1,_xlfn._TRO_TRAILING(Artists!A:A),_xlfn._TRO_TRAILING(Artists!B:B)))</f>
        <v>Tsuruko Yamazaki</v>
      </c>
      <c r="E1017">
        <v>1957</v>
      </c>
      <c r="F1017" cm="1">
        <f t="array" ref="F1017">_xlfn.REGEXEXTRACT(E1017,"\d{4}")*1</f>
        <v>1957</v>
      </c>
      <c r="G1017" t="s">
        <v>5027</v>
      </c>
      <c r="H1017" t="s">
        <v>5028</v>
      </c>
      <c r="I1017" t="s">
        <v>878</v>
      </c>
      <c r="J1017" t="s">
        <v>879</v>
      </c>
      <c r="K1017" s="1">
        <v>43808</v>
      </c>
      <c r="L1017" t="s">
        <v>5029</v>
      </c>
      <c r="M1017" t="s">
        <v>5030</v>
      </c>
      <c r="N1017" t="s">
        <v>6407</v>
      </c>
    </row>
    <row r="1018" spans="1:14" x14ac:dyDescent="0.25">
      <c r="A1018">
        <v>402559</v>
      </c>
      <c r="B1018" t="s">
        <v>5031</v>
      </c>
      <c r="C1018">
        <v>71841</v>
      </c>
      <c r="D1018" t="str" cm="1">
        <f t="array" ref="D1018">_xlfn.TEXTJOIN(",",TRUE,_xlfn.XLOOKUP(_xlfn.TEXTSPLIT(C1018,",")*1,_xlfn._TRO_TRAILING(Artists!A:A),_xlfn._TRO_TRAILING(Artists!B:B)))</f>
        <v>Mary Kelly</v>
      </c>
      <c r="E1018" t="s">
        <v>5033</v>
      </c>
      <c r="F1018" cm="1">
        <f t="array" ref="F1018">_xlfn.REGEXEXTRACT(E1018,"\d{4}")*1</f>
        <v>1976</v>
      </c>
      <c r="G1018" t="s">
        <v>5034</v>
      </c>
      <c r="H1018" t="s">
        <v>5035</v>
      </c>
      <c r="I1018" t="s">
        <v>726</v>
      </c>
      <c r="J1018" t="s">
        <v>879</v>
      </c>
      <c r="K1018" s="1">
        <v>43808</v>
      </c>
      <c r="L1018" t="s">
        <v>5036</v>
      </c>
      <c r="M1018" t="s">
        <v>5037</v>
      </c>
      <c r="N1018" t="s">
        <v>6376</v>
      </c>
    </row>
    <row r="1019" spans="1:14" x14ac:dyDescent="0.25">
      <c r="A1019">
        <v>403501</v>
      </c>
      <c r="B1019" t="s">
        <v>5038</v>
      </c>
      <c r="C1019" t="s">
        <v>5039</v>
      </c>
      <c r="D1019" t="str" cm="1">
        <f t="array" ref="D1019">_xlfn.TEXTJOIN(",",TRUE,_xlfn.XLOOKUP(_xlfn.TEXTSPLIT(C1019,",")*1,_xlfn._TRO_TRAILING(Artists!A:A),_xlfn._TRO_TRAILING(Artists!B:B)))</f>
        <v>Coco Fusco,Paula Heredia</v>
      </c>
      <c r="E1019">
        <v>1993</v>
      </c>
      <c r="F1019" cm="1">
        <f t="array" ref="F1019">_xlfn.REGEXEXTRACT(E1019,"\d{4}")*1</f>
        <v>1993</v>
      </c>
      <c r="G1019" t="s">
        <v>3945</v>
      </c>
      <c r="H1019" t="s">
        <v>4025</v>
      </c>
      <c r="I1019" t="s">
        <v>1626</v>
      </c>
      <c r="J1019" t="s">
        <v>3200</v>
      </c>
      <c r="K1019" s="1">
        <v>44147</v>
      </c>
      <c r="L1019" t="s">
        <v>5040</v>
      </c>
      <c r="M1019" t="s">
        <v>5041</v>
      </c>
      <c r="N1019" t="s">
        <v>6427</v>
      </c>
    </row>
    <row r="1020" spans="1:14" x14ac:dyDescent="0.25">
      <c r="A1020">
        <v>403712</v>
      </c>
      <c r="B1020" t="s">
        <v>5043</v>
      </c>
      <c r="C1020">
        <v>5806</v>
      </c>
      <c r="D1020" t="str" cm="1">
        <f t="array" ref="D1020">_xlfn.TEXTJOIN(",",TRUE,_xlfn.XLOOKUP(_xlfn.TEXTSPLIT(C1020,",")*1,_xlfn._TRO_TRAILING(Artists!A:A),_xlfn._TRO_TRAILING(Artists!B:B)))</f>
        <v>Dorothea Tanning</v>
      </c>
      <c r="E1020">
        <v>1978</v>
      </c>
      <c r="F1020" cm="1">
        <f t="array" ref="F1020">_xlfn.REGEXEXTRACT(E1020,"\d{4}")*1</f>
        <v>1978</v>
      </c>
      <c r="G1020" t="s">
        <v>1034</v>
      </c>
      <c r="H1020" t="s">
        <v>5044</v>
      </c>
      <c r="I1020" t="s">
        <v>878</v>
      </c>
      <c r="J1020" t="s">
        <v>879</v>
      </c>
      <c r="K1020" s="1">
        <v>43808</v>
      </c>
      <c r="L1020" t="s">
        <v>5045</v>
      </c>
      <c r="M1020" t="s">
        <v>5046</v>
      </c>
      <c r="N1020" t="s">
        <v>6397</v>
      </c>
    </row>
    <row r="1021" spans="1:14" x14ac:dyDescent="0.25">
      <c r="A1021">
        <v>404136</v>
      </c>
      <c r="B1021" t="s">
        <v>5047</v>
      </c>
      <c r="C1021">
        <v>71206</v>
      </c>
      <c r="D1021" t="str" cm="1">
        <f t="array" ref="D1021">_xlfn.TEXTJOIN(",",TRUE,_xlfn.XLOOKUP(_xlfn.TEXTSPLIT(C1021,",")*1,_xlfn._TRO_TRAILING(Artists!A:A),_xlfn._TRO_TRAILING(Artists!B:B)))</f>
        <v>Coco Fusco</v>
      </c>
      <c r="E1021">
        <v>2012</v>
      </c>
      <c r="F1021" cm="1">
        <f t="array" ref="F1021">_xlfn.REGEXEXTRACT(E1021,"\d{4}")*1</f>
        <v>2012</v>
      </c>
      <c r="G1021" t="s">
        <v>5049</v>
      </c>
      <c r="H1021" t="s">
        <v>5050</v>
      </c>
      <c r="I1021" t="s">
        <v>29</v>
      </c>
      <c r="J1021" t="s">
        <v>3200</v>
      </c>
      <c r="K1021" s="1">
        <v>44147</v>
      </c>
      <c r="L1021" t="s">
        <v>5051</v>
      </c>
      <c r="M1021" t="s">
        <v>5052</v>
      </c>
      <c r="N1021" t="s">
        <v>6427</v>
      </c>
    </row>
    <row r="1022" spans="1:14" x14ac:dyDescent="0.25">
      <c r="A1022">
        <v>404767</v>
      </c>
      <c r="B1022" t="s">
        <v>5053</v>
      </c>
      <c r="C1022">
        <v>76665</v>
      </c>
      <c r="D1022" t="str" cm="1">
        <f t="array" ref="D1022">_xlfn.TEXTJOIN(",",TRUE,_xlfn.XLOOKUP(_xlfn.TEXTSPLIT(C1022,",")*1,_xlfn._TRO_TRAILING(Artists!A:A),_xlfn._TRO_TRAILING(Artists!B:B)))</f>
        <v>General Motors Corporation, Detroit, MI</v>
      </c>
      <c r="E1022" t="s">
        <v>128</v>
      </c>
      <c r="F1022" cm="1">
        <f t="array" ref="F1022">_xlfn.REGEXEXTRACT(E1022,"\d{4}")*1</f>
        <v>1950</v>
      </c>
      <c r="G1022" t="s">
        <v>274</v>
      </c>
      <c r="H1022" t="s">
        <v>5055</v>
      </c>
      <c r="I1022" t="s">
        <v>95</v>
      </c>
      <c r="J1022" t="s">
        <v>19</v>
      </c>
      <c r="K1022" s="1">
        <v>44151</v>
      </c>
      <c r="L1022" t="s">
        <v>5056</v>
      </c>
      <c r="M1022" t="s">
        <v>5057</v>
      </c>
      <c r="N1022" t="s">
        <v>6360</v>
      </c>
    </row>
    <row r="1023" spans="1:14" x14ac:dyDescent="0.25">
      <c r="A1023">
        <v>406456</v>
      </c>
      <c r="B1023" t="s">
        <v>5058</v>
      </c>
      <c r="C1023">
        <v>4416</v>
      </c>
      <c r="D1023" t="str" cm="1">
        <f t="array" ref="D1023">_xlfn.TEXTJOIN(",",TRUE,_xlfn.XLOOKUP(_xlfn.TEXTSPLIT(C1023,",")*1,_xlfn._TRO_TRAILING(Artists!A:A),_xlfn._TRO_TRAILING(Artists!B:B)))</f>
        <v>Meret Oppenheim</v>
      </c>
      <c r="E1023">
        <v>1934</v>
      </c>
      <c r="F1023" cm="1">
        <f t="array" ref="F1023">_xlfn.REGEXEXTRACT(E1023,"\d{4}")*1</f>
        <v>1934</v>
      </c>
      <c r="G1023" t="s">
        <v>1034</v>
      </c>
      <c r="H1023" t="s">
        <v>5059</v>
      </c>
      <c r="I1023" t="s">
        <v>878</v>
      </c>
      <c r="J1023" t="s">
        <v>879</v>
      </c>
      <c r="L1023" t="s">
        <v>5060</v>
      </c>
      <c r="M1023" t="s">
        <v>5061</v>
      </c>
      <c r="N1023" t="s">
        <v>6386</v>
      </c>
    </row>
    <row r="1024" spans="1:14" x14ac:dyDescent="0.25">
      <c r="A1024">
        <v>407377</v>
      </c>
      <c r="B1024" t="s">
        <v>5062</v>
      </c>
      <c r="C1024">
        <v>8195</v>
      </c>
      <c r="D1024" t="str" cm="1">
        <f t="array" ref="D1024">_xlfn.TEXTJOIN(",",TRUE,_xlfn.XLOOKUP(_xlfn.TEXTSPLIT(C1024,",")*1,_xlfn._TRO_TRAILING(Artists!A:A),_xlfn._TRO_TRAILING(Artists!B:B)))</f>
        <v>Claude Cahun (Lucy Schwob)</v>
      </c>
      <c r="E1024" t="s">
        <v>42</v>
      </c>
      <c r="F1024" cm="1">
        <f t="array" ref="F1024">_xlfn.REGEXEXTRACT(E1024,"\d{4}")*1</f>
        <v>1929</v>
      </c>
      <c r="G1024" t="s">
        <v>664</v>
      </c>
      <c r="H1024" t="s">
        <v>4642</v>
      </c>
      <c r="I1024" t="s">
        <v>806</v>
      </c>
      <c r="J1024" t="s">
        <v>1140</v>
      </c>
      <c r="K1024" s="1">
        <v>43991</v>
      </c>
      <c r="L1024" t="s">
        <v>5063</v>
      </c>
      <c r="M1024" t="s">
        <v>5064</v>
      </c>
      <c r="N1024" t="s">
        <v>6376</v>
      </c>
    </row>
    <row r="1025" spans="1:14" x14ac:dyDescent="0.25">
      <c r="A1025">
        <v>407382</v>
      </c>
      <c r="B1025" t="s">
        <v>5065</v>
      </c>
      <c r="C1025">
        <v>6916</v>
      </c>
      <c r="D1025" t="str" cm="1">
        <f t="array" ref="D1025">_xlfn.TEXTJOIN(",",TRUE,_xlfn.XLOOKUP(_xlfn.TEXTSPLIT(C1025,",")*1,_xlfn._TRO_TRAILING(Artists!A:A),_xlfn._TRO_TRAILING(Artists!B:B)))</f>
        <v>Kati Horna</v>
      </c>
      <c r="E1025" t="s">
        <v>59</v>
      </c>
      <c r="F1025" cm="1">
        <f t="array" ref="F1025">_xlfn.REGEXEXTRACT(E1025,"\d{4}")*1</f>
        <v>1938</v>
      </c>
      <c r="G1025" t="s">
        <v>664</v>
      </c>
      <c r="H1025" t="s">
        <v>5066</v>
      </c>
      <c r="I1025" t="s">
        <v>806</v>
      </c>
      <c r="J1025" t="s">
        <v>1140</v>
      </c>
      <c r="K1025" s="1">
        <v>43991</v>
      </c>
      <c r="L1025" t="s">
        <v>5067</v>
      </c>
      <c r="M1025" t="s">
        <v>5068</v>
      </c>
      <c r="N1025" t="s">
        <v>6386</v>
      </c>
    </row>
    <row r="1026" spans="1:14" x14ac:dyDescent="0.25">
      <c r="A1026">
        <v>416126</v>
      </c>
      <c r="B1026" t="s">
        <v>5069</v>
      </c>
      <c r="C1026" t="s">
        <v>5070</v>
      </c>
      <c r="D1026" t="str" cm="1">
        <f t="array" ref="D1026">_xlfn.TEXTJOIN(",",TRUE,_xlfn.XLOOKUP(_xlfn.TEXTSPLIT(C1026,",")*1,_xlfn._TRO_TRAILING(Artists!A:A),_xlfn._TRO_TRAILING(Artists!B:B)))</f>
        <v>Li Hu,Huang Wenjing</v>
      </c>
      <c r="E1026" t="s">
        <v>5071</v>
      </c>
      <c r="F1026" cm="1">
        <f t="array" ref="F1026">_xlfn.REGEXEXTRACT(E1026,"\d{4}")*1</f>
        <v>2015</v>
      </c>
      <c r="G1026" t="s">
        <v>5072</v>
      </c>
      <c r="H1026" t="s">
        <v>5073</v>
      </c>
      <c r="I1026" t="s">
        <v>18</v>
      </c>
      <c r="J1026" t="s">
        <v>19</v>
      </c>
      <c r="K1026" s="1">
        <v>44151</v>
      </c>
      <c r="L1026" t="s">
        <v>5074</v>
      </c>
      <c r="M1026" t="s">
        <v>5075</v>
      </c>
      <c r="N1026" t="s">
        <v>6381</v>
      </c>
    </row>
    <row r="1027" spans="1:14" x14ac:dyDescent="0.25">
      <c r="A1027">
        <v>416198</v>
      </c>
      <c r="B1027" t="s">
        <v>5077</v>
      </c>
      <c r="C1027" t="s">
        <v>5070</v>
      </c>
      <c r="D1027" t="str" cm="1">
        <f t="array" ref="D1027">_xlfn.TEXTJOIN(",",TRUE,_xlfn.XLOOKUP(_xlfn.TEXTSPLIT(C1027,",")*1,_xlfn._TRO_TRAILING(Artists!A:A),_xlfn._TRO_TRAILING(Artists!B:B)))</f>
        <v>Li Hu,Huang Wenjing</v>
      </c>
      <c r="E1027" t="s">
        <v>5078</v>
      </c>
      <c r="F1027" cm="1">
        <f t="array" ref="F1027">_xlfn.REGEXEXTRACT(E1027,"\d{4}")*1</f>
        <v>2015</v>
      </c>
      <c r="G1027" t="s">
        <v>27</v>
      </c>
      <c r="H1027" t="s">
        <v>5079</v>
      </c>
      <c r="I1027" t="s">
        <v>18</v>
      </c>
      <c r="J1027" t="s">
        <v>19</v>
      </c>
      <c r="K1027" s="1">
        <v>44151</v>
      </c>
      <c r="L1027" t="s">
        <v>5080</v>
      </c>
      <c r="M1027" t="s">
        <v>5081</v>
      </c>
      <c r="N1027" t="s">
        <v>6381</v>
      </c>
    </row>
    <row r="1028" spans="1:14" x14ac:dyDescent="0.25">
      <c r="A1028">
        <v>416199</v>
      </c>
      <c r="B1028" t="s">
        <v>5082</v>
      </c>
      <c r="C1028" t="s">
        <v>5070</v>
      </c>
      <c r="D1028" t="str" cm="1">
        <f t="array" ref="D1028">_xlfn.TEXTJOIN(",",TRUE,_xlfn.XLOOKUP(_xlfn.TEXTSPLIT(C1028,",")*1,_xlfn._TRO_TRAILING(Artists!A:A),_xlfn._TRO_TRAILING(Artists!B:B)))</f>
        <v>Li Hu,Huang Wenjing</v>
      </c>
      <c r="E1028" t="s">
        <v>5071</v>
      </c>
      <c r="F1028" cm="1">
        <f t="array" ref="F1028">_xlfn.REGEXEXTRACT(E1028,"\d{4}")*1</f>
        <v>2015</v>
      </c>
      <c r="G1028" t="s">
        <v>5076</v>
      </c>
      <c r="I1028" t="s">
        <v>18</v>
      </c>
      <c r="J1028" t="s">
        <v>19</v>
      </c>
      <c r="K1028" s="1">
        <v>44151</v>
      </c>
      <c r="L1028" t="s">
        <v>5083</v>
      </c>
      <c r="M1028" t="s">
        <v>5084</v>
      </c>
      <c r="N1028" t="s">
        <v>6381</v>
      </c>
    </row>
    <row r="1029" spans="1:14" x14ac:dyDescent="0.25">
      <c r="A1029">
        <v>416200</v>
      </c>
      <c r="B1029" t="s">
        <v>5085</v>
      </c>
      <c r="C1029" t="s">
        <v>5070</v>
      </c>
      <c r="D1029" t="str" cm="1">
        <f t="array" ref="D1029">_xlfn.TEXTJOIN(",",TRUE,_xlfn.XLOOKUP(_xlfn.TEXTSPLIT(C1029,",")*1,_xlfn._TRO_TRAILING(Artists!A:A),_xlfn._TRO_TRAILING(Artists!B:B)))</f>
        <v>Li Hu,Huang Wenjing</v>
      </c>
      <c r="E1029" t="s">
        <v>5071</v>
      </c>
      <c r="F1029" cm="1">
        <f t="array" ref="F1029">_xlfn.REGEXEXTRACT(E1029,"\d{4}")*1</f>
        <v>2015</v>
      </c>
      <c r="G1029" t="s">
        <v>5076</v>
      </c>
      <c r="I1029" t="s">
        <v>18</v>
      </c>
      <c r="J1029" t="s">
        <v>19</v>
      </c>
      <c r="K1029" s="1">
        <v>44151</v>
      </c>
      <c r="L1029" t="s">
        <v>5086</v>
      </c>
      <c r="M1029" t="s">
        <v>5087</v>
      </c>
      <c r="N1029" t="s">
        <v>6381</v>
      </c>
    </row>
    <row r="1030" spans="1:14" x14ac:dyDescent="0.25">
      <c r="A1030">
        <v>416201</v>
      </c>
      <c r="B1030" t="s">
        <v>5088</v>
      </c>
      <c r="C1030" t="s">
        <v>5070</v>
      </c>
      <c r="D1030" t="str" cm="1">
        <f t="array" ref="D1030">_xlfn.TEXTJOIN(",",TRUE,_xlfn.XLOOKUP(_xlfn.TEXTSPLIT(C1030,",")*1,_xlfn._TRO_TRAILING(Artists!A:A),_xlfn._TRO_TRAILING(Artists!B:B)))</f>
        <v>Li Hu,Huang Wenjing</v>
      </c>
      <c r="E1030" t="s">
        <v>5071</v>
      </c>
      <c r="F1030" cm="1">
        <f t="array" ref="F1030">_xlfn.REGEXEXTRACT(E1030,"\d{4}")*1</f>
        <v>2015</v>
      </c>
      <c r="G1030" t="s">
        <v>5076</v>
      </c>
      <c r="I1030" t="s">
        <v>18</v>
      </c>
      <c r="J1030" t="s">
        <v>19</v>
      </c>
      <c r="K1030" s="1">
        <v>44151</v>
      </c>
      <c r="L1030" t="s">
        <v>5089</v>
      </c>
      <c r="M1030" t="s">
        <v>5090</v>
      </c>
      <c r="N1030" t="s">
        <v>6381</v>
      </c>
    </row>
    <row r="1031" spans="1:14" x14ac:dyDescent="0.25">
      <c r="A1031">
        <v>416202</v>
      </c>
      <c r="B1031" t="s">
        <v>5091</v>
      </c>
      <c r="C1031" t="s">
        <v>5070</v>
      </c>
      <c r="D1031" t="str" cm="1">
        <f t="array" ref="D1031">_xlfn.TEXTJOIN(",",TRUE,_xlfn.XLOOKUP(_xlfn.TEXTSPLIT(C1031,",")*1,_xlfn._TRO_TRAILING(Artists!A:A),_xlfn._TRO_TRAILING(Artists!B:B)))</f>
        <v>Li Hu,Huang Wenjing</v>
      </c>
      <c r="E1031" t="s">
        <v>5071</v>
      </c>
      <c r="F1031" cm="1">
        <f t="array" ref="F1031">_xlfn.REGEXEXTRACT(E1031,"\d{4}")*1</f>
        <v>2015</v>
      </c>
      <c r="G1031" t="s">
        <v>5076</v>
      </c>
      <c r="I1031" t="s">
        <v>18</v>
      </c>
      <c r="J1031" t="s">
        <v>19</v>
      </c>
      <c r="K1031" s="1">
        <v>44151</v>
      </c>
      <c r="L1031" t="s">
        <v>5092</v>
      </c>
      <c r="M1031" t="s">
        <v>5093</v>
      </c>
      <c r="N1031" t="s">
        <v>6381</v>
      </c>
    </row>
    <row r="1032" spans="1:14" x14ac:dyDescent="0.25">
      <c r="A1032">
        <v>416204</v>
      </c>
      <c r="B1032" t="s">
        <v>5094</v>
      </c>
      <c r="C1032" t="s">
        <v>5070</v>
      </c>
      <c r="D1032" t="str" cm="1">
        <f t="array" ref="D1032">_xlfn.TEXTJOIN(",",TRUE,_xlfn.XLOOKUP(_xlfn.TEXTSPLIT(C1032,",")*1,_xlfn._TRO_TRAILING(Artists!A:A),_xlfn._TRO_TRAILING(Artists!B:B)))</f>
        <v>Li Hu,Huang Wenjing</v>
      </c>
      <c r="E1032" t="s">
        <v>5071</v>
      </c>
      <c r="F1032" cm="1">
        <f t="array" ref="F1032">_xlfn.REGEXEXTRACT(E1032,"\d{4}")*1</f>
        <v>2015</v>
      </c>
      <c r="G1032" t="s">
        <v>5076</v>
      </c>
      <c r="I1032" t="s">
        <v>18</v>
      </c>
      <c r="J1032" t="s">
        <v>19</v>
      </c>
      <c r="K1032" s="1">
        <v>44151</v>
      </c>
      <c r="L1032" t="s">
        <v>5095</v>
      </c>
      <c r="M1032" t="s">
        <v>5096</v>
      </c>
      <c r="N1032" t="s">
        <v>6381</v>
      </c>
    </row>
    <row r="1033" spans="1:14" x14ac:dyDescent="0.25">
      <c r="A1033">
        <v>416206</v>
      </c>
      <c r="B1033" t="s">
        <v>5077</v>
      </c>
      <c r="C1033" t="s">
        <v>5070</v>
      </c>
      <c r="D1033" t="str" cm="1">
        <f t="array" ref="D1033">_xlfn.TEXTJOIN(",",TRUE,_xlfn.XLOOKUP(_xlfn.TEXTSPLIT(C1033,",")*1,_xlfn._TRO_TRAILING(Artists!A:A),_xlfn._TRO_TRAILING(Artists!B:B)))</f>
        <v>Li Hu,Huang Wenjing</v>
      </c>
      <c r="E1033" t="s">
        <v>5071</v>
      </c>
      <c r="F1033" cm="1">
        <f t="array" ref="F1033">_xlfn.REGEXEXTRACT(E1033,"\d{4}")*1</f>
        <v>2015</v>
      </c>
      <c r="G1033" t="s">
        <v>4856</v>
      </c>
      <c r="I1033" t="s">
        <v>18</v>
      </c>
      <c r="J1033" t="s">
        <v>19</v>
      </c>
      <c r="K1033" s="1">
        <v>44151</v>
      </c>
      <c r="L1033" t="s">
        <v>5097</v>
      </c>
      <c r="M1033" t="s">
        <v>5098</v>
      </c>
      <c r="N1033" t="s">
        <v>6381</v>
      </c>
    </row>
    <row r="1034" spans="1:14" x14ac:dyDescent="0.25">
      <c r="A1034">
        <v>416207</v>
      </c>
      <c r="B1034" t="s">
        <v>5077</v>
      </c>
      <c r="C1034" t="s">
        <v>5099</v>
      </c>
      <c r="D1034" t="str" cm="1">
        <f t="array" ref="D1034">_xlfn.TEXTJOIN(",",TRUE,_xlfn.XLOOKUP(_xlfn.TEXTSPLIT(C1034,",")*1,_xlfn._TRO_TRAILING(Artists!A:A),_xlfn._TRO_TRAILING(Artists!B:B)))</f>
        <v>Li Hu,Huang Wenjing,Wu Qingshan</v>
      </c>
      <c r="E1034" t="s">
        <v>5071</v>
      </c>
      <c r="F1034" cm="1">
        <f t="array" ref="F1034">_xlfn.REGEXEXTRACT(E1034,"\d{4}")*1</f>
        <v>2015</v>
      </c>
      <c r="G1034" t="s">
        <v>4856</v>
      </c>
      <c r="I1034" t="s">
        <v>18</v>
      </c>
      <c r="J1034" t="s">
        <v>19</v>
      </c>
      <c r="K1034" s="1">
        <v>44151</v>
      </c>
      <c r="L1034" t="s">
        <v>5100</v>
      </c>
      <c r="M1034" t="s">
        <v>5101</v>
      </c>
      <c r="N1034" t="s">
        <v>6381</v>
      </c>
    </row>
    <row r="1035" spans="1:14" x14ac:dyDescent="0.25">
      <c r="A1035">
        <v>416208</v>
      </c>
      <c r="B1035" t="s">
        <v>5077</v>
      </c>
      <c r="C1035" t="s">
        <v>5102</v>
      </c>
      <c r="D1035" t="str" cm="1">
        <f t="array" ref="D1035">_xlfn.TEXTJOIN(",",TRUE,_xlfn.XLOOKUP(_xlfn.TEXTSPLIT(C1035,",")*1,_xlfn._TRO_TRAILING(Artists!A:A),_xlfn._TRO_TRAILING(Artists!B:B)))</f>
        <v>Li Hu,Huang Wenjing,Zaiye Studio</v>
      </c>
      <c r="E1035" t="s">
        <v>5071</v>
      </c>
      <c r="F1035" cm="1">
        <f t="array" ref="F1035">_xlfn.REGEXEXTRACT(E1035,"\d{4}")*1</f>
        <v>2015</v>
      </c>
      <c r="G1035" t="s">
        <v>4856</v>
      </c>
      <c r="I1035" t="s">
        <v>18</v>
      </c>
      <c r="J1035" t="s">
        <v>19</v>
      </c>
      <c r="K1035" s="1">
        <v>44151</v>
      </c>
      <c r="L1035" t="s">
        <v>5103</v>
      </c>
      <c r="M1035" t="s">
        <v>5104</v>
      </c>
      <c r="N1035" t="s">
        <v>6381</v>
      </c>
    </row>
    <row r="1036" spans="1:14" x14ac:dyDescent="0.25">
      <c r="A1036">
        <v>417637</v>
      </c>
      <c r="B1036" t="s">
        <v>51</v>
      </c>
      <c r="C1036">
        <v>132947</v>
      </c>
      <c r="D1036" t="str" cm="1">
        <f t="array" ref="D1036">_xlfn.TEXTJOIN(",",TRUE,_xlfn.XLOOKUP(_xlfn.TEXTSPLIT(C1036,",")*1,_xlfn._TRO_TRAILING(Artists!A:A),_xlfn._TRO_TRAILING(Artists!B:B)))</f>
        <v>Kamala Ibrahim Ishag</v>
      </c>
      <c r="E1036" t="s">
        <v>5106</v>
      </c>
      <c r="F1036" cm="1">
        <f t="array" ref="F1036">_xlfn.REGEXEXTRACT(E1036,"\d{4}")*1</f>
        <v>1980</v>
      </c>
      <c r="G1036" t="s">
        <v>1034</v>
      </c>
      <c r="H1036" t="s">
        <v>5107</v>
      </c>
      <c r="I1036" t="s">
        <v>878</v>
      </c>
      <c r="J1036" t="s">
        <v>879</v>
      </c>
      <c r="K1036" s="1">
        <v>44235</v>
      </c>
      <c r="L1036" t="s">
        <v>5108</v>
      </c>
      <c r="M1036" t="s">
        <v>5109</v>
      </c>
      <c r="N1036" t="s">
        <v>6397</v>
      </c>
    </row>
    <row r="1037" spans="1:14" x14ac:dyDescent="0.25">
      <c r="A1037">
        <v>419075</v>
      </c>
      <c r="B1037" t="s">
        <v>5110</v>
      </c>
      <c r="C1037">
        <v>75669</v>
      </c>
      <c r="D1037" t="str" cm="1">
        <f t="array" ref="D1037">_xlfn.TEXTJOIN(",",TRUE,_xlfn.XLOOKUP(_xlfn.TEXTSPLIT(C1037,",")*1,_xlfn._TRO_TRAILING(Artists!A:A),_xlfn._TRO_TRAILING(Artists!B:B)))</f>
        <v>Sable Elyse Smith</v>
      </c>
      <c r="E1037">
        <v>2020</v>
      </c>
      <c r="F1037" cm="1">
        <f t="array" ref="F1037">_xlfn.REGEXEXTRACT(E1037,"\d{4}")*1</f>
        <v>2020</v>
      </c>
      <c r="G1037" t="s">
        <v>5112</v>
      </c>
      <c r="H1037" t="s">
        <v>5113</v>
      </c>
      <c r="I1037" t="s">
        <v>675</v>
      </c>
      <c r="J1037" t="s">
        <v>674</v>
      </c>
      <c r="K1037" s="1">
        <v>44174</v>
      </c>
      <c r="L1037" t="s">
        <v>5114</v>
      </c>
      <c r="M1037" t="s">
        <v>5115</v>
      </c>
      <c r="N1037" t="s">
        <v>6414</v>
      </c>
    </row>
    <row r="1038" spans="1:14" x14ac:dyDescent="0.25">
      <c r="A1038">
        <v>419076</v>
      </c>
      <c r="B1038" t="s">
        <v>5116</v>
      </c>
      <c r="C1038">
        <v>75669</v>
      </c>
      <c r="D1038" t="str" cm="1">
        <f t="array" ref="D1038">_xlfn.TEXTJOIN(",",TRUE,_xlfn.XLOOKUP(_xlfn.TEXTSPLIT(C1038,",")*1,_xlfn._TRO_TRAILING(Artists!A:A),_xlfn._TRO_TRAILING(Artists!B:B)))</f>
        <v>Sable Elyse Smith</v>
      </c>
      <c r="E1038">
        <v>2020</v>
      </c>
      <c r="F1038" cm="1">
        <f t="array" ref="F1038">_xlfn.REGEXEXTRACT(E1038,"\d{4}")*1</f>
        <v>2020</v>
      </c>
      <c r="G1038" t="s">
        <v>5112</v>
      </c>
      <c r="H1038" t="s">
        <v>5113</v>
      </c>
      <c r="I1038" t="s">
        <v>675</v>
      </c>
      <c r="J1038" t="s">
        <v>674</v>
      </c>
      <c r="K1038" s="1">
        <v>44174</v>
      </c>
      <c r="L1038" t="s">
        <v>5117</v>
      </c>
      <c r="M1038" t="s">
        <v>5118</v>
      </c>
      <c r="N1038" t="s">
        <v>6414</v>
      </c>
    </row>
    <row r="1039" spans="1:14" x14ac:dyDescent="0.25">
      <c r="A1039">
        <v>419623</v>
      </c>
      <c r="B1039" t="s">
        <v>5120</v>
      </c>
      <c r="C1039">
        <v>3048</v>
      </c>
      <c r="D1039" t="str" cm="1">
        <f t="array" ref="D1039">_xlfn.TEXTJOIN(",",TRUE,_xlfn.XLOOKUP(_xlfn.TEXTSPLIT(C1039,",")*1,_xlfn._TRO_TRAILING(Artists!A:A),_xlfn._TRO_TRAILING(Artists!B:B)))</f>
        <v>Ellsworth Kelly</v>
      </c>
      <c r="E1039" t="s">
        <v>2557</v>
      </c>
      <c r="F1039" cm="1">
        <f t="array" ref="F1039">_xlfn.REGEXEXTRACT(E1039,"\d{4}")*1</f>
        <v>1954</v>
      </c>
      <c r="G1039" t="s">
        <v>5121</v>
      </c>
      <c r="H1039" t="s">
        <v>5122</v>
      </c>
      <c r="I1039" t="s">
        <v>4129</v>
      </c>
      <c r="J1039" t="s">
        <v>674</v>
      </c>
      <c r="K1039" s="1">
        <v>44174</v>
      </c>
      <c r="L1039" t="s">
        <v>5123</v>
      </c>
      <c r="M1039" t="s">
        <v>5124</v>
      </c>
      <c r="N1039" t="s">
        <v>6363</v>
      </c>
    </row>
    <row r="1040" spans="1:14" x14ac:dyDescent="0.25">
      <c r="A1040">
        <v>419624</v>
      </c>
      <c r="B1040" t="s">
        <v>5125</v>
      </c>
      <c r="C1040">
        <v>3048</v>
      </c>
      <c r="D1040" t="str" cm="1">
        <f t="array" ref="D1040">_xlfn.TEXTJOIN(",",TRUE,_xlfn.XLOOKUP(_xlfn.TEXTSPLIT(C1040,",")*1,_xlfn._TRO_TRAILING(Artists!A:A),_xlfn._TRO_TRAILING(Artists!B:B)))</f>
        <v>Ellsworth Kelly</v>
      </c>
      <c r="E1040" t="s">
        <v>93</v>
      </c>
      <c r="F1040" cm="1">
        <f t="array" ref="F1040">_xlfn.REGEXEXTRACT(E1040,"\d{4}")*1</f>
        <v>1954</v>
      </c>
      <c r="G1040" t="s">
        <v>5126</v>
      </c>
      <c r="H1040" t="s">
        <v>5127</v>
      </c>
      <c r="I1040" t="s">
        <v>4129</v>
      </c>
      <c r="J1040" t="s">
        <v>674</v>
      </c>
      <c r="K1040" s="1">
        <v>44174</v>
      </c>
      <c r="L1040" t="s">
        <v>5128</v>
      </c>
      <c r="M1040" t="s">
        <v>5129</v>
      </c>
      <c r="N1040" t="s">
        <v>6363</v>
      </c>
    </row>
    <row r="1041" spans="1:14" x14ac:dyDescent="0.25">
      <c r="A1041">
        <v>419626</v>
      </c>
      <c r="B1041" t="s">
        <v>5130</v>
      </c>
      <c r="C1041">
        <v>3048</v>
      </c>
      <c r="D1041" t="str" cm="1">
        <f t="array" ref="D1041">_xlfn.TEXTJOIN(",",TRUE,_xlfn.XLOOKUP(_xlfn.TEXTSPLIT(C1041,",")*1,_xlfn._TRO_TRAILING(Artists!A:A),_xlfn._TRO_TRAILING(Artists!B:B)))</f>
        <v>Ellsworth Kelly</v>
      </c>
      <c r="E1041" t="s">
        <v>432</v>
      </c>
      <c r="F1041" cm="1">
        <f t="array" ref="F1041">_xlfn.REGEXEXTRACT(E1041,"\d{4}")*1</f>
        <v>1959</v>
      </c>
      <c r="G1041" t="s">
        <v>5119</v>
      </c>
      <c r="H1041" t="s">
        <v>5131</v>
      </c>
      <c r="I1041" t="s">
        <v>4129</v>
      </c>
      <c r="J1041" t="s">
        <v>674</v>
      </c>
      <c r="K1041" s="1">
        <v>44174</v>
      </c>
      <c r="L1041" t="s">
        <v>5132</v>
      </c>
      <c r="M1041" t="s">
        <v>5133</v>
      </c>
      <c r="N1041" t="s">
        <v>6363</v>
      </c>
    </row>
    <row r="1042" spans="1:14" x14ac:dyDescent="0.25">
      <c r="A1042">
        <v>420263</v>
      </c>
      <c r="B1042" t="s">
        <v>5134</v>
      </c>
      <c r="C1042">
        <v>133146</v>
      </c>
      <c r="D1042" t="str" cm="1">
        <f t="array" ref="D1042">_xlfn.TEXTJOIN(",",TRUE,_xlfn.XLOOKUP(_xlfn.TEXTSPLIT(C1042,",")*1,_xlfn._TRO_TRAILING(Artists!A:A),_xlfn._TRO_TRAILING(Artists!B:B)))</f>
        <v>T.C. Cannon</v>
      </c>
      <c r="E1042" t="s">
        <v>4159</v>
      </c>
      <c r="F1042" cm="1">
        <f t="array" ref="F1042">_xlfn.REGEXEXTRACT(E1042,"\d{4}")*1</f>
        <v>1973</v>
      </c>
      <c r="G1042" t="s">
        <v>3968</v>
      </c>
      <c r="H1042" t="s">
        <v>5136</v>
      </c>
      <c r="I1042" t="s">
        <v>878</v>
      </c>
      <c r="J1042" t="s">
        <v>879</v>
      </c>
      <c r="K1042" s="1">
        <v>44172</v>
      </c>
      <c r="L1042" t="s">
        <v>5137</v>
      </c>
      <c r="M1042" t="s">
        <v>5138</v>
      </c>
      <c r="N1042" t="s">
        <v>6414</v>
      </c>
    </row>
    <row r="1043" spans="1:14" x14ac:dyDescent="0.25">
      <c r="A1043">
        <v>420267</v>
      </c>
      <c r="B1043" t="s">
        <v>5139</v>
      </c>
      <c r="C1043">
        <v>132947</v>
      </c>
      <c r="D1043" t="str" cm="1">
        <f t="array" ref="D1043">_xlfn.TEXTJOIN(",",TRUE,_xlfn.XLOOKUP(_xlfn.TEXTSPLIT(C1043,",")*1,_xlfn._TRO_TRAILING(Artists!A:A),_xlfn._TRO_TRAILING(Artists!B:B)))</f>
        <v>Kamala Ibrahim Ishag</v>
      </c>
      <c r="E1043" t="s">
        <v>248</v>
      </c>
      <c r="F1043" cm="1">
        <f t="array" ref="F1043">_xlfn.REGEXEXTRACT(E1043,"\d{4}")*1</f>
        <v>1970</v>
      </c>
      <c r="G1043" t="s">
        <v>30</v>
      </c>
      <c r="H1043" t="s">
        <v>5140</v>
      </c>
      <c r="I1043" t="s">
        <v>675</v>
      </c>
      <c r="J1043" t="s">
        <v>674</v>
      </c>
      <c r="K1043" s="1">
        <v>44237</v>
      </c>
      <c r="L1043" t="s">
        <v>5141</v>
      </c>
      <c r="M1043" t="s">
        <v>5142</v>
      </c>
      <c r="N1043" t="s">
        <v>6376</v>
      </c>
    </row>
    <row r="1044" spans="1:14" x14ac:dyDescent="0.25">
      <c r="A1044">
        <v>420268</v>
      </c>
      <c r="B1044" t="s">
        <v>5139</v>
      </c>
      <c r="C1044">
        <v>132947</v>
      </c>
      <c r="D1044" t="str" cm="1">
        <f t="array" ref="D1044">_xlfn.TEXTJOIN(",",TRUE,_xlfn.XLOOKUP(_xlfn.TEXTSPLIT(C1044,",")*1,_xlfn._TRO_TRAILING(Artists!A:A),_xlfn._TRO_TRAILING(Artists!B:B)))</f>
        <v>Kamala Ibrahim Ishag</v>
      </c>
      <c r="E1044" t="s">
        <v>248</v>
      </c>
      <c r="F1044" cm="1">
        <f t="array" ref="F1044">_xlfn.REGEXEXTRACT(E1044,"\d{4}")*1</f>
        <v>1970</v>
      </c>
      <c r="G1044" t="s">
        <v>30</v>
      </c>
      <c r="H1044" t="s">
        <v>5143</v>
      </c>
      <c r="I1044" t="s">
        <v>675</v>
      </c>
      <c r="J1044" t="s">
        <v>674</v>
      </c>
      <c r="K1044" s="1">
        <v>44237</v>
      </c>
      <c r="L1044" t="s">
        <v>5144</v>
      </c>
      <c r="M1044" t="s">
        <v>5145</v>
      </c>
      <c r="N1044" t="s">
        <v>6376</v>
      </c>
    </row>
    <row r="1045" spans="1:14" x14ac:dyDescent="0.25">
      <c r="A1045">
        <v>420269</v>
      </c>
      <c r="B1045" t="s">
        <v>5146</v>
      </c>
      <c r="C1045">
        <v>132947</v>
      </c>
      <c r="D1045" t="str" cm="1">
        <f t="array" ref="D1045">_xlfn.TEXTJOIN(",",TRUE,_xlfn.XLOOKUP(_xlfn.TEXTSPLIT(C1045,",")*1,_xlfn._TRO_TRAILING(Artists!A:A),_xlfn._TRO_TRAILING(Artists!B:B)))</f>
        <v>Kamala Ibrahim Ishag</v>
      </c>
      <c r="E1045">
        <v>1972</v>
      </c>
      <c r="F1045" cm="1">
        <f t="array" ref="F1045">_xlfn.REGEXEXTRACT(E1045,"\d{4}")*1</f>
        <v>1972</v>
      </c>
      <c r="G1045" t="s">
        <v>30</v>
      </c>
      <c r="H1045" t="s">
        <v>4482</v>
      </c>
      <c r="I1045" t="s">
        <v>675</v>
      </c>
      <c r="J1045" t="s">
        <v>674</v>
      </c>
      <c r="K1045" s="1">
        <v>44237</v>
      </c>
      <c r="L1045" t="s">
        <v>5147</v>
      </c>
      <c r="M1045" t="s">
        <v>5148</v>
      </c>
      <c r="N1045" t="s">
        <v>6376</v>
      </c>
    </row>
    <row r="1046" spans="1:14" x14ac:dyDescent="0.25">
      <c r="A1046">
        <v>420270</v>
      </c>
      <c r="B1046" t="s">
        <v>5149</v>
      </c>
      <c r="C1046">
        <v>132947</v>
      </c>
      <c r="D1046" t="str" cm="1">
        <f t="array" ref="D1046">_xlfn.TEXTJOIN(",",TRUE,_xlfn.XLOOKUP(_xlfn.TEXTSPLIT(C1046,",")*1,_xlfn._TRO_TRAILING(Artists!A:A),_xlfn._TRO_TRAILING(Artists!B:B)))</f>
        <v>Kamala Ibrahim Ishag</v>
      </c>
      <c r="E1046">
        <v>1972</v>
      </c>
      <c r="F1046" cm="1">
        <f t="array" ref="F1046">_xlfn.REGEXEXTRACT(E1046,"\d{4}")*1</f>
        <v>1972</v>
      </c>
      <c r="G1046" t="s">
        <v>30</v>
      </c>
      <c r="H1046" t="s">
        <v>4482</v>
      </c>
      <c r="I1046" t="s">
        <v>675</v>
      </c>
      <c r="J1046" t="s">
        <v>674</v>
      </c>
      <c r="K1046" s="1">
        <v>44237</v>
      </c>
      <c r="L1046" t="s">
        <v>5150</v>
      </c>
      <c r="M1046" t="s">
        <v>5151</v>
      </c>
      <c r="N1046" t="s">
        <v>6376</v>
      </c>
    </row>
    <row r="1047" spans="1:14" x14ac:dyDescent="0.25">
      <c r="A1047">
        <v>420271</v>
      </c>
      <c r="B1047" t="s">
        <v>5139</v>
      </c>
      <c r="C1047">
        <v>132947</v>
      </c>
      <c r="D1047" t="str" cm="1">
        <f t="array" ref="D1047">_xlfn.TEXTJOIN(",",TRUE,_xlfn.XLOOKUP(_xlfn.TEXTSPLIT(C1047,",")*1,_xlfn._TRO_TRAILING(Artists!A:A),_xlfn._TRO_TRAILING(Artists!B:B)))</f>
        <v>Kamala Ibrahim Ishag</v>
      </c>
      <c r="E1047" t="s">
        <v>248</v>
      </c>
      <c r="F1047" cm="1">
        <f t="array" ref="F1047">_xlfn.REGEXEXTRACT(E1047,"\d{4}")*1</f>
        <v>1970</v>
      </c>
      <c r="G1047" t="s">
        <v>30</v>
      </c>
      <c r="H1047" t="s">
        <v>4482</v>
      </c>
      <c r="I1047" t="s">
        <v>675</v>
      </c>
      <c r="J1047" t="s">
        <v>674</v>
      </c>
      <c r="K1047" s="1">
        <v>44237</v>
      </c>
      <c r="L1047" t="s">
        <v>5152</v>
      </c>
      <c r="M1047" t="s">
        <v>5153</v>
      </c>
      <c r="N1047" t="s">
        <v>6376</v>
      </c>
    </row>
    <row r="1048" spans="1:14" x14ac:dyDescent="0.25">
      <c r="A1048">
        <v>420272</v>
      </c>
      <c r="B1048" t="s">
        <v>5149</v>
      </c>
      <c r="C1048">
        <v>132947</v>
      </c>
      <c r="D1048" t="str" cm="1">
        <f t="array" ref="D1048">_xlfn.TEXTJOIN(",",TRUE,_xlfn.XLOOKUP(_xlfn.TEXTSPLIT(C1048,",")*1,_xlfn._TRO_TRAILING(Artists!A:A),_xlfn._TRO_TRAILING(Artists!B:B)))</f>
        <v>Kamala Ibrahim Ishag</v>
      </c>
      <c r="E1048">
        <v>1972</v>
      </c>
      <c r="F1048" cm="1">
        <f t="array" ref="F1048">_xlfn.REGEXEXTRACT(E1048,"\d{4}")*1</f>
        <v>1972</v>
      </c>
      <c r="G1048" t="s">
        <v>30</v>
      </c>
      <c r="H1048" t="s">
        <v>4482</v>
      </c>
      <c r="I1048" t="s">
        <v>675</v>
      </c>
      <c r="J1048" t="s">
        <v>674</v>
      </c>
      <c r="K1048" s="1">
        <v>44237</v>
      </c>
      <c r="L1048" t="s">
        <v>5154</v>
      </c>
      <c r="M1048" t="s">
        <v>5155</v>
      </c>
      <c r="N1048" t="s">
        <v>6376</v>
      </c>
    </row>
    <row r="1049" spans="1:14" x14ac:dyDescent="0.25">
      <c r="A1049">
        <v>420273</v>
      </c>
      <c r="B1049" t="s">
        <v>5139</v>
      </c>
      <c r="C1049">
        <v>132947</v>
      </c>
      <c r="D1049" t="str" cm="1">
        <f t="array" ref="D1049">_xlfn.TEXTJOIN(",",TRUE,_xlfn.XLOOKUP(_xlfn.TEXTSPLIT(C1049,",")*1,_xlfn._TRO_TRAILING(Artists!A:A),_xlfn._TRO_TRAILING(Artists!B:B)))</f>
        <v>Kamala Ibrahim Ishag</v>
      </c>
      <c r="E1049" t="s">
        <v>248</v>
      </c>
      <c r="F1049" cm="1">
        <f t="array" ref="F1049">_xlfn.REGEXEXTRACT(E1049,"\d{4}")*1</f>
        <v>1970</v>
      </c>
      <c r="G1049" t="s">
        <v>30</v>
      </c>
      <c r="H1049" t="s">
        <v>5140</v>
      </c>
      <c r="I1049" t="s">
        <v>675</v>
      </c>
      <c r="J1049" t="s">
        <v>674</v>
      </c>
      <c r="K1049" s="1">
        <v>44237</v>
      </c>
      <c r="L1049" t="s">
        <v>5156</v>
      </c>
      <c r="M1049" t="s">
        <v>5157</v>
      </c>
      <c r="N1049" t="s">
        <v>6376</v>
      </c>
    </row>
    <row r="1050" spans="1:14" x14ac:dyDescent="0.25">
      <c r="A1050">
        <v>420274</v>
      </c>
      <c r="B1050" t="s">
        <v>5139</v>
      </c>
      <c r="C1050">
        <v>132947</v>
      </c>
      <c r="D1050" t="str" cm="1">
        <f t="array" ref="D1050">_xlfn.TEXTJOIN(",",TRUE,_xlfn.XLOOKUP(_xlfn.TEXTSPLIT(C1050,",")*1,_xlfn._TRO_TRAILING(Artists!A:A),_xlfn._TRO_TRAILING(Artists!B:B)))</f>
        <v>Kamala Ibrahim Ishag</v>
      </c>
      <c r="E1050" t="s">
        <v>248</v>
      </c>
      <c r="F1050" cm="1">
        <f t="array" ref="F1050">_xlfn.REGEXEXTRACT(E1050,"\d{4}")*1</f>
        <v>1970</v>
      </c>
      <c r="G1050" t="s">
        <v>30</v>
      </c>
      <c r="H1050" t="s">
        <v>4482</v>
      </c>
      <c r="I1050" t="s">
        <v>675</v>
      </c>
      <c r="J1050" t="s">
        <v>674</v>
      </c>
      <c r="K1050" s="1">
        <v>44237</v>
      </c>
      <c r="L1050" t="s">
        <v>5158</v>
      </c>
      <c r="M1050" t="s">
        <v>5159</v>
      </c>
      <c r="N1050" t="s">
        <v>6376</v>
      </c>
    </row>
    <row r="1051" spans="1:14" x14ac:dyDescent="0.25">
      <c r="A1051">
        <v>420275</v>
      </c>
      <c r="B1051" t="s">
        <v>5160</v>
      </c>
      <c r="C1051">
        <v>132947</v>
      </c>
      <c r="D1051" t="str" cm="1">
        <f t="array" ref="D1051">_xlfn.TEXTJOIN(",",TRUE,_xlfn.XLOOKUP(_xlfn.TEXTSPLIT(C1051,",")*1,_xlfn._TRO_TRAILING(Artists!A:A),_xlfn._TRO_TRAILING(Artists!B:B)))</f>
        <v>Kamala Ibrahim Ishag</v>
      </c>
      <c r="E1051">
        <v>1972</v>
      </c>
      <c r="F1051" cm="1">
        <f t="array" ref="F1051">_xlfn.REGEXEXTRACT(E1051,"\d{4}")*1</f>
        <v>1972</v>
      </c>
      <c r="G1051" t="s">
        <v>30</v>
      </c>
      <c r="H1051" t="s">
        <v>5140</v>
      </c>
      <c r="I1051" t="s">
        <v>675</v>
      </c>
      <c r="J1051" t="s">
        <v>674</v>
      </c>
      <c r="K1051" s="1">
        <v>44237</v>
      </c>
      <c r="L1051" t="s">
        <v>5161</v>
      </c>
      <c r="M1051" t="s">
        <v>5162</v>
      </c>
      <c r="N1051" t="s">
        <v>6376</v>
      </c>
    </row>
    <row r="1052" spans="1:14" x14ac:dyDescent="0.25">
      <c r="A1052">
        <v>420751</v>
      </c>
      <c r="B1052" t="s">
        <v>5164</v>
      </c>
      <c r="C1052">
        <v>133225</v>
      </c>
      <c r="D1052" t="str" cm="1">
        <f t="array" ref="D1052">_xlfn.TEXTJOIN(",",TRUE,_xlfn.XLOOKUP(_xlfn.TEXTSPLIT(C1052,",")*1,_xlfn._TRO_TRAILING(Artists!A:A),_xlfn._TRO_TRAILING(Artists!B:B)))</f>
        <v>Rosa Barba</v>
      </c>
      <c r="E1052">
        <v>2019</v>
      </c>
      <c r="F1052" cm="1">
        <f t="array" ref="F1052">_xlfn.REGEXEXTRACT(E1052,"\d{4}")*1</f>
        <v>2019</v>
      </c>
      <c r="G1052" t="s">
        <v>5166</v>
      </c>
      <c r="I1052" t="s">
        <v>3402</v>
      </c>
      <c r="J1052" t="s">
        <v>3200</v>
      </c>
      <c r="K1052" s="1">
        <v>44329</v>
      </c>
      <c r="L1052" t="s">
        <v>5167</v>
      </c>
      <c r="M1052" t="s">
        <v>5168</v>
      </c>
      <c r="N1052" t="s">
        <v>6429</v>
      </c>
    </row>
    <row r="1053" spans="1:14" x14ac:dyDescent="0.25">
      <c r="A1053">
        <v>421934</v>
      </c>
      <c r="B1053" t="s">
        <v>5170</v>
      </c>
      <c r="C1053">
        <v>34555</v>
      </c>
      <c r="D1053" t="str" cm="1">
        <f t="array" ref="D1053">_xlfn.TEXTJOIN(",",TRUE,_xlfn.XLOOKUP(_xlfn.TEXTSPLIT(C1053,",")*1,_xlfn._TRO_TRAILING(Artists!A:A),_xlfn._TRO_TRAILING(Artists!B:B)))</f>
        <v>Charlotte Posenenske</v>
      </c>
      <c r="E1053">
        <v>1967</v>
      </c>
      <c r="F1053" cm="1">
        <f t="array" ref="F1053">_xlfn.REGEXEXTRACT(E1053,"\d{4}")*1</f>
        <v>1967</v>
      </c>
      <c r="G1053" t="s">
        <v>3099</v>
      </c>
      <c r="H1053" t="s">
        <v>5171</v>
      </c>
      <c r="I1053" t="s">
        <v>2248</v>
      </c>
      <c r="J1053" t="s">
        <v>879</v>
      </c>
      <c r="K1053" s="1">
        <v>44340</v>
      </c>
      <c r="L1053" t="s">
        <v>5172</v>
      </c>
      <c r="M1053" t="s">
        <v>5173</v>
      </c>
      <c r="N1053" t="s">
        <v>6396</v>
      </c>
    </row>
    <row r="1054" spans="1:14" x14ac:dyDescent="0.25">
      <c r="A1054">
        <v>421937</v>
      </c>
      <c r="B1054" t="s">
        <v>5174</v>
      </c>
      <c r="C1054">
        <v>41281</v>
      </c>
      <c r="D1054" t="str" cm="1">
        <f t="array" ref="D1054">_xlfn.TEXTJOIN(",",TRUE,_xlfn.XLOOKUP(_xlfn.TEXTSPLIT(C1054,",")*1,_xlfn._TRO_TRAILING(Artists!A:A),_xlfn._TRO_TRAILING(Artists!B:B)))</f>
        <v>Suzanne Jackson</v>
      </c>
      <c r="E1054">
        <v>1975</v>
      </c>
      <c r="F1054" cm="1">
        <f t="array" ref="F1054">_xlfn.REGEXEXTRACT(E1054,"\d{4}")*1</f>
        <v>1975</v>
      </c>
      <c r="G1054" t="s">
        <v>5176</v>
      </c>
      <c r="H1054" t="s">
        <v>5177</v>
      </c>
      <c r="I1054" t="s">
        <v>878</v>
      </c>
      <c r="J1054" t="s">
        <v>879</v>
      </c>
      <c r="K1054" s="1">
        <v>44340</v>
      </c>
      <c r="L1054" t="s">
        <v>5178</v>
      </c>
      <c r="M1054" t="s">
        <v>5179</v>
      </c>
      <c r="N1054" t="s">
        <v>6376</v>
      </c>
    </row>
    <row r="1055" spans="1:14" x14ac:dyDescent="0.25">
      <c r="A1055">
        <v>422172</v>
      </c>
      <c r="B1055" t="s">
        <v>5180</v>
      </c>
      <c r="C1055">
        <v>34878</v>
      </c>
      <c r="D1055" t="str" cm="1">
        <f t="array" ref="D1055">_xlfn.TEXTJOIN(",",TRUE,_xlfn.XLOOKUP(_xlfn.TEXTSPLIT(C1055,",")*1,_xlfn._TRO_TRAILING(Artists!A:A),_xlfn._TRO_TRAILING(Artists!B:B)))</f>
        <v>Michael Smith</v>
      </c>
      <c r="E1055" t="s">
        <v>5181</v>
      </c>
      <c r="F1055" cm="1">
        <f t="array" ref="F1055">_xlfn.REGEXEXTRACT(E1055,"\d{4}")*1</f>
        <v>1983</v>
      </c>
      <c r="G1055" t="s">
        <v>5182</v>
      </c>
      <c r="H1055" t="s">
        <v>2403</v>
      </c>
      <c r="I1055" t="s">
        <v>726</v>
      </c>
      <c r="J1055" t="s">
        <v>3200</v>
      </c>
      <c r="K1055" s="1">
        <v>44329</v>
      </c>
      <c r="L1055" t="s">
        <v>5183</v>
      </c>
      <c r="M1055" t="s">
        <v>5184</v>
      </c>
      <c r="N1055" t="s">
        <v>6430</v>
      </c>
    </row>
    <row r="1056" spans="1:14" x14ac:dyDescent="0.25">
      <c r="A1056">
        <v>425447</v>
      </c>
      <c r="B1056" t="s">
        <v>5186</v>
      </c>
      <c r="C1056">
        <v>68341</v>
      </c>
      <c r="D1056" t="str" cm="1">
        <f t="array" ref="D1056">_xlfn.TEXTJOIN(",",TRUE,_xlfn.XLOOKUP(_xlfn.TEXTSPLIT(C1056,",")*1,_xlfn._TRO_TRAILING(Artists!A:A),_xlfn._TRO_TRAILING(Artists!B:B)))</f>
        <v>Naotaka Hiro</v>
      </c>
      <c r="E1056">
        <v>2021</v>
      </c>
      <c r="F1056" cm="1">
        <f t="array" ref="F1056">_xlfn.REGEXEXTRACT(E1056,"\d{4}")*1</f>
        <v>2021</v>
      </c>
      <c r="G1056" t="s">
        <v>5187</v>
      </c>
      <c r="H1056" t="s">
        <v>5188</v>
      </c>
      <c r="I1056" t="s">
        <v>878</v>
      </c>
      <c r="J1056" t="s">
        <v>879</v>
      </c>
      <c r="K1056" s="1">
        <v>44473</v>
      </c>
      <c r="L1056" t="s">
        <v>5189</v>
      </c>
      <c r="M1056" t="s">
        <v>5190</v>
      </c>
      <c r="N1056" t="s">
        <v>6408</v>
      </c>
    </row>
    <row r="1057" spans="1:14" x14ac:dyDescent="0.25">
      <c r="A1057">
        <v>425478</v>
      </c>
      <c r="B1057" t="s">
        <v>5191</v>
      </c>
      <c r="C1057">
        <v>133803</v>
      </c>
      <c r="D1057" t="str" cm="1">
        <f t="array" ref="D1057">_xlfn.TEXTJOIN(",",TRUE,_xlfn.XLOOKUP(_xlfn.TEXTSPLIT(C1057,",")*1,_xlfn._TRO_TRAILING(Artists!A:A),_xlfn._TRO_TRAILING(Artists!B:B)))</f>
        <v>Evelyne Axell</v>
      </c>
      <c r="E1057">
        <v>1965</v>
      </c>
      <c r="F1057" cm="1">
        <f t="array" ref="F1057">_xlfn.REGEXEXTRACT(E1057,"\d{4}")*1</f>
        <v>1965</v>
      </c>
      <c r="G1057" t="s">
        <v>1968</v>
      </c>
      <c r="H1057" t="s">
        <v>5193</v>
      </c>
      <c r="I1057" t="s">
        <v>878</v>
      </c>
      <c r="J1057" t="s">
        <v>879</v>
      </c>
      <c r="K1057" s="1">
        <v>44473</v>
      </c>
      <c r="L1057" t="s">
        <v>5194</v>
      </c>
      <c r="M1057" t="s">
        <v>5195</v>
      </c>
      <c r="N1057" t="s">
        <v>6394</v>
      </c>
    </row>
    <row r="1058" spans="1:14" x14ac:dyDescent="0.25">
      <c r="A1058">
        <v>425480</v>
      </c>
      <c r="B1058" t="s">
        <v>5196</v>
      </c>
      <c r="C1058">
        <v>131948</v>
      </c>
      <c r="D1058" t="str" cm="1">
        <f t="array" ref="D1058">_xlfn.TEXTJOIN(",",TRUE,_xlfn.XLOOKUP(_xlfn.TEXTSPLIT(C1058,",")*1,_xlfn._TRO_TRAILING(Artists!A:A),_xlfn._TRO_TRAILING(Artists!B:B)))</f>
        <v>Guadalupe Maravilla</v>
      </c>
      <c r="E1058">
        <v>2021</v>
      </c>
      <c r="F1058" cm="1">
        <f t="array" ref="F1058">_xlfn.REGEXEXTRACT(E1058,"\d{4}")*1</f>
        <v>2021</v>
      </c>
      <c r="G1058" t="s">
        <v>5197</v>
      </c>
      <c r="H1058" t="s">
        <v>5198</v>
      </c>
      <c r="I1058" t="s">
        <v>878</v>
      </c>
      <c r="J1058" t="s">
        <v>879</v>
      </c>
      <c r="K1058" s="1">
        <v>44473</v>
      </c>
      <c r="L1058" t="s">
        <v>5199</v>
      </c>
      <c r="M1058" t="s">
        <v>5200</v>
      </c>
      <c r="N1058" t="s">
        <v>6422</v>
      </c>
    </row>
    <row r="1059" spans="1:14" x14ac:dyDescent="0.25">
      <c r="A1059">
        <v>425483</v>
      </c>
      <c r="B1059" t="s">
        <v>5201</v>
      </c>
      <c r="C1059">
        <v>133044</v>
      </c>
      <c r="D1059" t="str" cm="1">
        <f t="array" ref="D1059">_xlfn.TEXTJOIN(",",TRUE,_xlfn.XLOOKUP(_xlfn.TEXTSPLIT(C1059,",")*1,_xlfn._TRO_TRAILING(Artists!A:A),_xlfn._TRO_TRAILING(Artists!B:B)))</f>
        <v>Archibald John Motley Jr.</v>
      </c>
      <c r="E1059">
        <v>1929</v>
      </c>
      <c r="F1059" cm="1">
        <f t="array" ref="F1059">_xlfn.REGEXEXTRACT(E1059,"\d{4}")*1</f>
        <v>1929</v>
      </c>
      <c r="G1059" t="s">
        <v>1034</v>
      </c>
      <c r="H1059" t="s">
        <v>5203</v>
      </c>
      <c r="I1059" t="s">
        <v>878</v>
      </c>
      <c r="J1059" t="s">
        <v>879</v>
      </c>
      <c r="K1059" s="1">
        <v>44473</v>
      </c>
      <c r="L1059" t="s">
        <v>5204</v>
      </c>
      <c r="M1059" t="s">
        <v>5205</v>
      </c>
      <c r="N1059" t="s">
        <v>6402</v>
      </c>
    </row>
    <row r="1060" spans="1:14" x14ac:dyDescent="0.25">
      <c r="A1060">
        <v>426431</v>
      </c>
      <c r="B1060" t="s">
        <v>5206</v>
      </c>
      <c r="C1060">
        <v>28097</v>
      </c>
      <c r="D1060" t="str" cm="1">
        <f t="array" ref="D1060">_xlfn.TEXTJOIN(",",TRUE,_xlfn.XLOOKUP(_xlfn.TEXTSPLIT(C1060,",")*1,_xlfn._TRO_TRAILING(Artists!A:A),_xlfn._TRO_TRAILING(Artists!B:B)))</f>
        <v>Wangechi Mutu</v>
      </c>
      <c r="E1060">
        <v>2020</v>
      </c>
      <c r="F1060" cm="1">
        <f t="array" ref="F1060">_xlfn.REGEXEXTRACT(E1060,"\d{4}")*1</f>
        <v>2020</v>
      </c>
      <c r="G1060" t="s">
        <v>5207</v>
      </c>
      <c r="H1060" t="s">
        <v>5208</v>
      </c>
      <c r="I1060" t="s">
        <v>2248</v>
      </c>
      <c r="J1060" t="s">
        <v>879</v>
      </c>
      <c r="K1060" s="1">
        <v>44655</v>
      </c>
      <c r="L1060" t="s">
        <v>5209</v>
      </c>
      <c r="M1060" t="s">
        <v>5210</v>
      </c>
      <c r="N1060" t="s">
        <v>6368</v>
      </c>
    </row>
    <row r="1061" spans="1:14" x14ac:dyDescent="0.25">
      <c r="A1061">
        <v>426629</v>
      </c>
      <c r="B1061" t="s">
        <v>5212</v>
      </c>
      <c r="C1061">
        <v>7928</v>
      </c>
      <c r="D1061" t="str" cm="1">
        <f t="array" ref="D1061">_xlfn.TEXTJOIN(",",TRUE,_xlfn.XLOOKUP(_xlfn.TEXTSPLIT(C1061,",")*1,_xlfn._TRO_TRAILING(Artists!A:A),_xlfn._TRO_TRAILING(Artists!B:B)))</f>
        <v>Louise Lawler</v>
      </c>
      <c r="E1061">
        <v>1986</v>
      </c>
      <c r="F1061" cm="1">
        <f t="array" ref="F1061">_xlfn.REGEXEXTRACT(E1061,"\d{4}")*1</f>
        <v>1986</v>
      </c>
      <c r="G1061" t="s">
        <v>5211</v>
      </c>
      <c r="H1061" t="s">
        <v>5213</v>
      </c>
      <c r="I1061" t="s">
        <v>713</v>
      </c>
      <c r="J1061" t="s">
        <v>674</v>
      </c>
      <c r="K1061" s="1">
        <v>44495</v>
      </c>
      <c r="L1061" t="s">
        <v>5214</v>
      </c>
      <c r="M1061" t="s">
        <v>5215</v>
      </c>
      <c r="N1061" t="s">
        <v>6418</v>
      </c>
    </row>
    <row r="1062" spans="1:14" x14ac:dyDescent="0.25">
      <c r="A1062">
        <v>426632</v>
      </c>
      <c r="B1062" t="s">
        <v>5216</v>
      </c>
      <c r="C1062">
        <v>7928</v>
      </c>
      <c r="D1062" t="str" cm="1">
        <f t="array" ref="D1062">_xlfn.TEXTJOIN(",",TRUE,_xlfn.XLOOKUP(_xlfn.TEXTSPLIT(C1062,",")*1,_xlfn._TRO_TRAILING(Artists!A:A),_xlfn._TRO_TRAILING(Artists!B:B)))</f>
        <v>Louise Lawler</v>
      </c>
      <c r="E1062">
        <v>1987</v>
      </c>
      <c r="F1062" cm="1">
        <f t="array" ref="F1062">_xlfn.REGEXEXTRACT(E1062,"\d{4}")*1</f>
        <v>1987</v>
      </c>
      <c r="G1062" t="s">
        <v>5217</v>
      </c>
      <c r="H1062" t="s">
        <v>5218</v>
      </c>
      <c r="I1062" t="s">
        <v>713</v>
      </c>
      <c r="J1062" t="s">
        <v>674</v>
      </c>
      <c r="K1062" s="1">
        <v>44495</v>
      </c>
      <c r="L1062" t="s">
        <v>5219</v>
      </c>
      <c r="M1062" t="s">
        <v>5220</v>
      </c>
      <c r="N1062" t="s">
        <v>6418</v>
      </c>
    </row>
    <row r="1063" spans="1:14" x14ac:dyDescent="0.25">
      <c r="A1063">
        <v>427058</v>
      </c>
      <c r="B1063" t="s">
        <v>5222</v>
      </c>
      <c r="C1063">
        <v>8085</v>
      </c>
      <c r="D1063" t="str" cm="1">
        <f t="array" ref="D1063">_xlfn.TEXTJOIN(",",TRUE,_xlfn.XLOOKUP(_xlfn.TEXTSPLIT(C1063,",")*1,_xlfn._TRO_TRAILING(Artists!A:A),_xlfn._TRO_TRAILING(Artists!B:B)))</f>
        <v>Sari Dienes</v>
      </c>
      <c r="E1063">
        <v>1956</v>
      </c>
      <c r="F1063" cm="1">
        <f t="array" ref="F1063">_xlfn.REGEXEXTRACT(E1063,"\d{4}")*1</f>
        <v>1956</v>
      </c>
      <c r="G1063" t="s">
        <v>5221</v>
      </c>
      <c r="H1063" t="s">
        <v>5223</v>
      </c>
      <c r="I1063" t="s">
        <v>675</v>
      </c>
      <c r="J1063" t="s">
        <v>674</v>
      </c>
      <c r="K1063" s="1">
        <v>44495</v>
      </c>
      <c r="L1063" t="s">
        <v>5224</v>
      </c>
      <c r="M1063" t="s">
        <v>5225</v>
      </c>
      <c r="N1063" t="s">
        <v>6420</v>
      </c>
    </row>
    <row r="1064" spans="1:14" x14ac:dyDescent="0.25">
      <c r="A1064">
        <v>428560</v>
      </c>
      <c r="B1064" t="s">
        <v>5226</v>
      </c>
      <c r="C1064">
        <v>7094</v>
      </c>
      <c r="D1064" t="str" cm="1">
        <f t="array" ref="D1064">_xlfn.TEXTJOIN(",",TRUE,_xlfn.XLOOKUP(_xlfn.TEXTSPLIT(C1064,",")*1,_xlfn._TRO_TRAILING(Artists!A:A),_xlfn._TRO_TRAILING(Artists!B:B)))</f>
        <v>Martin Wong</v>
      </c>
      <c r="E1064">
        <v>1986</v>
      </c>
      <c r="F1064" cm="1">
        <f t="array" ref="F1064">_xlfn.REGEXEXTRACT(E1064,"\d{4}")*1</f>
        <v>1986</v>
      </c>
      <c r="G1064" t="s">
        <v>2163</v>
      </c>
      <c r="H1064" t="s">
        <v>5227</v>
      </c>
      <c r="I1064" t="s">
        <v>878</v>
      </c>
      <c r="J1064" t="s">
        <v>879</v>
      </c>
      <c r="K1064" s="1">
        <v>44536</v>
      </c>
      <c r="L1064" t="s">
        <v>5228</v>
      </c>
      <c r="M1064" t="s">
        <v>5229</v>
      </c>
      <c r="N1064" t="s">
        <v>6410</v>
      </c>
    </row>
    <row r="1065" spans="1:14" x14ac:dyDescent="0.25">
      <c r="A1065">
        <v>428679</v>
      </c>
      <c r="B1065" t="s">
        <v>5230</v>
      </c>
      <c r="C1065">
        <v>8042</v>
      </c>
      <c r="D1065" t="str" cm="1">
        <f t="array" ref="D1065">_xlfn.TEXTJOIN(",",TRUE,_xlfn.XLOOKUP(_xlfn.TEXTSPLIT(C1065,",")*1,_xlfn._TRO_TRAILING(Artists!A:A),_xlfn._TRO_TRAILING(Artists!B:B)))</f>
        <v>Elizabeth Peyton</v>
      </c>
      <c r="E1065">
        <v>2002</v>
      </c>
      <c r="F1065" cm="1">
        <f t="array" ref="F1065">_xlfn.REGEXEXTRACT(E1065,"\d{4}")*1</f>
        <v>2002</v>
      </c>
      <c r="G1065" t="s">
        <v>1034</v>
      </c>
      <c r="H1065" t="s">
        <v>5231</v>
      </c>
      <c r="I1065" t="s">
        <v>878</v>
      </c>
      <c r="J1065" t="s">
        <v>879</v>
      </c>
      <c r="K1065" s="1">
        <v>44718</v>
      </c>
      <c r="L1065" t="s">
        <v>5232</v>
      </c>
      <c r="M1065" t="s">
        <v>5233</v>
      </c>
      <c r="N1065" t="s">
        <v>6409</v>
      </c>
    </row>
    <row r="1066" spans="1:14" x14ac:dyDescent="0.25">
      <c r="A1066">
        <v>429318</v>
      </c>
      <c r="B1066" t="s">
        <v>5234</v>
      </c>
      <c r="C1066">
        <v>6902</v>
      </c>
      <c r="D1066" t="str" cm="1">
        <f t="array" ref="D1066">_xlfn.TEXTJOIN(",",TRUE,_xlfn.XLOOKUP(_xlfn.TEXTSPLIT(C1066,",")*1,_xlfn._TRO_TRAILING(Artists!A:A),_xlfn._TRO_TRAILING(Artists!B:B)))</f>
        <v>Glenn Ligon</v>
      </c>
      <c r="E1066">
        <v>2005</v>
      </c>
      <c r="F1066" cm="1">
        <f t="array" ref="F1066">_xlfn.REGEXEXTRACT(E1066,"\d{4}")*1</f>
        <v>2005</v>
      </c>
      <c r="G1066" t="s">
        <v>5235</v>
      </c>
      <c r="H1066" t="s">
        <v>5236</v>
      </c>
      <c r="I1066" t="s">
        <v>2248</v>
      </c>
      <c r="J1066" t="s">
        <v>879</v>
      </c>
      <c r="K1066" s="1">
        <v>44536</v>
      </c>
      <c r="L1066" t="s">
        <v>5237</v>
      </c>
      <c r="M1066" t="s">
        <v>5238</v>
      </c>
      <c r="N1066" t="s">
        <v>6392</v>
      </c>
    </row>
    <row r="1067" spans="1:14" x14ac:dyDescent="0.25">
      <c r="A1067">
        <v>431417</v>
      </c>
      <c r="B1067" t="s">
        <v>5241</v>
      </c>
      <c r="C1067">
        <v>134591</v>
      </c>
      <c r="D1067" t="str" cm="1">
        <f t="array" ref="D1067">_xlfn.TEXTJOIN(",",TRUE,_xlfn.XLOOKUP(_xlfn.TEXTSPLIT(C1067,",")*1,_xlfn._TRO_TRAILING(Artists!A:A),_xlfn._TRO_TRAILING(Artists!B:B)))</f>
        <v>Kay WalkingStick</v>
      </c>
      <c r="E1067">
        <v>1990</v>
      </c>
      <c r="F1067" cm="1">
        <f t="array" ref="F1067">_xlfn.REGEXEXTRACT(E1067,"\d{4}")*1</f>
        <v>1990</v>
      </c>
      <c r="G1067" t="s">
        <v>5242</v>
      </c>
      <c r="H1067" t="s">
        <v>5243</v>
      </c>
      <c r="I1067" t="s">
        <v>2248</v>
      </c>
      <c r="J1067" t="s">
        <v>879</v>
      </c>
      <c r="K1067" s="1">
        <v>44718</v>
      </c>
      <c r="L1067" t="s">
        <v>5244</v>
      </c>
      <c r="M1067" t="s">
        <v>5245</v>
      </c>
      <c r="N1067" t="s">
        <v>6427</v>
      </c>
    </row>
    <row r="1068" spans="1:14" x14ac:dyDescent="0.25">
      <c r="A1068">
        <v>431729</v>
      </c>
      <c r="B1068" t="s">
        <v>5247</v>
      </c>
      <c r="C1068">
        <v>5858</v>
      </c>
      <c r="D1068" t="str" cm="1">
        <f t="array" ref="D1068">_xlfn.TEXTJOIN(",",TRUE,_xlfn.XLOOKUP(_xlfn.TEXTSPLIT(C1068,",")*1,_xlfn._TRO_TRAILING(Artists!A:A),_xlfn._TRO_TRAILING(Artists!B:B)))</f>
        <v>Bob Thompson</v>
      </c>
      <c r="E1068">
        <v>1963</v>
      </c>
      <c r="F1068" cm="1">
        <f t="array" ref="F1068">_xlfn.REGEXEXTRACT(E1068,"\d{4}")*1</f>
        <v>1963</v>
      </c>
      <c r="G1068" t="s">
        <v>1034</v>
      </c>
      <c r="H1068" t="s">
        <v>5248</v>
      </c>
      <c r="I1068" t="s">
        <v>878</v>
      </c>
      <c r="J1068" t="s">
        <v>879</v>
      </c>
      <c r="K1068" s="1">
        <v>44655</v>
      </c>
      <c r="L1068" t="s">
        <v>5249</v>
      </c>
      <c r="M1068" t="s">
        <v>5250</v>
      </c>
      <c r="N1068" t="s">
        <v>6413</v>
      </c>
    </row>
    <row r="1069" spans="1:14" x14ac:dyDescent="0.25">
      <c r="A1069">
        <v>431798</v>
      </c>
      <c r="B1069" t="s">
        <v>5251</v>
      </c>
      <c r="C1069">
        <v>133645</v>
      </c>
      <c r="D1069" t="str" cm="1">
        <f t="array" ref="D1069">_xlfn.TEXTJOIN(",",TRUE,_xlfn.XLOOKUP(_xlfn.TEXTSPLIT(C1069,",")*1,_xlfn._TRO_TRAILING(Artists!A:A),_xlfn._TRO_TRAILING(Artists!B:B)))</f>
        <v>Luis Frangella</v>
      </c>
      <c r="E1069">
        <v>1984</v>
      </c>
      <c r="F1069" cm="1">
        <f t="array" ref="F1069">_xlfn.REGEXEXTRACT(E1069,"\d{4}")*1</f>
        <v>1984</v>
      </c>
      <c r="G1069" t="s">
        <v>5253</v>
      </c>
      <c r="H1069" t="s">
        <v>5254</v>
      </c>
      <c r="I1069" t="s">
        <v>2248</v>
      </c>
      <c r="J1069" t="s">
        <v>879</v>
      </c>
      <c r="K1069" s="1">
        <v>44718</v>
      </c>
      <c r="L1069" t="s">
        <v>5255</v>
      </c>
      <c r="M1069" t="s">
        <v>5256</v>
      </c>
      <c r="N1069" t="s">
        <v>6410</v>
      </c>
    </row>
    <row r="1070" spans="1:14" x14ac:dyDescent="0.25">
      <c r="A1070">
        <v>433228</v>
      </c>
      <c r="B1070" t="s">
        <v>5257</v>
      </c>
      <c r="C1070">
        <v>134716</v>
      </c>
      <c r="D1070" t="str" cm="1">
        <f t="array" ref="D1070">_xlfn.TEXTJOIN(",",TRUE,_xlfn.XLOOKUP(_xlfn.TEXTSPLIT(C1070,",")*1,_xlfn._TRO_TRAILING(Artists!A:A),_xlfn._TRO_TRAILING(Artists!B:B)))</f>
        <v>Agosto Machado</v>
      </c>
      <c r="E1070">
        <v>2022</v>
      </c>
      <c r="F1070" cm="1">
        <f t="array" ref="F1070">_xlfn.REGEXEXTRACT(E1070,"\d{4}")*1</f>
        <v>2022</v>
      </c>
      <c r="G1070" t="s">
        <v>5259</v>
      </c>
      <c r="H1070" t="s">
        <v>5260</v>
      </c>
      <c r="I1070" t="s">
        <v>726</v>
      </c>
      <c r="J1070" t="s">
        <v>3200</v>
      </c>
      <c r="K1070" s="1">
        <v>44700</v>
      </c>
      <c r="L1070" t="s">
        <v>5261</v>
      </c>
      <c r="M1070" t="s">
        <v>5262</v>
      </c>
      <c r="N1070" t="s">
        <v>6410</v>
      </c>
    </row>
    <row r="1071" spans="1:14" x14ac:dyDescent="0.25">
      <c r="A1071">
        <v>433970</v>
      </c>
      <c r="B1071" t="s">
        <v>5263</v>
      </c>
      <c r="C1071">
        <v>134817</v>
      </c>
      <c r="D1071" t="str" cm="1">
        <f t="array" ref="D1071">_xlfn.TEXTJOIN(",",TRUE,_xlfn.XLOOKUP(_xlfn.TEXTSPLIT(C1071,",")*1,_xlfn._TRO_TRAILING(Artists!A:A),_xlfn._TRO_TRAILING(Artists!B:B)))</f>
        <v>Mohammed Sami</v>
      </c>
      <c r="E1071">
        <v>2022</v>
      </c>
      <c r="F1071" cm="1">
        <f t="array" ref="F1071">_xlfn.REGEXEXTRACT(E1071,"\d{4}")*1</f>
        <v>2022</v>
      </c>
      <c r="G1071" t="s">
        <v>5265</v>
      </c>
      <c r="H1071" t="s">
        <v>5266</v>
      </c>
      <c r="I1071" t="s">
        <v>878</v>
      </c>
      <c r="J1071" t="s">
        <v>879</v>
      </c>
      <c r="K1071" s="1">
        <v>44718</v>
      </c>
      <c r="L1071" t="s">
        <v>5267</v>
      </c>
      <c r="M1071" t="s">
        <v>5268</v>
      </c>
      <c r="N1071" t="s">
        <v>6418</v>
      </c>
    </row>
    <row r="1072" spans="1:14" x14ac:dyDescent="0.25">
      <c r="A1072">
        <v>434231</v>
      </c>
      <c r="B1072" t="s">
        <v>5269</v>
      </c>
      <c r="C1072">
        <v>34532</v>
      </c>
      <c r="D1072" t="str" cm="1">
        <f t="array" ref="D1072">_xlfn.TEXTJOIN(",",TRUE,_xlfn.XLOOKUP(_xlfn.TEXTSPLIT(C1072,",")*1,_xlfn._TRO_TRAILING(Artists!A:A),_xlfn._TRO_TRAILING(Artists!B:B)))</f>
        <v>Isaac Julien</v>
      </c>
      <c r="E1072">
        <v>1989</v>
      </c>
      <c r="F1072" cm="1">
        <f t="array" ref="F1072">_xlfn.REGEXEXTRACT(E1072,"\d{4}")*1</f>
        <v>1989</v>
      </c>
      <c r="G1072" t="s">
        <v>5042</v>
      </c>
      <c r="H1072" t="s">
        <v>5270</v>
      </c>
      <c r="I1072" t="s">
        <v>1626</v>
      </c>
      <c r="J1072" t="s">
        <v>3200</v>
      </c>
      <c r="K1072" s="1">
        <v>44700</v>
      </c>
      <c r="L1072" t="s">
        <v>5271</v>
      </c>
      <c r="M1072" t="s">
        <v>5272</v>
      </c>
      <c r="N1072" t="s">
        <v>6390</v>
      </c>
    </row>
    <row r="1073" spans="1:14" x14ac:dyDescent="0.25">
      <c r="A1073">
        <v>434246</v>
      </c>
      <c r="B1073" t="s">
        <v>5273</v>
      </c>
      <c r="C1073">
        <v>37500</v>
      </c>
      <c r="D1073" t="str" cm="1">
        <f t="array" ref="D1073">_xlfn.TEXTJOIN(",",TRUE,_xlfn.XLOOKUP(_xlfn.TEXTSPLIT(C1073,",")*1,_xlfn._TRO_TRAILING(Artists!A:A),_xlfn._TRO_TRAILING(Artists!B:B)))</f>
        <v>Kate Millett</v>
      </c>
      <c r="E1073">
        <v>1965</v>
      </c>
      <c r="F1073" cm="1">
        <f t="array" ref="F1073">_xlfn.REGEXEXTRACT(E1073,"\d{4}")*1</f>
        <v>1965</v>
      </c>
      <c r="G1073" t="s">
        <v>5274</v>
      </c>
      <c r="H1073" t="s">
        <v>5275</v>
      </c>
      <c r="I1073" t="s">
        <v>2248</v>
      </c>
      <c r="J1073" t="s">
        <v>879</v>
      </c>
      <c r="K1073" s="1">
        <v>44824</v>
      </c>
      <c r="L1073" t="s">
        <v>5276</v>
      </c>
      <c r="M1073" t="s">
        <v>5277</v>
      </c>
      <c r="N1073" t="s">
        <v>6394</v>
      </c>
    </row>
    <row r="1074" spans="1:14" x14ac:dyDescent="0.25">
      <c r="A1074">
        <v>435706</v>
      </c>
      <c r="B1074" t="s">
        <v>5278</v>
      </c>
      <c r="C1074">
        <v>32690</v>
      </c>
      <c r="D1074" t="str" cm="1">
        <f t="array" ref="D1074">_xlfn.TEXTJOIN(",",TRUE,_xlfn.XLOOKUP(_xlfn.TEXTSPLIT(C1074,",")*1,_xlfn._TRO_TRAILING(Artists!A:A),_xlfn._TRO_TRAILING(Artists!B:B)))</f>
        <v>Seth Price</v>
      </c>
      <c r="E1074">
        <v>2009</v>
      </c>
      <c r="F1074" cm="1">
        <f t="array" ref="F1074">_xlfn.REGEXEXTRACT(E1074,"\d{4}")*1</f>
        <v>2009</v>
      </c>
      <c r="G1074" t="s">
        <v>5279</v>
      </c>
      <c r="H1074" t="s">
        <v>5280</v>
      </c>
      <c r="I1074" t="s">
        <v>2248</v>
      </c>
      <c r="J1074" t="s">
        <v>879</v>
      </c>
      <c r="K1074" s="1">
        <v>44824</v>
      </c>
      <c r="L1074" t="s">
        <v>5281</v>
      </c>
      <c r="M1074" t="s">
        <v>5282</v>
      </c>
      <c r="N1074" t="s">
        <v>6419</v>
      </c>
    </row>
    <row r="1075" spans="1:14" x14ac:dyDescent="0.25">
      <c r="A1075">
        <v>436065</v>
      </c>
      <c r="B1075" t="s">
        <v>5283</v>
      </c>
      <c r="C1075">
        <v>719</v>
      </c>
      <c r="D1075" t="str" cm="1">
        <f t="array" ref="D1075">_xlfn.TEXTJOIN(",",TRUE,_xlfn.XLOOKUP(_xlfn.TEXTSPLIT(C1075,",")*1,_xlfn._TRO_TRAILING(Artists!A:A),_xlfn._TRO_TRAILING(Artists!B:B)))</f>
        <v>Frank Bowling</v>
      </c>
      <c r="E1075">
        <v>1968</v>
      </c>
      <c r="F1075" cm="1">
        <f t="array" ref="F1075">_xlfn.REGEXEXTRACT(E1075,"\d{4}")*1</f>
        <v>1968</v>
      </c>
      <c r="G1075" t="s">
        <v>5284</v>
      </c>
      <c r="H1075" t="s">
        <v>5285</v>
      </c>
      <c r="I1075" t="s">
        <v>878</v>
      </c>
      <c r="J1075" t="s">
        <v>879</v>
      </c>
      <c r="K1075" s="1">
        <v>44907</v>
      </c>
      <c r="L1075" t="s">
        <v>5286</v>
      </c>
      <c r="M1075" t="s">
        <v>5287</v>
      </c>
      <c r="N1075" t="s">
        <v>6414</v>
      </c>
    </row>
    <row r="1076" spans="1:14" x14ac:dyDescent="0.25">
      <c r="A1076">
        <v>441895</v>
      </c>
      <c r="B1076" t="s">
        <v>5290</v>
      </c>
      <c r="C1076">
        <v>135287</v>
      </c>
      <c r="D1076" t="str" cm="1">
        <f t="array" ref="D1076">_xlfn.TEXTJOIN(",",TRUE,_xlfn.XLOOKUP(_xlfn.TEXTSPLIT(C1076,",")*1,_xlfn._TRO_TRAILING(Artists!A:A),_xlfn._TRO_TRAILING(Artists!B:B)))</f>
        <v>Antonio Caro</v>
      </c>
      <c r="E1076">
        <v>1993</v>
      </c>
      <c r="F1076" cm="1">
        <f t="array" ref="F1076">_xlfn.REGEXEXTRACT(E1076,"\d{4}")*1</f>
        <v>1993</v>
      </c>
      <c r="G1076" t="s">
        <v>5291</v>
      </c>
      <c r="H1076" t="s">
        <v>5292</v>
      </c>
      <c r="I1076" t="s">
        <v>675</v>
      </c>
      <c r="J1076" t="s">
        <v>674</v>
      </c>
      <c r="K1076" s="1">
        <v>45084</v>
      </c>
      <c r="L1076" t="s">
        <v>5293</v>
      </c>
      <c r="M1076" t="s">
        <v>5294</v>
      </c>
      <c r="N1076" t="s">
        <v>6427</v>
      </c>
    </row>
    <row r="1077" spans="1:14" x14ac:dyDescent="0.25">
      <c r="A1077">
        <v>441929</v>
      </c>
      <c r="B1077" t="s">
        <v>5295</v>
      </c>
      <c r="C1077">
        <v>135371</v>
      </c>
      <c r="D1077" t="str" cm="1">
        <f t="array" ref="D1077">_xlfn.TEXTJOIN(",",TRUE,_xlfn.XLOOKUP(_xlfn.TEXTSPLIT(C1077,",")*1,_xlfn._TRO_TRAILING(Artists!A:A),_xlfn._TRO_TRAILING(Artists!B:B)))</f>
        <v>Christopher Cozier</v>
      </c>
      <c r="E1077" t="s">
        <v>5297</v>
      </c>
      <c r="F1077" cm="1">
        <f t="array" ref="F1077">_xlfn.REGEXEXTRACT(E1077,"\d{4}")*1</f>
        <v>2006</v>
      </c>
      <c r="G1077" t="s">
        <v>5298</v>
      </c>
      <c r="H1077" t="s">
        <v>5299</v>
      </c>
      <c r="I1077" t="s">
        <v>675</v>
      </c>
      <c r="J1077" t="s">
        <v>674</v>
      </c>
      <c r="K1077" s="1">
        <v>44910</v>
      </c>
      <c r="L1077" t="s">
        <v>5300</v>
      </c>
      <c r="M1077" t="s">
        <v>5301</v>
      </c>
      <c r="N1077" t="s">
        <v>6404</v>
      </c>
    </row>
    <row r="1078" spans="1:14" x14ac:dyDescent="0.25">
      <c r="A1078">
        <v>444857</v>
      </c>
      <c r="B1078" t="s">
        <v>5303</v>
      </c>
      <c r="C1078">
        <v>70436</v>
      </c>
      <c r="D1078" t="str" cm="1">
        <f t="array" ref="D1078">_xlfn.TEXTJOIN(",",TRUE,_xlfn.XLOOKUP(_xlfn.TEXTSPLIT(C1078,",")*1,_xlfn._TRO_TRAILING(Artists!A:A),_xlfn._TRO_TRAILING(Artists!B:B)))</f>
        <v>Montien Boonma</v>
      </c>
      <c r="E1078" t="s">
        <v>1878</v>
      </c>
      <c r="F1078" cm="1">
        <f t="array" ref="F1078">_xlfn.REGEXEXTRACT(E1078,"\d{4}")*1</f>
        <v>1996</v>
      </c>
      <c r="G1078" t="s">
        <v>5305</v>
      </c>
      <c r="H1078" t="s">
        <v>5306</v>
      </c>
      <c r="I1078" t="s">
        <v>726</v>
      </c>
      <c r="J1078" t="s">
        <v>879</v>
      </c>
      <c r="K1078" s="1">
        <v>45019</v>
      </c>
      <c r="L1078" t="s">
        <v>5307</v>
      </c>
      <c r="M1078" t="s">
        <v>5308</v>
      </c>
      <c r="N1078" t="s">
        <v>6431</v>
      </c>
    </row>
    <row r="1079" spans="1:14" x14ac:dyDescent="0.25">
      <c r="A1079">
        <v>444941</v>
      </c>
      <c r="B1079" t="s">
        <v>5309</v>
      </c>
      <c r="C1079">
        <v>7407</v>
      </c>
      <c r="D1079" t="str" cm="1">
        <f t="array" ref="D1079">_xlfn.TEXTJOIN(",",TRUE,_xlfn.XLOOKUP(_xlfn.TEXTSPLIT(C1079,",")*1,_xlfn._TRO_TRAILING(Artists!A:A),_xlfn._TRO_TRAILING(Artists!B:B)))</f>
        <v>Jaune Quick-to-see Smith</v>
      </c>
      <c r="E1079">
        <v>1991</v>
      </c>
      <c r="F1079" cm="1">
        <f t="array" ref="F1079">_xlfn.REGEXEXTRACT(E1079,"\d{4}")*1</f>
        <v>1991</v>
      </c>
      <c r="G1079" t="s">
        <v>5310</v>
      </c>
      <c r="H1079" t="s">
        <v>5311</v>
      </c>
      <c r="I1079" t="s">
        <v>675</v>
      </c>
      <c r="J1079" t="s">
        <v>674</v>
      </c>
      <c r="K1079" s="1">
        <v>44993</v>
      </c>
      <c r="L1079" t="s">
        <v>5312</v>
      </c>
      <c r="M1079" t="s">
        <v>5313</v>
      </c>
      <c r="N1079" t="s">
        <v>6427</v>
      </c>
    </row>
    <row r="1080" spans="1:14" x14ac:dyDescent="0.25">
      <c r="A1080">
        <v>445182</v>
      </c>
      <c r="B1080" t="s">
        <v>5314</v>
      </c>
      <c r="C1080">
        <v>7502</v>
      </c>
      <c r="D1080" t="str" cm="1">
        <f t="array" ref="D1080">_xlfn.TEXTJOIN(",",TRUE,_xlfn.XLOOKUP(_xlfn.TEXTSPLIT(C1080,",")*1,_xlfn._TRO_TRAILING(Artists!A:A),_xlfn._TRO_TRAILING(Artists!B:B)))</f>
        <v>Rebecca Horn</v>
      </c>
      <c r="E1080" t="s">
        <v>1071</v>
      </c>
      <c r="F1080" cm="1">
        <f t="array" ref="F1080">_xlfn.REGEXEXTRACT(E1080,"\d{4}")*1</f>
        <v>1968</v>
      </c>
      <c r="G1080" t="s">
        <v>61</v>
      </c>
      <c r="H1080" t="s">
        <v>5185</v>
      </c>
      <c r="I1080" t="s">
        <v>675</v>
      </c>
      <c r="J1080" t="s">
        <v>674</v>
      </c>
      <c r="K1080" s="1">
        <v>44993</v>
      </c>
      <c r="L1080" t="s">
        <v>5315</v>
      </c>
      <c r="M1080" t="s">
        <v>5316</v>
      </c>
      <c r="N1080" t="s">
        <v>6376</v>
      </c>
    </row>
    <row r="1081" spans="1:14" x14ac:dyDescent="0.25">
      <c r="A1081">
        <v>445206</v>
      </c>
      <c r="B1081" t="s">
        <v>5317</v>
      </c>
      <c r="C1081">
        <v>135889</v>
      </c>
      <c r="D1081" t="str" cm="1">
        <f t="array" ref="D1081">_xlfn.TEXTJOIN(",",TRUE,_xlfn.XLOOKUP(_xlfn.TEXTSPLIT(C1081,",")*1,_xlfn._TRO_TRAILING(Artists!A:A),_xlfn._TRO_TRAILING(Artists!B:B)))</f>
        <v>Juan Francisco Elso</v>
      </c>
      <c r="E1081">
        <v>1985</v>
      </c>
      <c r="F1081" cm="1">
        <f t="array" ref="F1081">_xlfn.REGEXEXTRACT(E1081,"\d{4}")*1</f>
        <v>1985</v>
      </c>
      <c r="G1081" t="s">
        <v>5319</v>
      </c>
      <c r="H1081" t="s">
        <v>5320</v>
      </c>
      <c r="I1081" t="s">
        <v>2248</v>
      </c>
      <c r="J1081" t="s">
        <v>879</v>
      </c>
      <c r="K1081" s="1">
        <v>45083</v>
      </c>
      <c r="L1081" t="s">
        <v>5321</v>
      </c>
      <c r="M1081" t="s">
        <v>5322</v>
      </c>
      <c r="N1081" t="s">
        <v>6427</v>
      </c>
    </row>
    <row r="1082" spans="1:14" x14ac:dyDescent="0.25">
      <c r="A1082">
        <v>446104</v>
      </c>
      <c r="B1082" t="s">
        <v>5323</v>
      </c>
      <c r="C1082">
        <v>135972</v>
      </c>
      <c r="D1082" t="str" cm="1">
        <f t="array" ref="D1082">_xlfn.TEXTJOIN(",",TRUE,_xlfn.XLOOKUP(_xlfn.TEXTSPLIT(C1082,",")*1,_xlfn._TRO_TRAILING(Artists!A:A),_xlfn._TRO_TRAILING(Artists!B:B)))</f>
        <v>Evelyn Taocheng Wang</v>
      </c>
      <c r="E1082">
        <v>2020</v>
      </c>
      <c r="F1082" cm="1">
        <f t="array" ref="F1082">_xlfn.REGEXEXTRACT(E1082,"\d{4}")*1</f>
        <v>2020</v>
      </c>
      <c r="G1082" t="s">
        <v>5325</v>
      </c>
      <c r="H1082" t="s">
        <v>5326</v>
      </c>
      <c r="I1082" t="s">
        <v>2676</v>
      </c>
      <c r="J1082" t="s">
        <v>674</v>
      </c>
      <c r="K1082" s="1">
        <v>45084</v>
      </c>
      <c r="L1082" t="s">
        <v>5327</v>
      </c>
      <c r="M1082" t="s">
        <v>5328</v>
      </c>
      <c r="N1082" t="s">
        <v>6422</v>
      </c>
    </row>
    <row r="1083" spans="1:14" x14ac:dyDescent="0.25">
      <c r="A1083">
        <v>446666</v>
      </c>
      <c r="B1083" t="s">
        <v>5329</v>
      </c>
      <c r="C1083">
        <v>72721</v>
      </c>
      <c r="D1083" t="str" cm="1">
        <f t="array" ref="D1083">_xlfn.TEXTJOIN(",",TRUE,_xlfn.XLOOKUP(_xlfn.TEXTSPLIT(C1083,",")*1,_xlfn._TRO_TRAILING(Artists!A:A),_xlfn._TRO_TRAILING(Artists!B:B)))</f>
        <v>Sandra Payne</v>
      </c>
      <c r="E1083">
        <v>1986</v>
      </c>
      <c r="F1083" cm="1">
        <f t="array" ref="F1083">_xlfn.REGEXEXTRACT(E1083,"\d{4}")*1</f>
        <v>1986</v>
      </c>
      <c r="G1083" t="s">
        <v>58</v>
      </c>
      <c r="H1083" t="s">
        <v>1455</v>
      </c>
      <c r="I1083" t="s">
        <v>675</v>
      </c>
      <c r="J1083" t="s">
        <v>674</v>
      </c>
      <c r="K1083" s="1">
        <v>44993</v>
      </c>
      <c r="L1083" t="s">
        <v>5330</v>
      </c>
      <c r="M1083" t="s">
        <v>5331</v>
      </c>
      <c r="N1083" t="s">
        <v>6376</v>
      </c>
    </row>
    <row r="1084" spans="1:14" x14ac:dyDescent="0.25">
      <c r="A1084">
        <v>446667</v>
      </c>
      <c r="B1084" t="s">
        <v>5329</v>
      </c>
      <c r="C1084">
        <v>72721</v>
      </c>
      <c r="D1084" t="str" cm="1">
        <f t="array" ref="D1084">_xlfn.TEXTJOIN(",",TRUE,_xlfn.XLOOKUP(_xlfn.TEXTSPLIT(C1084,",")*1,_xlfn._TRO_TRAILING(Artists!A:A),_xlfn._TRO_TRAILING(Artists!B:B)))</f>
        <v>Sandra Payne</v>
      </c>
      <c r="E1084">
        <v>1986</v>
      </c>
      <c r="F1084" cm="1">
        <f t="array" ref="F1084">_xlfn.REGEXEXTRACT(E1084,"\d{4}")*1</f>
        <v>1986</v>
      </c>
      <c r="G1084" t="s">
        <v>58</v>
      </c>
      <c r="H1084" t="s">
        <v>1455</v>
      </c>
      <c r="I1084" t="s">
        <v>675</v>
      </c>
      <c r="J1084" t="s">
        <v>674</v>
      </c>
      <c r="K1084" s="1">
        <v>44993</v>
      </c>
      <c r="L1084" t="s">
        <v>5332</v>
      </c>
      <c r="M1084" t="s">
        <v>5333</v>
      </c>
      <c r="N1084" t="s">
        <v>6376</v>
      </c>
    </row>
    <row r="1085" spans="1:14" x14ac:dyDescent="0.25">
      <c r="A1085">
        <v>446668</v>
      </c>
      <c r="B1085" t="s">
        <v>5329</v>
      </c>
      <c r="C1085">
        <v>72721</v>
      </c>
      <c r="D1085" t="str" cm="1">
        <f t="array" ref="D1085">_xlfn.TEXTJOIN(",",TRUE,_xlfn.XLOOKUP(_xlfn.TEXTSPLIT(C1085,",")*1,_xlfn._TRO_TRAILING(Artists!A:A),_xlfn._TRO_TRAILING(Artists!B:B)))</f>
        <v>Sandra Payne</v>
      </c>
      <c r="E1085">
        <v>1986</v>
      </c>
      <c r="F1085" cm="1">
        <f t="array" ref="F1085">_xlfn.REGEXEXTRACT(E1085,"\d{4}")*1</f>
        <v>1986</v>
      </c>
      <c r="G1085" t="s">
        <v>58</v>
      </c>
      <c r="H1085" t="s">
        <v>1455</v>
      </c>
      <c r="I1085" t="s">
        <v>675</v>
      </c>
      <c r="J1085" t="s">
        <v>674</v>
      </c>
      <c r="K1085" s="1">
        <v>44993</v>
      </c>
      <c r="L1085" t="s">
        <v>5334</v>
      </c>
      <c r="M1085" t="s">
        <v>5335</v>
      </c>
      <c r="N1085" t="s">
        <v>6376</v>
      </c>
    </row>
    <row r="1086" spans="1:14" x14ac:dyDescent="0.25">
      <c r="A1086">
        <v>446669</v>
      </c>
      <c r="B1086" t="s">
        <v>5329</v>
      </c>
      <c r="C1086">
        <v>72721</v>
      </c>
      <c r="D1086" t="str" cm="1">
        <f t="array" ref="D1086">_xlfn.TEXTJOIN(",",TRUE,_xlfn.XLOOKUP(_xlfn.TEXTSPLIT(C1086,",")*1,_xlfn._TRO_TRAILING(Artists!A:A),_xlfn._TRO_TRAILING(Artists!B:B)))</f>
        <v>Sandra Payne</v>
      </c>
      <c r="E1086">
        <v>1986</v>
      </c>
      <c r="F1086" cm="1">
        <f t="array" ref="F1086">_xlfn.REGEXEXTRACT(E1086,"\d{4}")*1</f>
        <v>1986</v>
      </c>
      <c r="G1086" t="s">
        <v>58</v>
      </c>
      <c r="H1086" t="s">
        <v>1455</v>
      </c>
      <c r="I1086" t="s">
        <v>675</v>
      </c>
      <c r="J1086" t="s">
        <v>674</v>
      </c>
      <c r="K1086" s="1">
        <v>44993</v>
      </c>
      <c r="L1086" t="s">
        <v>5336</v>
      </c>
      <c r="M1086" t="s">
        <v>5337</v>
      </c>
      <c r="N1086" t="s">
        <v>6376</v>
      </c>
    </row>
    <row r="1087" spans="1:14" x14ac:dyDescent="0.25">
      <c r="A1087">
        <v>446670</v>
      </c>
      <c r="B1087" t="s">
        <v>5329</v>
      </c>
      <c r="C1087">
        <v>72721</v>
      </c>
      <c r="D1087" t="str" cm="1">
        <f t="array" ref="D1087">_xlfn.TEXTJOIN(",",TRUE,_xlfn.XLOOKUP(_xlfn.TEXTSPLIT(C1087,",")*1,_xlfn._TRO_TRAILING(Artists!A:A),_xlfn._TRO_TRAILING(Artists!B:B)))</f>
        <v>Sandra Payne</v>
      </c>
      <c r="E1087">
        <v>1986</v>
      </c>
      <c r="F1087" cm="1">
        <f t="array" ref="F1087">_xlfn.REGEXEXTRACT(E1087,"\d{4}")*1</f>
        <v>1986</v>
      </c>
      <c r="G1087" t="s">
        <v>58</v>
      </c>
      <c r="H1087" t="s">
        <v>1455</v>
      </c>
      <c r="I1087" t="s">
        <v>675</v>
      </c>
      <c r="J1087" t="s">
        <v>674</v>
      </c>
      <c r="K1087" s="1">
        <v>44993</v>
      </c>
      <c r="L1087" t="s">
        <v>5338</v>
      </c>
      <c r="M1087" t="s">
        <v>5339</v>
      </c>
      <c r="N1087" t="s">
        <v>6376</v>
      </c>
    </row>
    <row r="1088" spans="1:14" x14ac:dyDescent="0.25">
      <c r="A1088">
        <v>446671</v>
      </c>
      <c r="B1088" t="s">
        <v>5329</v>
      </c>
      <c r="C1088">
        <v>72721</v>
      </c>
      <c r="D1088" t="str" cm="1">
        <f t="array" ref="D1088">_xlfn.TEXTJOIN(",",TRUE,_xlfn.XLOOKUP(_xlfn.TEXTSPLIT(C1088,",")*1,_xlfn._TRO_TRAILING(Artists!A:A),_xlfn._TRO_TRAILING(Artists!B:B)))</f>
        <v>Sandra Payne</v>
      </c>
      <c r="E1088">
        <v>1986</v>
      </c>
      <c r="F1088" cm="1">
        <f t="array" ref="F1088">_xlfn.REGEXEXTRACT(E1088,"\d{4}")*1</f>
        <v>1986</v>
      </c>
      <c r="G1088" t="s">
        <v>58</v>
      </c>
      <c r="H1088" t="s">
        <v>1455</v>
      </c>
      <c r="I1088" t="s">
        <v>675</v>
      </c>
      <c r="J1088" t="s">
        <v>674</v>
      </c>
      <c r="K1088" s="1">
        <v>44993</v>
      </c>
      <c r="L1088" t="s">
        <v>5340</v>
      </c>
      <c r="M1088" t="s">
        <v>5341</v>
      </c>
      <c r="N1088" t="s">
        <v>6376</v>
      </c>
    </row>
    <row r="1089" spans="1:14" x14ac:dyDescent="0.25">
      <c r="A1089">
        <v>446672</v>
      </c>
      <c r="B1089" t="s">
        <v>5329</v>
      </c>
      <c r="C1089">
        <v>72721</v>
      </c>
      <c r="D1089" t="str" cm="1">
        <f t="array" ref="D1089">_xlfn.TEXTJOIN(",",TRUE,_xlfn.XLOOKUP(_xlfn.TEXTSPLIT(C1089,",")*1,_xlfn._TRO_TRAILING(Artists!A:A),_xlfn._TRO_TRAILING(Artists!B:B)))</f>
        <v>Sandra Payne</v>
      </c>
      <c r="E1089">
        <v>1986</v>
      </c>
      <c r="F1089" cm="1">
        <f t="array" ref="F1089">_xlfn.REGEXEXTRACT(E1089,"\d{4}")*1</f>
        <v>1986</v>
      </c>
      <c r="G1089" t="s">
        <v>58</v>
      </c>
      <c r="H1089" t="s">
        <v>1455</v>
      </c>
      <c r="I1089" t="s">
        <v>675</v>
      </c>
      <c r="J1089" t="s">
        <v>674</v>
      </c>
      <c r="K1089" s="1">
        <v>44993</v>
      </c>
      <c r="L1089" t="s">
        <v>5342</v>
      </c>
      <c r="M1089" t="s">
        <v>5343</v>
      </c>
      <c r="N1089" t="s">
        <v>6376</v>
      </c>
    </row>
    <row r="1090" spans="1:14" x14ac:dyDescent="0.25">
      <c r="A1090">
        <v>446673</v>
      </c>
      <c r="B1090" t="s">
        <v>5329</v>
      </c>
      <c r="C1090">
        <v>72721</v>
      </c>
      <c r="D1090" t="str" cm="1">
        <f t="array" ref="D1090">_xlfn.TEXTJOIN(",",TRUE,_xlfn.XLOOKUP(_xlfn.TEXTSPLIT(C1090,",")*1,_xlfn._TRO_TRAILING(Artists!A:A),_xlfn._TRO_TRAILING(Artists!B:B)))</f>
        <v>Sandra Payne</v>
      </c>
      <c r="E1090">
        <v>1986</v>
      </c>
      <c r="F1090" cm="1">
        <f t="array" ref="F1090">_xlfn.REGEXEXTRACT(E1090,"\d{4}")*1</f>
        <v>1986</v>
      </c>
      <c r="G1090" t="s">
        <v>58</v>
      </c>
      <c r="H1090" t="s">
        <v>1455</v>
      </c>
      <c r="I1090" t="s">
        <v>675</v>
      </c>
      <c r="J1090" t="s">
        <v>674</v>
      </c>
      <c r="K1090" s="1">
        <v>44993</v>
      </c>
      <c r="L1090" t="s">
        <v>5344</v>
      </c>
      <c r="M1090" t="s">
        <v>5345</v>
      </c>
      <c r="N1090" t="s">
        <v>6376</v>
      </c>
    </row>
    <row r="1091" spans="1:14" x14ac:dyDescent="0.25">
      <c r="A1091">
        <v>446674</v>
      </c>
      <c r="B1091" t="s">
        <v>5329</v>
      </c>
      <c r="C1091">
        <v>72721</v>
      </c>
      <c r="D1091" t="str" cm="1">
        <f t="array" ref="D1091">_xlfn.TEXTJOIN(",",TRUE,_xlfn.XLOOKUP(_xlfn.TEXTSPLIT(C1091,",")*1,_xlfn._TRO_TRAILING(Artists!A:A),_xlfn._TRO_TRAILING(Artists!B:B)))</f>
        <v>Sandra Payne</v>
      </c>
      <c r="E1091">
        <v>1986</v>
      </c>
      <c r="F1091" cm="1">
        <f t="array" ref="F1091">_xlfn.REGEXEXTRACT(E1091,"\d{4}")*1</f>
        <v>1986</v>
      </c>
      <c r="G1091" t="s">
        <v>58</v>
      </c>
      <c r="H1091" t="s">
        <v>1455</v>
      </c>
      <c r="I1091" t="s">
        <v>675</v>
      </c>
      <c r="J1091" t="s">
        <v>674</v>
      </c>
      <c r="K1091" s="1">
        <v>44993</v>
      </c>
      <c r="L1091" t="s">
        <v>5346</v>
      </c>
      <c r="M1091" t="s">
        <v>5347</v>
      </c>
      <c r="N1091" t="s">
        <v>6376</v>
      </c>
    </row>
    <row r="1092" spans="1:14" x14ac:dyDescent="0.25">
      <c r="A1092">
        <v>446675</v>
      </c>
      <c r="B1092" t="s">
        <v>5329</v>
      </c>
      <c r="C1092">
        <v>72721</v>
      </c>
      <c r="D1092" t="str" cm="1">
        <f t="array" ref="D1092">_xlfn.TEXTJOIN(",",TRUE,_xlfn.XLOOKUP(_xlfn.TEXTSPLIT(C1092,",")*1,_xlfn._TRO_TRAILING(Artists!A:A),_xlfn._TRO_TRAILING(Artists!B:B)))</f>
        <v>Sandra Payne</v>
      </c>
      <c r="E1092">
        <v>1986</v>
      </c>
      <c r="F1092" cm="1">
        <f t="array" ref="F1092">_xlfn.REGEXEXTRACT(E1092,"\d{4}")*1</f>
        <v>1986</v>
      </c>
      <c r="G1092" t="s">
        <v>58</v>
      </c>
      <c r="H1092" t="s">
        <v>1455</v>
      </c>
      <c r="I1092" t="s">
        <v>675</v>
      </c>
      <c r="J1092" t="s">
        <v>674</v>
      </c>
      <c r="K1092" s="1">
        <v>44993</v>
      </c>
      <c r="L1092" t="s">
        <v>5348</v>
      </c>
      <c r="M1092" t="s">
        <v>5349</v>
      </c>
      <c r="N1092" t="s">
        <v>6376</v>
      </c>
    </row>
    <row r="1093" spans="1:14" x14ac:dyDescent="0.25">
      <c r="A1093">
        <v>446676</v>
      </c>
      <c r="B1093" t="s">
        <v>5329</v>
      </c>
      <c r="C1093">
        <v>72721</v>
      </c>
      <c r="D1093" t="str" cm="1">
        <f t="array" ref="D1093">_xlfn.TEXTJOIN(",",TRUE,_xlfn.XLOOKUP(_xlfn.TEXTSPLIT(C1093,",")*1,_xlfn._TRO_TRAILING(Artists!A:A),_xlfn._TRO_TRAILING(Artists!B:B)))</f>
        <v>Sandra Payne</v>
      </c>
      <c r="E1093">
        <v>1986</v>
      </c>
      <c r="F1093" cm="1">
        <f t="array" ref="F1093">_xlfn.REGEXEXTRACT(E1093,"\d{4}")*1</f>
        <v>1986</v>
      </c>
      <c r="G1093" t="s">
        <v>58</v>
      </c>
      <c r="H1093" t="s">
        <v>1455</v>
      </c>
      <c r="I1093" t="s">
        <v>675</v>
      </c>
      <c r="J1093" t="s">
        <v>674</v>
      </c>
      <c r="K1093" s="1">
        <v>44993</v>
      </c>
      <c r="L1093" t="s">
        <v>5350</v>
      </c>
      <c r="M1093" t="s">
        <v>5351</v>
      </c>
      <c r="N1093" t="s">
        <v>6376</v>
      </c>
    </row>
    <row r="1094" spans="1:14" x14ac:dyDescent="0.25">
      <c r="A1094">
        <v>446677</v>
      </c>
      <c r="B1094" t="s">
        <v>5329</v>
      </c>
      <c r="C1094">
        <v>72721</v>
      </c>
      <c r="D1094" t="str" cm="1">
        <f t="array" ref="D1094">_xlfn.TEXTJOIN(",",TRUE,_xlfn.XLOOKUP(_xlfn.TEXTSPLIT(C1094,",")*1,_xlfn._TRO_TRAILING(Artists!A:A),_xlfn._TRO_TRAILING(Artists!B:B)))</f>
        <v>Sandra Payne</v>
      </c>
      <c r="E1094">
        <v>1986</v>
      </c>
      <c r="F1094" cm="1">
        <f t="array" ref="F1094">_xlfn.REGEXEXTRACT(E1094,"\d{4}")*1</f>
        <v>1986</v>
      </c>
      <c r="G1094" t="s">
        <v>58</v>
      </c>
      <c r="H1094" t="s">
        <v>1455</v>
      </c>
      <c r="I1094" t="s">
        <v>675</v>
      </c>
      <c r="J1094" t="s">
        <v>674</v>
      </c>
      <c r="K1094" s="1">
        <v>44993</v>
      </c>
      <c r="L1094" t="s">
        <v>5352</v>
      </c>
      <c r="M1094" t="s">
        <v>5353</v>
      </c>
      <c r="N1094" t="s">
        <v>6376</v>
      </c>
    </row>
    <row r="1095" spans="1:14" x14ac:dyDescent="0.25">
      <c r="A1095">
        <v>446926</v>
      </c>
      <c r="B1095" t="s">
        <v>5354</v>
      </c>
      <c r="C1095">
        <v>69514</v>
      </c>
      <c r="D1095" t="str" cm="1">
        <f t="array" ref="D1095">_xlfn.TEXTJOIN(",",TRUE,_xlfn.XLOOKUP(_xlfn.TEXTSPLIT(C1095,",")*1,_xlfn._TRO_TRAILING(Artists!A:A),_xlfn._TRO_TRAILING(Artists!B:B)))</f>
        <v>Donna-Lee Phillips</v>
      </c>
      <c r="E1095">
        <v>1977</v>
      </c>
      <c r="F1095" cm="1">
        <f t="array" ref="F1095">_xlfn.REGEXEXTRACT(E1095,"\d{4}")*1</f>
        <v>1977</v>
      </c>
      <c r="G1095" t="s">
        <v>5246</v>
      </c>
      <c r="H1095" t="s">
        <v>5355</v>
      </c>
      <c r="I1095" t="s">
        <v>806</v>
      </c>
      <c r="J1095" t="s">
        <v>1140</v>
      </c>
      <c r="K1095" s="1">
        <v>43034</v>
      </c>
      <c r="L1095" t="s">
        <v>5356</v>
      </c>
      <c r="M1095" t="s">
        <v>5357</v>
      </c>
      <c r="N1095" t="s">
        <v>6388</v>
      </c>
    </row>
    <row r="1096" spans="1:14" x14ac:dyDescent="0.25">
      <c r="A1096">
        <v>446927</v>
      </c>
      <c r="B1096" t="s">
        <v>5358</v>
      </c>
      <c r="C1096">
        <v>69514</v>
      </c>
      <c r="D1096" t="str" cm="1">
        <f t="array" ref="D1096">_xlfn.TEXTJOIN(",",TRUE,_xlfn.XLOOKUP(_xlfn.TEXTSPLIT(C1096,",")*1,_xlfn._TRO_TRAILING(Artists!A:A),_xlfn._TRO_TRAILING(Artists!B:B)))</f>
        <v>Donna-Lee Phillips</v>
      </c>
      <c r="E1096">
        <v>1977</v>
      </c>
      <c r="F1096" cm="1">
        <f t="array" ref="F1096">_xlfn.REGEXEXTRACT(E1096,"\d{4}")*1</f>
        <v>1977</v>
      </c>
      <c r="G1096" t="s">
        <v>5246</v>
      </c>
      <c r="H1096" t="s">
        <v>5355</v>
      </c>
      <c r="I1096" t="s">
        <v>806</v>
      </c>
      <c r="J1096" t="s">
        <v>1140</v>
      </c>
      <c r="K1096" s="1">
        <v>43034</v>
      </c>
      <c r="L1096" t="s">
        <v>5359</v>
      </c>
      <c r="M1096" t="s">
        <v>5360</v>
      </c>
      <c r="N1096" t="s">
        <v>6388</v>
      </c>
    </row>
    <row r="1097" spans="1:14" x14ac:dyDescent="0.25">
      <c r="A1097">
        <v>446928</v>
      </c>
      <c r="B1097" t="s">
        <v>5361</v>
      </c>
      <c r="C1097">
        <v>69514</v>
      </c>
      <c r="D1097" t="str" cm="1">
        <f t="array" ref="D1097">_xlfn.TEXTJOIN(",",TRUE,_xlfn.XLOOKUP(_xlfn.TEXTSPLIT(C1097,",")*1,_xlfn._TRO_TRAILING(Artists!A:A),_xlfn._TRO_TRAILING(Artists!B:B)))</f>
        <v>Donna-Lee Phillips</v>
      </c>
      <c r="E1097">
        <v>1977</v>
      </c>
      <c r="F1097" cm="1">
        <f t="array" ref="F1097">_xlfn.REGEXEXTRACT(E1097,"\d{4}")*1</f>
        <v>1977</v>
      </c>
      <c r="G1097" t="s">
        <v>5246</v>
      </c>
      <c r="H1097" t="s">
        <v>5355</v>
      </c>
      <c r="I1097" t="s">
        <v>806</v>
      </c>
      <c r="J1097" t="s">
        <v>1140</v>
      </c>
      <c r="K1097" s="1">
        <v>43034</v>
      </c>
      <c r="L1097" t="s">
        <v>5362</v>
      </c>
      <c r="M1097" t="s">
        <v>5363</v>
      </c>
      <c r="N1097" t="s">
        <v>6388</v>
      </c>
    </row>
    <row r="1098" spans="1:14" x14ac:dyDescent="0.25">
      <c r="A1098">
        <v>446929</v>
      </c>
      <c r="B1098" t="s">
        <v>5364</v>
      </c>
      <c r="C1098">
        <v>69514</v>
      </c>
      <c r="D1098" t="str" cm="1">
        <f t="array" ref="D1098">_xlfn.TEXTJOIN(",",TRUE,_xlfn.XLOOKUP(_xlfn.TEXTSPLIT(C1098,",")*1,_xlfn._TRO_TRAILING(Artists!A:A),_xlfn._TRO_TRAILING(Artists!B:B)))</f>
        <v>Donna-Lee Phillips</v>
      </c>
      <c r="E1098">
        <v>1977</v>
      </c>
      <c r="F1098" cm="1">
        <f t="array" ref="F1098">_xlfn.REGEXEXTRACT(E1098,"\d{4}")*1</f>
        <v>1977</v>
      </c>
      <c r="G1098" t="s">
        <v>5246</v>
      </c>
      <c r="H1098" t="s">
        <v>5355</v>
      </c>
      <c r="I1098" t="s">
        <v>806</v>
      </c>
      <c r="J1098" t="s">
        <v>1140</v>
      </c>
      <c r="K1098" s="1">
        <v>43034</v>
      </c>
      <c r="L1098" t="s">
        <v>5365</v>
      </c>
      <c r="M1098" t="s">
        <v>5366</v>
      </c>
      <c r="N1098" t="s">
        <v>6388</v>
      </c>
    </row>
    <row r="1099" spans="1:14" x14ac:dyDescent="0.25">
      <c r="A1099">
        <v>446930</v>
      </c>
      <c r="B1099" t="s">
        <v>5367</v>
      </c>
      <c r="C1099">
        <v>69514</v>
      </c>
      <c r="D1099" t="str" cm="1">
        <f t="array" ref="D1099">_xlfn.TEXTJOIN(",",TRUE,_xlfn.XLOOKUP(_xlfn.TEXTSPLIT(C1099,",")*1,_xlfn._TRO_TRAILING(Artists!A:A),_xlfn._TRO_TRAILING(Artists!B:B)))</f>
        <v>Donna-Lee Phillips</v>
      </c>
      <c r="E1099">
        <v>1977</v>
      </c>
      <c r="F1099" cm="1">
        <f t="array" ref="F1099">_xlfn.REGEXEXTRACT(E1099,"\d{4}")*1</f>
        <v>1977</v>
      </c>
      <c r="G1099" t="s">
        <v>5246</v>
      </c>
      <c r="H1099" t="s">
        <v>5355</v>
      </c>
      <c r="I1099" t="s">
        <v>806</v>
      </c>
      <c r="J1099" t="s">
        <v>1140</v>
      </c>
      <c r="K1099" s="1">
        <v>43034</v>
      </c>
      <c r="L1099" t="s">
        <v>5368</v>
      </c>
      <c r="M1099" t="s">
        <v>5369</v>
      </c>
      <c r="N1099" t="s">
        <v>6388</v>
      </c>
    </row>
    <row r="1100" spans="1:14" x14ac:dyDescent="0.25">
      <c r="A1100">
        <v>446931</v>
      </c>
      <c r="B1100" t="s">
        <v>5370</v>
      </c>
      <c r="C1100">
        <v>69514</v>
      </c>
      <c r="D1100" t="str" cm="1">
        <f t="array" ref="D1100">_xlfn.TEXTJOIN(",",TRUE,_xlfn.XLOOKUP(_xlfn.TEXTSPLIT(C1100,",")*1,_xlfn._TRO_TRAILING(Artists!A:A),_xlfn._TRO_TRAILING(Artists!B:B)))</f>
        <v>Donna-Lee Phillips</v>
      </c>
      <c r="E1100">
        <v>1977</v>
      </c>
      <c r="F1100" cm="1">
        <f t="array" ref="F1100">_xlfn.REGEXEXTRACT(E1100,"\d{4}")*1</f>
        <v>1977</v>
      </c>
      <c r="G1100" t="s">
        <v>5246</v>
      </c>
      <c r="H1100" t="s">
        <v>5355</v>
      </c>
      <c r="I1100" t="s">
        <v>806</v>
      </c>
      <c r="J1100" t="s">
        <v>1140</v>
      </c>
      <c r="K1100" s="1">
        <v>43034</v>
      </c>
      <c r="L1100" t="s">
        <v>5371</v>
      </c>
      <c r="M1100" t="s">
        <v>5372</v>
      </c>
      <c r="N1100" t="s">
        <v>6388</v>
      </c>
    </row>
    <row r="1101" spans="1:14" x14ac:dyDescent="0.25">
      <c r="A1101">
        <v>446932</v>
      </c>
      <c r="B1101" t="s">
        <v>5373</v>
      </c>
      <c r="C1101">
        <v>69514</v>
      </c>
      <c r="D1101" t="str" cm="1">
        <f t="array" ref="D1101">_xlfn.TEXTJOIN(",",TRUE,_xlfn.XLOOKUP(_xlfn.TEXTSPLIT(C1101,",")*1,_xlfn._TRO_TRAILING(Artists!A:A),_xlfn._TRO_TRAILING(Artists!B:B)))</f>
        <v>Donna-Lee Phillips</v>
      </c>
      <c r="E1101">
        <v>1977</v>
      </c>
      <c r="F1101" cm="1">
        <f t="array" ref="F1101">_xlfn.REGEXEXTRACT(E1101,"\d{4}")*1</f>
        <v>1977</v>
      </c>
      <c r="G1101" t="s">
        <v>5246</v>
      </c>
      <c r="H1101" t="s">
        <v>5355</v>
      </c>
      <c r="I1101" t="s">
        <v>806</v>
      </c>
      <c r="J1101" t="s">
        <v>1140</v>
      </c>
      <c r="K1101" s="1">
        <v>43034</v>
      </c>
      <c r="L1101" t="s">
        <v>5374</v>
      </c>
      <c r="M1101" t="s">
        <v>5375</v>
      </c>
      <c r="N1101" t="s">
        <v>6388</v>
      </c>
    </row>
    <row r="1102" spans="1:14" x14ac:dyDescent="0.25">
      <c r="A1102">
        <v>446933</v>
      </c>
      <c r="B1102" t="s">
        <v>5376</v>
      </c>
      <c r="C1102">
        <v>69514</v>
      </c>
      <c r="D1102" t="str" cm="1">
        <f t="array" ref="D1102">_xlfn.TEXTJOIN(",",TRUE,_xlfn.XLOOKUP(_xlfn.TEXTSPLIT(C1102,",")*1,_xlfn._TRO_TRAILING(Artists!A:A),_xlfn._TRO_TRAILING(Artists!B:B)))</f>
        <v>Donna-Lee Phillips</v>
      </c>
      <c r="E1102">
        <v>1977</v>
      </c>
      <c r="F1102" cm="1">
        <f t="array" ref="F1102">_xlfn.REGEXEXTRACT(E1102,"\d{4}")*1</f>
        <v>1977</v>
      </c>
      <c r="G1102" t="s">
        <v>5246</v>
      </c>
      <c r="H1102" t="s">
        <v>5355</v>
      </c>
      <c r="I1102" t="s">
        <v>806</v>
      </c>
      <c r="J1102" t="s">
        <v>1140</v>
      </c>
      <c r="K1102" s="1">
        <v>43034</v>
      </c>
      <c r="L1102" t="s">
        <v>5377</v>
      </c>
      <c r="M1102" t="s">
        <v>5378</v>
      </c>
      <c r="N1102" t="s">
        <v>6388</v>
      </c>
    </row>
    <row r="1103" spans="1:14" x14ac:dyDescent="0.25">
      <c r="A1103">
        <v>446934</v>
      </c>
      <c r="B1103" t="s">
        <v>5379</v>
      </c>
      <c r="C1103">
        <v>69514</v>
      </c>
      <c r="D1103" t="str" cm="1">
        <f t="array" ref="D1103">_xlfn.TEXTJOIN(",",TRUE,_xlfn.XLOOKUP(_xlfn.TEXTSPLIT(C1103,",")*1,_xlfn._TRO_TRAILING(Artists!A:A),_xlfn._TRO_TRAILING(Artists!B:B)))</f>
        <v>Donna-Lee Phillips</v>
      </c>
      <c r="E1103">
        <v>1977</v>
      </c>
      <c r="F1103" cm="1">
        <f t="array" ref="F1103">_xlfn.REGEXEXTRACT(E1103,"\d{4}")*1</f>
        <v>1977</v>
      </c>
      <c r="G1103" t="s">
        <v>5246</v>
      </c>
      <c r="H1103" t="s">
        <v>5355</v>
      </c>
      <c r="I1103" t="s">
        <v>806</v>
      </c>
      <c r="J1103" t="s">
        <v>1140</v>
      </c>
      <c r="K1103" s="1">
        <v>43034</v>
      </c>
      <c r="L1103" t="s">
        <v>5380</v>
      </c>
      <c r="M1103" t="s">
        <v>5381</v>
      </c>
      <c r="N1103" t="s">
        <v>6388</v>
      </c>
    </row>
    <row r="1104" spans="1:14" x14ac:dyDescent="0.25">
      <c r="A1104">
        <v>447274</v>
      </c>
      <c r="B1104" t="s">
        <v>5382</v>
      </c>
      <c r="C1104">
        <v>67932</v>
      </c>
      <c r="D1104" t="str" cm="1">
        <f t="array" ref="D1104">_xlfn.TEXTJOIN(",",TRUE,_xlfn.XLOOKUP(_xlfn.TEXTSPLIT(C1104,",")*1,_xlfn._TRO_TRAILING(Artists!A:A),_xlfn._TRO_TRAILING(Artists!B:B)))</f>
        <v>Rosemary Mayer</v>
      </c>
      <c r="E1104">
        <v>1973</v>
      </c>
      <c r="F1104" cm="1">
        <f t="array" ref="F1104">_xlfn.REGEXEXTRACT(E1104,"\d{4}")*1</f>
        <v>1973</v>
      </c>
      <c r="G1104" t="s">
        <v>5383</v>
      </c>
      <c r="H1104" t="s">
        <v>5384</v>
      </c>
      <c r="I1104" t="s">
        <v>2248</v>
      </c>
      <c r="J1104" t="s">
        <v>879</v>
      </c>
      <c r="K1104" s="1">
        <v>45082</v>
      </c>
      <c r="L1104" t="s">
        <v>5385</v>
      </c>
      <c r="M1104" t="s">
        <v>5386</v>
      </c>
      <c r="N1104" t="s">
        <v>6376</v>
      </c>
    </row>
    <row r="1105" spans="1:14" x14ac:dyDescent="0.25">
      <c r="A1105">
        <v>447787</v>
      </c>
      <c r="B1105" t="s">
        <v>5388</v>
      </c>
      <c r="C1105">
        <v>136176</v>
      </c>
      <c r="D1105" t="str" cm="1">
        <f t="array" ref="D1105">_xlfn.TEXTJOIN(",",TRUE,_xlfn.XLOOKUP(_xlfn.TEXTSPLIT(C1105,",")*1,_xlfn._TRO_TRAILING(Artists!A:A),_xlfn._TRO_TRAILING(Artists!B:B)))</f>
        <v>Agnes Pelton</v>
      </c>
      <c r="E1105">
        <v>1926</v>
      </c>
      <c r="F1105" cm="1">
        <f t="array" ref="F1105">_xlfn.REGEXEXTRACT(E1105,"\d{4}")*1</f>
        <v>1926</v>
      </c>
      <c r="G1105" t="s">
        <v>1034</v>
      </c>
      <c r="H1105" t="s">
        <v>5390</v>
      </c>
      <c r="I1105" t="s">
        <v>878</v>
      </c>
      <c r="J1105" t="s">
        <v>879</v>
      </c>
      <c r="K1105" s="1">
        <v>45082</v>
      </c>
      <c r="L1105" t="s">
        <v>5391</v>
      </c>
      <c r="M1105" t="s">
        <v>5392</v>
      </c>
      <c r="N1105" t="s">
        <v>6375</v>
      </c>
    </row>
    <row r="1106" spans="1:14" x14ac:dyDescent="0.25">
      <c r="A1106">
        <v>448130</v>
      </c>
      <c r="B1106" t="s">
        <v>5393</v>
      </c>
      <c r="C1106">
        <v>3774</v>
      </c>
      <c r="D1106" t="str" cm="1">
        <f t="array" ref="D1106">_xlfn.TEXTJOIN(",",TRUE,_xlfn.XLOOKUP(_xlfn.TEXTSPLIT(C1106,",")*1,_xlfn._TRO_TRAILING(Artists!A:A),_xlfn._TRO_TRAILING(Artists!B:B)))</f>
        <v>Marisol (Marisol Escobar)</v>
      </c>
      <c r="E1106">
        <v>1960</v>
      </c>
      <c r="F1106" cm="1">
        <f t="array" ref="F1106">_xlfn.REGEXEXTRACT(E1106,"\d{4}")*1</f>
        <v>1960</v>
      </c>
      <c r="G1106" t="s">
        <v>5394</v>
      </c>
      <c r="H1106" t="s">
        <v>4135</v>
      </c>
      <c r="I1106" t="s">
        <v>675</v>
      </c>
      <c r="J1106" t="s">
        <v>674</v>
      </c>
      <c r="K1106" s="1">
        <v>45084</v>
      </c>
      <c r="L1106" t="s">
        <v>5395</v>
      </c>
      <c r="M1106" t="s">
        <v>5396</v>
      </c>
      <c r="N1106" t="s">
        <v>6376</v>
      </c>
    </row>
    <row r="1107" spans="1:14" x14ac:dyDescent="0.25">
      <c r="A1107">
        <v>448584</v>
      </c>
      <c r="B1107" t="s">
        <v>5397</v>
      </c>
      <c r="C1107">
        <v>1973</v>
      </c>
      <c r="D1107" t="str" cm="1">
        <f t="array" ref="D1107">_xlfn.TEXTJOIN(",",TRUE,_xlfn.XLOOKUP(_xlfn.TEXTSPLIT(C1107,",")*1,_xlfn._TRO_TRAILING(Artists!A:A),_xlfn._TRO_TRAILING(Artists!B:B)))</f>
        <v>Robert Frank</v>
      </c>
      <c r="E1107">
        <v>1985</v>
      </c>
      <c r="F1107" cm="1">
        <f t="array" ref="F1107">_xlfn.REGEXEXTRACT(E1107,"\d{4}")*1</f>
        <v>1985</v>
      </c>
      <c r="G1107" t="s">
        <v>5398</v>
      </c>
      <c r="H1107" t="s">
        <v>5399</v>
      </c>
      <c r="I1107" t="s">
        <v>806</v>
      </c>
      <c r="J1107" t="s">
        <v>1140</v>
      </c>
      <c r="K1107" s="1">
        <v>45433</v>
      </c>
      <c r="L1107" t="s">
        <v>5400</v>
      </c>
      <c r="M1107" t="s">
        <v>5401</v>
      </c>
      <c r="N1107" t="s">
        <v>6389</v>
      </c>
    </row>
    <row r="1108" spans="1:14" x14ac:dyDescent="0.25">
      <c r="A1108">
        <v>449208</v>
      </c>
      <c r="B1108" t="s">
        <v>5402</v>
      </c>
      <c r="C1108">
        <v>133962</v>
      </c>
      <c r="D1108" t="str" cm="1">
        <f t="array" ref="D1108">_xlfn.TEXTJOIN(",",TRUE,_xlfn.XLOOKUP(_xlfn.TEXTSPLIT(C1108,",")*1,_xlfn._TRO_TRAILING(Artists!A:A),_xlfn._TRO_TRAILING(Artists!B:B)))</f>
        <v>Santiago Yahuarcani</v>
      </c>
      <c r="E1108">
        <v>2022</v>
      </c>
      <c r="F1108" cm="1">
        <f t="array" ref="F1108">_xlfn.REGEXEXTRACT(E1108,"\d{4}")*1</f>
        <v>2022</v>
      </c>
      <c r="G1108" t="s">
        <v>5404</v>
      </c>
      <c r="H1108" t="s">
        <v>5405</v>
      </c>
      <c r="I1108" t="s">
        <v>675</v>
      </c>
      <c r="J1108" t="s">
        <v>674</v>
      </c>
      <c r="K1108" s="1">
        <v>45449</v>
      </c>
      <c r="L1108" t="s">
        <v>5406</v>
      </c>
      <c r="M1108" t="s">
        <v>5407</v>
      </c>
      <c r="N1108" t="s">
        <v>6422</v>
      </c>
    </row>
    <row r="1109" spans="1:14" x14ac:dyDescent="0.25">
      <c r="A1109">
        <v>449316</v>
      </c>
      <c r="B1109" t="s">
        <v>5408</v>
      </c>
      <c r="C1109">
        <v>1973</v>
      </c>
      <c r="D1109" t="str" cm="1">
        <f t="array" ref="D1109">_xlfn.TEXTJOIN(",",TRUE,_xlfn.XLOOKUP(_xlfn.TEXTSPLIT(C1109,",")*1,_xlfn._TRO_TRAILING(Artists!A:A),_xlfn._TRO_TRAILING(Artists!B:B)))</f>
        <v>Robert Frank</v>
      </c>
      <c r="E1109">
        <v>1974</v>
      </c>
      <c r="F1109" cm="1">
        <f t="array" ref="F1109">_xlfn.REGEXEXTRACT(E1109,"\d{4}")*1</f>
        <v>1974</v>
      </c>
      <c r="G1109" t="s">
        <v>664</v>
      </c>
      <c r="H1109" t="s">
        <v>5409</v>
      </c>
      <c r="I1109" t="s">
        <v>806</v>
      </c>
      <c r="J1109" t="s">
        <v>1140</v>
      </c>
      <c r="K1109" s="1">
        <v>45433</v>
      </c>
      <c r="L1109" t="s">
        <v>5410</v>
      </c>
      <c r="M1109" t="s">
        <v>5411</v>
      </c>
      <c r="N1109" t="s">
        <v>6389</v>
      </c>
    </row>
    <row r="1110" spans="1:14" x14ac:dyDescent="0.25">
      <c r="A1110">
        <v>449470</v>
      </c>
      <c r="B1110" t="s">
        <v>51</v>
      </c>
      <c r="C1110">
        <v>74404</v>
      </c>
      <c r="D1110" t="str" cm="1">
        <f t="array" ref="D1110">_xlfn.TEXTJOIN(",",TRUE,_xlfn.XLOOKUP(_xlfn.TEXTSPLIT(C1110,",")*1,_xlfn._TRO_TRAILING(Artists!A:A),_xlfn._TRO_TRAILING(Artists!B:B)))</f>
        <v>Miyoko Ito</v>
      </c>
      <c r="E1110">
        <v>1970</v>
      </c>
      <c r="F1110" cm="1">
        <f t="array" ref="F1110">_xlfn.REGEXEXTRACT(E1110,"\d{4}")*1</f>
        <v>1970</v>
      </c>
      <c r="G1110" t="s">
        <v>1034</v>
      </c>
      <c r="H1110" t="s">
        <v>5413</v>
      </c>
      <c r="I1110" t="s">
        <v>878</v>
      </c>
      <c r="J1110" t="s">
        <v>879</v>
      </c>
      <c r="K1110" s="1">
        <v>45334</v>
      </c>
      <c r="L1110" t="s">
        <v>5414</v>
      </c>
      <c r="M1110" t="s">
        <v>5415</v>
      </c>
      <c r="N1110" t="s">
        <v>6397</v>
      </c>
    </row>
    <row r="1111" spans="1:14" x14ac:dyDescent="0.25">
      <c r="A1111">
        <v>449691</v>
      </c>
      <c r="B1111" t="s">
        <v>5416</v>
      </c>
      <c r="C1111">
        <v>62371</v>
      </c>
      <c r="D1111" t="str" cm="1">
        <f t="array" ref="D1111">_xlfn.TEXTJOIN(",",TRUE,_xlfn.XLOOKUP(_xlfn.TEXTSPLIT(C1111,",")*1,_xlfn._TRO_TRAILING(Artists!A:A),_xlfn._TRO_TRAILING(Artists!B:B)))</f>
        <v>Rupert García</v>
      </c>
      <c r="E1111">
        <v>1968</v>
      </c>
      <c r="F1111" cm="1">
        <f t="array" ref="F1111">_xlfn.REGEXEXTRACT(E1111,"\d{4}")*1</f>
        <v>1968</v>
      </c>
      <c r="G1111" t="s">
        <v>2163</v>
      </c>
      <c r="H1111" t="s">
        <v>5288</v>
      </c>
      <c r="I1111" t="s">
        <v>878</v>
      </c>
      <c r="J1111" t="s">
        <v>879</v>
      </c>
      <c r="K1111" s="1">
        <v>45334</v>
      </c>
      <c r="L1111" t="s">
        <v>5418</v>
      </c>
      <c r="M1111" t="s">
        <v>5419</v>
      </c>
      <c r="N1111" t="s">
        <v>6414</v>
      </c>
    </row>
    <row r="1112" spans="1:14" x14ac:dyDescent="0.25">
      <c r="A1112">
        <v>449692</v>
      </c>
      <c r="B1112" t="s">
        <v>5420</v>
      </c>
      <c r="C1112">
        <v>136494</v>
      </c>
      <c r="D1112" t="str" cm="1">
        <f t="array" ref="D1112">_xlfn.TEXTJOIN(",",TRUE,_xlfn.XLOOKUP(_xlfn.TEXTSPLIT(C1112,",")*1,_xlfn._TRO_TRAILING(Artists!A:A),_xlfn._TRO_TRAILING(Artists!B:B)))</f>
        <v>Anwar Jalal Shemza</v>
      </c>
      <c r="E1112">
        <v>1964</v>
      </c>
      <c r="F1112" cm="1">
        <f t="array" ref="F1112">_xlfn.REGEXEXTRACT(E1112,"\d{4}")*1</f>
        <v>1964</v>
      </c>
      <c r="G1112" t="s">
        <v>1034</v>
      </c>
      <c r="H1112" t="s">
        <v>4692</v>
      </c>
      <c r="I1112" t="s">
        <v>878</v>
      </c>
      <c r="J1112" t="s">
        <v>879</v>
      </c>
      <c r="K1112" s="1">
        <v>45334</v>
      </c>
      <c r="L1112" t="s">
        <v>5422</v>
      </c>
      <c r="M1112" t="s">
        <v>5423</v>
      </c>
      <c r="N1112" t="s">
        <v>6378</v>
      </c>
    </row>
    <row r="1113" spans="1:14" x14ac:dyDescent="0.25">
      <c r="A1113">
        <v>450425</v>
      </c>
      <c r="B1113" t="s">
        <v>5424</v>
      </c>
      <c r="C1113">
        <v>8032</v>
      </c>
      <c r="D1113" t="str" cm="1">
        <f t="array" ref="D1113">_xlfn.TEXTJOIN(",",TRUE,_xlfn.XLOOKUP(_xlfn.TEXTSPLIT(C1113,",")*1,_xlfn._TRO_TRAILING(Artists!A:A),_xlfn._TRO_TRAILING(Artists!B:B)))</f>
        <v>Belkis Ayón</v>
      </c>
      <c r="E1113">
        <v>1998</v>
      </c>
      <c r="F1113" cm="1">
        <f t="array" ref="F1113">_xlfn.REGEXEXTRACT(E1113,"\d{4}")*1</f>
        <v>1998</v>
      </c>
      <c r="G1113" t="s">
        <v>5425</v>
      </c>
      <c r="H1113" t="s">
        <v>5426</v>
      </c>
      <c r="I1113" t="s">
        <v>29</v>
      </c>
      <c r="J1113" t="s">
        <v>674</v>
      </c>
      <c r="K1113" s="1">
        <v>45202</v>
      </c>
      <c r="L1113" t="s">
        <v>5427</v>
      </c>
      <c r="M1113" t="s">
        <v>5428</v>
      </c>
      <c r="N1113" t="s">
        <v>6376</v>
      </c>
    </row>
    <row r="1114" spans="1:14" x14ac:dyDescent="0.25">
      <c r="A1114">
        <v>450501</v>
      </c>
      <c r="B1114" t="s">
        <v>5430</v>
      </c>
      <c r="C1114" t="s">
        <v>5431</v>
      </c>
      <c r="D1114" t="str" cm="1">
        <f t="array" ref="D1114">_xlfn.TEXTJOIN(",",TRUE,_xlfn.XLOOKUP(_xlfn.TEXTSPLIT(C1114,",")*1,_xlfn._TRO_TRAILING(Artists!A:A),_xlfn._TRO_TRAILING(Artists!B:B)))</f>
        <v>Gregory Corso,Simon Watson Taylor,Charles Henri Ford,Alberto Gironella,Joyce Mansour,Jayne Cortez,Georges Gronier,Papa Ibra Tall,Malangatana Valente Ngwenya,Milford Graves,Lamine Dolo,Younousse Sèye,Paul Bowles,Mohamed Ajnakane,Mohammed Mrabet,Abdel Kader El-Janabi,Nanos Valaoritis,Marie Wilson,Laurens Vancrevel,Andrei Codrescu,Adrian Henri,Jim Burns,John Digby,Brion Gysin,LeRoy Clarke,Valery Oisteanu,Michael Horovitz,Jack Micheline,Shel Silverstein,Tuli Kupferberg,Jean-Jacques Lebel,Édouard Roditi,David Gascoyne,Shirley Goldfarb,Gentiane Gaussot Taprah,Allen Ginsberg,Ted Joans,Robert Cordier,Cornelis "Kees" Buddingh',Peter Orlovsky,Kazuko Shiraishi,Natascha Ungeheuer,Lawrence Ferlinghetti,Anne Waldman,William S. Burroughs,Enrique Hernández d'Jesús,David Henderson,Nancy Joyce Peters,Thom Burns,Ray Johnson,Philip Lamantia,Ishmael Reed,André Laude,Ronald Sukenick,Dorothea Tanning,Barbara Chase-Riboud,Ruth Francken,Alan Ansen,Robert Lebel,Lou Laurin Lam,Jim Amaral,Michel Leiris,Amiri Baraka (previously known as LeRoi Jones and Imamu Amear Baraka),Amina Baraka,Simon Vinkenoog,Seymour Krim,Cecil Taylor,Michael McClure,Gustavo Ramos Rivera,Ahmed Yacoubi,Dick Higgins,Alison Knowles,Virginia Cox,Jerome Rothenberg,Erró (Gudmundur Gudmundsson),Wole Soyinka,Romare Bearden,Taylor Mead,Louis Lehmann,Robert Benayoun,Victor Hernández Cruz,Vincent Bounoure,Konrad Klapheck,Roger Cardinal,Roland Penrose,Woody van Amen,Alain Jouffroy,Roberto Matta,Breyten Breytenbach,Pavel Řezníček,Peter Wood,Bill Dixon,Ed Clark,Melvin Edwards,Stanley William Hayter,Mário Cesariny,Octavio Paz,Inácio Matsinhe,Edouard Jaguer,Larry Rivers,Giovanna,John Ashbery,Jean Benoît,Hilary Booth,Merton Simpson,Robert Creeley,James Rosenquist,Susana Wald,Ludwig Zeller,Saúl Kaminer,Lois Mailou Jones,Penelope Rosemont,Jacob Lawrence,Eva Švankmajerová,Franklin Rosemont,Betye Saar,Tony Pusey,Martin Stejskal,Ludvík Šváb,Philip West,Alexander "Skunder" Boghossian,Mark Brusse,Robert Colescott,Robert LaVigne,Homero Aridjis,Robert Farris Thompson,Quincy Thomas Troupe, Jr.,Bruce Conner,David Hammons,Ron Sakolsky,Laura Corsiglia,Various Artists</v>
      </c>
      <c r="E1114" t="s">
        <v>5432</v>
      </c>
      <c r="F1114" cm="1">
        <f t="array" ref="F1114">_xlfn.REGEXEXTRACT(E1114,"\d{4}")*1</f>
        <v>1976</v>
      </c>
      <c r="G1114" t="s">
        <v>5433</v>
      </c>
      <c r="H1114" t="s">
        <v>5434</v>
      </c>
      <c r="I1114" t="s">
        <v>675</v>
      </c>
      <c r="J1114" t="s">
        <v>674</v>
      </c>
      <c r="K1114" s="1">
        <v>45202</v>
      </c>
      <c r="L1114" t="s">
        <v>5435</v>
      </c>
      <c r="M1114" t="s">
        <v>5436</v>
      </c>
      <c r="N1114" t="s">
        <v>6376</v>
      </c>
    </row>
    <row r="1115" spans="1:14" x14ac:dyDescent="0.25">
      <c r="A1115">
        <v>450851</v>
      </c>
      <c r="B1115" t="s">
        <v>5437</v>
      </c>
      <c r="C1115">
        <v>5121</v>
      </c>
      <c r="D1115" t="str" cm="1">
        <f t="array" ref="D1115">_xlfn.TEXTJOIN(",",TRUE,_xlfn.XLOOKUP(_xlfn.TEXTSPLIT(C1115,",")*1,_xlfn._TRO_TRAILING(Artists!A:A),_xlfn._TRO_TRAILING(Artists!B:B)))</f>
        <v>Ibrahim El-Salahi</v>
      </c>
      <c r="E1115">
        <v>1968</v>
      </c>
      <c r="F1115" cm="1">
        <f t="array" ref="F1115">_xlfn.REGEXEXTRACT(E1115,"\d{4}")*1</f>
        <v>1968</v>
      </c>
      <c r="G1115" t="s">
        <v>2349</v>
      </c>
      <c r="H1115" t="s">
        <v>5438</v>
      </c>
      <c r="I1115" t="s">
        <v>878</v>
      </c>
      <c r="J1115" t="s">
        <v>879</v>
      </c>
      <c r="K1115" s="1">
        <v>45334</v>
      </c>
      <c r="L1115" t="s">
        <v>5439</v>
      </c>
      <c r="M1115" t="s">
        <v>5440</v>
      </c>
      <c r="N1115" t="s">
        <v>6378</v>
      </c>
    </row>
    <row r="1116" spans="1:14" x14ac:dyDescent="0.25">
      <c r="A1116">
        <v>452184</v>
      </c>
      <c r="B1116" t="s">
        <v>5441</v>
      </c>
      <c r="C1116">
        <v>136791</v>
      </c>
      <c r="D1116" t="str" cm="1">
        <f t="array" ref="D1116">_xlfn.TEXTJOIN(",",TRUE,_xlfn.XLOOKUP(_xlfn.TEXTSPLIT(C1116,",")*1,_xlfn._TRO_TRAILING(Artists!A:A),_xlfn._TRO_TRAILING(Artists!B:B)))</f>
        <v>Sheba Chhachhi</v>
      </c>
      <c r="E1116" t="s">
        <v>1656</v>
      </c>
      <c r="F1116" cm="1">
        <f t="array" ref="F1116">_xlfn.REGEXEXTRACT(E1116,"\d{4}")*1</f>
        <v>1980</v>
      </c>
      <c r="G1116" t="s">
        <v>5443</v>
      </c>
      <c r="H1116" t="s">
        <v>5444</v>
      </c>
      <c r="I1116" t="s">
        <v>806</v>
      </c>
      <c r="J1116" t="s">
        <v>1140</v>
      </c>
      <c r="K1116" s="1">
        <v>45330</v>
      </c>
      <c r="L1116" t="s">
        <v>5445</v>
      </c>
      <c r="M1116" t="s">
        <v>5446</v>
      </c>
      <c r="N1116" t="s">
        <v>6425</v>
      </c>
    </row>
    <row r="1117" spans="1:14" x14ac:dyDescent="0.25">
      <c r="A1117">
        <v>452187</v>
      </c>
      <c r="B1117" t="s">
        <v>5447</v>
      </c>
      <c r="C1117">
        <v>136791</v>
      </c>
      <c r="D1117" t="str" cm="1">
        <f t="array" ref="D1117">_xlfn.TEXTJOIN(",",TRUE,_xlfn.XLOOKUP(_xlfn.TEXTSPLIT(C1117,",")*1,_xlfn._TRO_TRAILING(Artists!A:A),_xlfn._TRO_TRAILING(Artists!B:B)))</f>
        <v>Sheba Chhachhi</v>
      </c>
      <c r="E1117" t="s">
        <v>1656</v>
      </c>
      <c r="F1117" cm="1">
        <f t="array" ref="F1117">_xlfn.REGEXEXTRACT(E1117,"\d{4}")*1</f>
        <v>1980</v>
      </c>
      <c r="G1117" t="s">
        <v>5443</v>
      </c>
      <c r="H1117" t="s">
        <v>591</v>
      </c>
      <c r="I1117" t="s">
        <v>806</v>
      </c>
      <c r="J1117" t="s">
        <v>1140</v>
      </c>
      <c r="K1117" s="1">
        <v>45330</v>
      </c>
      <c r="L1117" t="s">
        <v>5448</v>
      </c>
      <c r="M1117" t="s">
        <v>5449</v>
      </c>
      <c r="N1117" t="s">
        <v>6425</v>
      </c>
    </row>
    <row r="1118" spans="1:14" x14ac:dyDescent="0.25">
      <c r="A1118">
        <v>452188</v>
      </c>
      <c r="B1118" t="s">
        <v>5450</v>
      </c>
      <c r="C1118">
        <v>136791</v>
      </c>
      <c r="D1118" t="str" cm="1">
        <f t="array" ref="D1118">_xlfn.TEXTJOIN(",",TRUE,_xlfn.XLOOKUP(_xlfn.TEXTSPLIT(C1118,",")*1,_xlfn._TRO_TRAILING(Artists!A:A),_xlfn._TRO_TRAILING(Artists!B:B)))</f>
        <v>Sheba Chhachhi</v>
      </c>
      <c r="E1118" t="s">
        <v>1656</v>
      </c>
      <c r="F1118" cm="1">
        <f t="array" ref="F1118">_xlfn.REGEXEXTRACT(E1118,"\d{4}")*1</f>
        <v>1980</v>
      </c>
      <c r="G1118" t="s">
        <v>5443</v>
      </c>
      <c r="H1118" t="s">
        <v>5451</v>
      </c>
      <c r="I1118" t="s">
        <v>806</v>
      </c>
      <c r="J1118" t="s">
        <v>1140</v>
      </c>
      <c r="K1118" s="1">
        <v>45330</v>
      </c>
      <c r="L1118" t="s">
        <v>5452</v>
      </c>
      <c r="M1118" t="s">
        <v>5453</v>
      </c>
      <c r="N1118" t="s">
        <v>6425</v>
      </c>
    </row>
    <row r="1119" spans="1:14" x14ac:dyDescent="0.25">
      <c r="A1119">
        <v>459839</v>
      </c>
      <c r="B1119" t="s">
        <v>5454</v>
      </c>
      <c r="C1119">
        <v>68036</v>
      </c>
      <c r="D1119" t="str" cm="1">
        <f t="array" ref="D1119">_xlfn.TEXTJOIN(",",TRUE,_xlfn.XLOOKUP(_xlfn.TEXTSPLIT(C1119,",")*1,_xlfn._TRO_TRAILING(Artists!A:A),_xlfn._TRO_TRAILING(Artists!B:B)))</f>
        <v>Martine Syms</v>
      </c>
      <c r="E1119">
        <v>2016</v>
      </c>
      <c r="F1119" cm="1">
        <f t="array" ref="F1119">_xlfn.REGEXEXTRACT(E1119,"\d{4}")*1</f>
        <v>2016</v>
      </c>
      <c r="G1119" t="s">
        <v>5455</v>
      </c>
      <c r="H1119" t="s">
        <v>481</v>
      </c>
      <c r="I1119" t="s">
        <v>1693</v>
      </c>
      <c r="J1119" t="s">
        <v>674</v>
      </c>
      <c r="K1119" s="1">
        <v>45358</v>
      </c>
      <c r="L1119" t="s">
        <v>5456</v>
      </c>
      <c r="M1119" t="s">
        <v>5457</v>
      </c>
      <c r="N1119" t="s">
        <v>6376</v>
      </c>
    </row>
    <row r="1120" spans="1:14" x14ac:dyDescent="0.25">
      <c r="A1120">
        <v>459938</v>
      </c>
      <c r="B1120" t="s">
        <v>5458</v>
      </c>
      <c r="C1120" t="s">
        <v>5459</v>
      </c>
      <c r="D1120" t="str" cm="1">
        <f t="array" ref="D1120">_xlfn.TEXTJOIN(",",TRUE,_xlfn.XLOOKUP(_xlfn.TEXTSPLIT(C1120,",")*1,_xlfn._TRO_TRAILING(Artists!A:A),_xlfn._TRO_TRAILING(Artists!B:B)))</f>
        <v>Arinjoy Sen,SHE Kantha (Anima Sarkar, Tapati Roy, Kakoli Mandal, Sabina Bibi, Ajija Khatoon, Manjila Bibi Mondal)</v>
      </c>
      <c r="E1120">
        <v>2023</v>
      </c>
      <c r="F1120" cm="1">
        <f t="array" ref="F1120">_xlfn.REGEXEXTRACT(E1120,"\d{4}")*1</f>
        <v>2023</v>
      </c>
      <c r="G1120" t="s">
        <v>5460</v>
      </c>
      <c r="H1120" t="s">
        <v>5461</v>
      </c>
      <c r="I1120" t="s">
        <v>18</v>
      </c>
      <c r="J1120" t="s">
        <v>19</v>
      </c>
      <c r="K1120" s="1">
        <v>45425</v>
      </c>
      <c r="L1120" t="s">
        <v>5462</v>
      </c>
      <c r="M1120" t="s">
        <v>5463</v>
      </c>
      <c r="N1120" t="s">
        <v>6381</v>
      </c>
    </row>
    <row r="1121" spans="1:14" x14ac:dyDescent="0.25">
      <c r="A1121">
        <v>467638</v>
      </c>
      <c r="B1121" t="s">
        <v>5467</v>
      </c>
      <c r="C1121">
        <v>137268</v>
      </c>
      <c r="D1121" t="str" cm="1">
        <f t="array" ref="D1121">_xlfn.TEXTJOIN(",",TRUE,_xlfn.XLOOKUP(_xlfn.TEXTSPLIT(C1121,",")*1,_xlfn._TRO_TRAILING(Artists!A:A),_xlfn._TRO_TRAILING(Artists!B:B)))</f>
        <v>Chris Cornelius</v>
      </c>
      <c r="E1121">
        <v>2014</v>
      </c>
      <c r="F1121" cm="1">
        <f t="array" ref="F1121">_xlfn.REGEXEXTRACT(E1121,"\d{4}")*1</f>
        <v>2014</v>
      </c>
      <c r="G1121" t="s">
        <v>5469</v>
      </c>
      <c r="H1121" t="s">
        <v>4658</v>
      </c>
      <c r="I1121" t="s">
        <v>18</v>
      </c>
      <c r="J1121" t="s">
        <v>19</v>
      </c>
      <c r="K1121" s="1">
        <v>45425</v>
      </c>
      <c r="L1121" t="s">
        <v>5470</v>
      </c>
      <c r="M1121" t="s">
        <v>5471</v>
      </c>
      <c r="N1121" t="s">
        <v>6381</v>
      </c>
    </row>
    <row r="1122" spans="1:14" x14ac:dyDescent="0.25">
      <c r="A1122">
        <v>467642</v>
      </c>
      <c r="B1122" t="s">
        <v>1880</v>
      </c>
      <c r="C1122">
        <v>137268</v>
      </c>
      <c r="D1122" t="str" cm="1">
        <f t="array" ref="D1122">_xlfn.TEXTJOIN(",",TRUE,_xlfn.XLOOKUP(_xlfn.TEXTSPLIT(C1122,",")*1,_xlfn._TRO_TRAILING(Artists!A:A),_xlfn._TRO_TRAILING(Artists!B:B)))</f>
        <v>Chris Cornelius</v>
      </c>
      <c r="E1122">
        <v>2009</v>
      </c>
      <c r="F1122" cm="1">
        <f t="array" ref="F1122">_xlfn.REGEXEXTRACT(E1122,"\d{4}")*1</f>
        <v>2009</v>
      </c>
      <c r="G1122" t="s">
        <v>5472</v>
      </c>
      <c r="H1122" t="s">
        <v>5473</v>
      </c>
      <c r="I1122" t="s">
        <v>18</v>
      </c>
      <c r="J1122" t="s">
        <v>19</v>
      </c>
      <c r="K1122" s="1">
        <v>45425</v>
      </c>
      <c r="L1122" t="s">
        <v>5474</v>
      </c>
      <c r="M1122" t="s">
        <v>5475</v>
      </c>
      <c r="N1122" t="s">
        <v>6381</v>
      </c>
    </row>
    <row r="1123" spans="1:14" x14ac:dyDescent="0.25">
      <c r="A1123">
        <v>467647</v>
      </c>
      <c r="B1123" t="s">
        <v>5476</v>
      </c>
      <c r="C1123">
        <v>41431</v>
      </c>
      <c r="D1123" t="str" cm="1">
        <f t="array" ref="D1123">_xlfn.TEXTJOIN(",",TRUE,_xlfn.XLOOKUP(_xlfn.TEXTSPLIT(C1123,",")*1,_xlfn._TRO_TRAILING(Artists!A:A),_xlfn._TRO_TRAILING(Artists!B:B)))</f>
        <v>Andrés Jaque</v>
      </c>
      <c r="E1123">
        <v>2024</v>
      </c>
      <c r="F1123" cm="1">
        <f t="array" ref="F1123">_xlfn.REGEXEXTRACT(E1123,"\d{4}")*1</f>
        <v>2024</v>
      </c>
      <c r="G1123" t="s">
        <v>61</v>
      </c>
      <c r="H1123" t="s">
        <v>5477</v>
      </c>
      <c r="I1123" t="s">
        <v>18</v>
      </c>
      <c r="J1123" t="s">
        <v>19</v>
      </c>
      <c r="K1123" s="1">
        <v>45425</v>
      </c>
      <c r="L1123" t="s">
        <v>5478</v>
      </c>
      <c r="M1123" t="s">
        <v>5479</v>
      </c>
      <c r="N1123" t="s">
        <v>6381</v>
      </c>
    </row>
    <row r="1124" spans="1:14" x14ac:dyDescent="0.25">
      <c r="A1124">
        <v>467648</v>
      </c>
      <c r="B1124" t="s">
        <v>5476</v>
      </c>
      <c r="C1124">
        <v>41431</v>
      </c>
      <c r="D1124" t="str" cm="1">
        <f t="array" ref="D1124">_xlfn.TEXTJOIN(",",TRUE,_xlfn.XLOOKUP(_xlfn.TEXTSPLIT(C1124,",")*1,_xlfn._TRO_TRAILING(Artists!A:A),_xlfn._TRO_TRAILING(Artists!B:B)))</f>
        <v>Andrés Jaque</v>
      </c>
      <c r="E1124">
        <v>2022</v>
      </c>
      <c r="F1124" cm="1">
        <f t="array" ref="F1124">_xlfn.REGEXEXTRACT(E1124,"\d{4}")*1</f>
        <v>2022</v>
      </c>
      <c r="G1124" t="s">
        <v>4856</v>
      </c>
      <c r="I1124" t="s">
        <v>18</v>
      </c>
      <c r="J1124" t="s">
        <v>19</v>
      </c>
      <c r="K1124" s="1">
        <v>45425</v>
      </c>
      <c r="L1124" t="s">
        <v>5480</v>
      </c>
      <c r="M1124" t="s">
        <v>5481</v>
      </c>
      <c r="N1124" t="s">
        <v>6381</v>
      </c>
    </row>
    <row r="1125" spans="1:14" x14ac:dyDescent="0.25">
      <c r="A1125">
        <v>467649</v>
      </c>
      <c r="B1125" t="s">
        <v>5476</v>
      </c>
      <c r="C1125">
        <v>41431</v>
      </c>
      <c r="D1125" t="str" cm="1">
        <f t="array" ref="D1125">_xlfn.TEXTJOIN(",",TRUE,_xlfn.XLOOKUP(_xlfn.TEXTSPLIT(C1125,",")*1,_xlfn._TRO_TRAILING(Artists!A:A),_xlfn._TRO_TRAILING(Artists!B:B)))</f>
        <v>Andrés Jaque</v>
      </c>
      <c r="E1125">
        <v>2022</v>
      </c>
      <c r="F1125" cm="1">
        <f t="array" ref="F1125">_xlfn.REGEXEXTRACT(E1125,"\d{4}")*1</f>
        <v>2022</v>
      </c>
      <c r="G1125" t="s">
        <v>4856</v>
      </c>
      <c r="I1125" t="s">
        <v>18</v>
      </c>
      <c r="J1125" t="s">
        <v>19</v>
      </c>
      <c r="K1125" s="1">
        <v>45425</v>
      </c>
      <c r="L1125" t="s">
        <v>5482</v>
      </c>
      <c r="M1125" t="s">
        <v>5483</v>
      </c>
      <c r="N1125" t="s">
        <v>6381</v>
      </c>
    </row>
    <row r="1126" spans="1:14" x14ac:dyDescent="0.25">
      <c r="A1126">
        <v>467650</v>
      </c>
      <c r="B1126" t="s">
        <v>5476</v>
      </c>
      <c r="C1126">
        <v>41431</v>
      </c>
      <c r="D1126" t="str" cm="1">
        <f t="array" ref="D1126">_xlfn.TEXTJOIN(",",TRUE,_xlfn.XLOOKUP(_xlfn.TEXTSPLIT(C1126,",")*1,_xlfn._TRO_TRAILING(Artists!A:A),_xlfn._TRO_TRAILING(Artists!B:B)))</f>
        <v>Andrés Jaque</v>
      </c>
      <c r="E1126">
        <v>2022</v>
      </c>
      <c r="F1126" cm="1">
        <f t="array" ref="F1126">_xlfn.REGEXEXTRACT(E1126,"\d{4}")*1</f>
        <v>2022</v>
      </c>
      <c r="G1126" t="s">
        <v>4856</v>
      </c>
      <c r="I1126" t="s">
        <v>18</v>
      </c>
      <c r="J1126" t="s">
        <v>19</v>
      </c>
      <c r="K1126" s="1">
        <v>45425</v>
      </c>
      <c r="L1126" t="s">
        <v>5484</v>
      </c>
      <c r="M1126" t="s">
        <v>5485</v>
      </c>
      <c r="N1126" t="s">
        <v>6381</v>
      </c>
    </row>
    <row r="1127" spans="1:14" x14ac:dyDescent="0.25">
      <c r="A1127">
        <v>467651</v>
      </c>
      <c r="B1127" t="s">
        <v>5476</v>
      </c>
      <c r="C1127">
        <v>41431</v>
      </c>
      <c r="D1127" t="str" cm="1">
        <f t="array" ref="D1127">_xlfn.TEXTJOIN(",",TRUE,_xlfn.XLOOKUP(_xlfn.TEXTSPLIT(C1127,",")*1,_xlfn._TRO_TRAILING(Artists!A:A),_xlfn._TRO_TRAILING(Artists!B:B)))</f>
        <v>Andrés Jaque</v>
      </c>
      <c r="E1127">
        <v>2022</v>
      </c>
      <c r="F1127" cm="1">
        <f t="array" ref="F1127">_xlfn.REGEXEXTRACT(E1127,"\d{4}")*1</f>
        <v>2022</v>
      </c>
      <c r="G1127" t="s">
        <v>4856</v>
      </c>
      <c r="I1127" t="s">
        <v>18</v>
      </c>
      <c r="J1127" t="s">
        <v>19</v>
      </c>
      <c r="K1127" s="1">
        <v>45425</v>
      </c>
      <c r="L1127" t="s">
        <v>5486</v>
      </c>
      <c r="M1127" t="s">
        <v>5487</v>
      </c>
      <c r="N1127" t="s">
        <v>6381</v>
      </c>
    </row>
    <row r="1128" spans="1:14" x14ac:dyDescent="0.25">
      <c r="A1128">
        <v>467652</v>
      </c>
      <c r="B1128" t="s">
        <v>5476</v>
      </c>
      <c r="C1128">
        <v>41431</v>
      </c>
      <c r="D1128" t="str" cm="1">
        <f t="array" ref="D1128">_xlfn.TEXTJOIN(",",TRUE,_xlfn.XLOOKUP(_xlfn.TEXTSPLIT(C1128,",")*1,_xlfn._TRO_TRAILING(Artists!A:A),_xlfn._TRO_TRAILING(Artists!B:B)))</f>
        <v>Andrés Jaque</v>
      </c>
      <c r="E1128">
        <v>2022</v>
      </c>
      <c r="F1128" cm="1">
        <f t="array" ref="F1128">_xlfn.REGEXEXTRACT(E1128,"\d{4}")*1</f>
        <v>2022</v>
      </c>
      <c r="G1128" t="s">
        <v>4856</v>
      </c>
      <c r="I1128" t="s">
        <v>18</v>
      </c>
      <c r="J1128" t="s">
        <v>19</v>
      </c>
      <c r="K1128" s="1">
        <v>45425</v>
      </c>
      <c r="L1128" t="s">
        <v>5488</v>
      </c>
      <c r="M1128" t="s">
        <v>5489</v>
      </c>
      <c r="N1128" t="s">
        <v>6381</v>
      </c>
    </row>
    <row r="1129" spans="1:14" x14ac:dyDescent="0.25">
      <c r="A1129">
        <v>467653</v>
      </c>
      <c r="B1129" t="s">
        <v>5476</v>
      </c>
      <c r="C1129">
        <v>41431</v>
      </c>
      <c r="D1129" t="str" cm="1">
        <f t="array" ref="D1129">_xlfn.TEXTJOIN(",",TRUE,_xlfn.XLOOKUP(_xlfn.TEXTSPLIT(C1129,",")*1,_xlfn._TRO_TRAILING(Artists!A:A),_xlfn._TRO_TRAILING(Artists!B:B)))</f>
        <v>Andrés Jaque</v>
      </c>
      <c r="E1129">
        <v>2022</v>
      </c>
      <c r="F1129" cm="1">
        <f t="array" ref="F1129">_xlfn.REGEXEXTRACT(E1129,"\d{4}")*1</f>
        <v>2022</v>
      </c>
      <c r="G1129" t="s">
        <v>4856</v>
      </c>
      <c r="I1129" t="s">
        <v>18</v>
      </c>
      <c r="J1129" t="s">
        <v>19</v>
      </c>
      <c r="K1129" s="1">
        <v>45425</v>
      </c>
      <c r="L1129" t="s">
        <v>5490</v>
      </c>
      <c r="M1129" t="s">
        <v>5491</v>
      </c>
      <c r="N1129" t="s">
        <v>6381</v>
      </c>
    </row>
    <row r="1130" spans="1:14" x14ac:dyDescent="0.25">
      <c r="A1130">
        <v>468841</v>
      </c>
      <c r="B1130" t="s">
        <v>5492</v>
      </c>
      <c r="C1130" t="s">
        <v>5493</v>
      </c>
      <c r="D1130" t="str" cm="1">
        <f t="array" ref="D1130">_xlfn.TEXTJOIN(",",TRUE,_xlfn.XLOOKUP(_xlfn.TEXTSPLIT(C1130,",")*1,_xlfn._TRO_TRAILING(Artists!A:A),_xlfn._TRO_TRAILING(Artists!B:B)))</f>
        <v>Marina Tabassum,Piplu R. Kahn,MTA (Marina Tabassum Architects)</v>
      </c>
      <c r="E1130">
        <v>2023</v>
      </c>
      <c r="F1130" cm="1">
        <f t="array" ref="F1130">_xlfn.REGEXEXTRACT(E1130,"\d{4}")*1</f>
        <v>2023</v>
      </c>
      <c r="G1130" t="s">
        <v>4567</v>
      </c>
      <c r="I1130" t="s">
        <v>18</v>
      </c>
      <c r="J1130" t="s">
        <v>19</v>
      </c>
      <c r="K1130" s="1">
        <v>45425</v>
      </c>
      <c r="L1130" t="s">
        <v>5494</v>
      </c>
      <c r="M1130" t="s">
        <v>5495</v>
      </c>
      <c r="N1130" t="s">
        <v>6381</v>
      </c>
    </row>
    <row r="1131" spans="1:14" x14ac:dyDescent="0.25">
      <c r="A1131">
        <v>468847</v>
      </c>
      <c r="B1131" t="s">
        <v>5496</v>
      </c>
      <c r="C1131" t="s">
        <v>5497</v>
      </c>
      <c r="D1131" t="str" cm="1">
        <f t="array" ref="D1131">_xlfn.TEXTJOIN(",",TRUE,_xlfn.XLOOKUP(_xlfn.TEXTSPLIT(C1131,",")*1,_xlfn._TRO_TRAILING(Artists!A:A),_xlfn._TRO_TRAILING(Artists!B:B)))</f>
        <v>cave_bureau,Stella Mutegi,Kabage Karanja</v>
      </c>
      <c r="E1131">
        <v>2019</v>
      </c>
      <c r="F1131" cm="1">
        <f t="array" ref="F1131">_xlfn.REGEXEXTRACT(E1131,"\d{4}")*1</f>
        <v>2019</v>
      </c>
      <c r="G1131" t="s">
        <v>107</v>
      </c>
      <c r="H1131" t="s">
        <v>5498</v>
      </c>
      <c r="I1131" t="s">
        <v>18</v>
      </c>
      <c r="J1131" t="s">
        <v>19</v>
      </c>
      <c r="K1131" s="1">
        <v>45425</v>
      </c>
      <c r="L1131" t="s">
        <v>5499</v>
      </c>
      <c r="M1131" t="s">
        <v>5500</v>
      </c>
      <c r="N1131" t="s">
        <v>6381</v>
      </c>
    </row>
    <row r="1132" spans="1:14" x14ac:dyDescent="0.25">
      <c r="A1132">
        <v>468848</v>
      </c>
      <c r="B1132" t="s">
        <v>5496</v>
      </c>
      <c r="C1132" t="s">
        <v>5501</v>
      </c>
      <c r="D1132" t="str" cm="1">
        <f t="array" ref="D1132">_xlfn.TEXTJOIN(",",TRUE,_xlfn.XLOOKUP(_xlfn.TEXTSPLIT(C1132,",")*1,_xlfn._TRO_TRAILING(Artists!A:A),_xlfn._TRO_TRAILING(Artists!B:B)))</f>
        <v>cave_bureau,Kabage Karanja,Stella Mutegi</v>
      </c>
      <c r="E1132" t="s">
        <v>5502</v>
      </c>
      <c r="F1132" cm="1">
        <f t="array" ref="F1132">_xlfn.REGEXEXTRACT(E1132,"\d{4}")*1</f>
        <v>2019</v>
      </c>
      <c r="G1132" t="s">
        <v>5503</v>
      </c>
      <c r="H1132" t="s">
        <v>5504</v>
      </c>
      <c r="I1132" t="s">
        <v>18</v>
      </c>
      <c r="J1132" t="s">
        <v>19</v>
      </c>
      <c r="K1132" s="1">
        <v>45425</v>
      </c>
      <c r="L1132" t="s">
        <v>5505</v>
      </c>
      <c r="M1132" t="s">
        <v>5506</v>
      </c>
      <c r="N1132" t="s">
        <v>6381</v>
      </c>
    </row>
    <row r="1133" spans="1:14" x14ac:dyDescent="0.25">
      <c r="A1133">
        <v>468850</v>
      </c>
      <c r="B1133" t="s">
        <v>5507</v>
      </c>
      <c r="C1133" t="s">
        <v>5497</v>
      </c>
      <c r="D1133" t="str" cm="1">
        <f t="array" ref="D1133">_xlfn.TEXTJOIN(",",TRUE,_xlfn.XLOOKUP(_xlfn.TEXTSPLIT(C1133,",")*1,_xlfn._TRO_TRAILING(Artists!A:A),_xlfn._TRO_TRAILING(Artists!B:B)))</f>
        <v>cave_bureau,Stella Mutegi,Kabage Karanja</v>
      </c>
      <c r="E1133">
        <v>2019</v>
      </c>
      <c r="F1133" cm="1">
        <f t="array" ref="F1133">_xlfn.REGEXEXTRACT(E1133,"\d{4}")*1</f>
        <v>2019</v>
      </c>
      <c r="G1133" t="s">
        <v>4472</v>
      </c>
      <c r="I1133" t="s">
        <v>18</v>
      </c>
      <c r="J1133" t="s">
        <v>19</v>
      </c>
      <c r="K1133" s="1">
        <v>45425</v>
      </c>
      <c r="L1133" t="s">
        <v>5508</v>
      </c>
      <c r="M1133" t="s">
        <v>5509</v>
      </c>
      <c r="N1133" t="s">
        <v>6381</v>
      </c>
    </row>
    <row r="1134" spans="1:14" x14ac:dyDescent="0.25">
      <c r="A1134">
        <v>468888</v>
      </c>
      <c r="B1134" t="s">
        <v>5511</v>
      </c>
      <c r="C1134" t="s">
        <v>5510</v>
      </c>
      <c r="D1134" t="str" cm="1">
        <f t="array" ref="D1134">_xlfn.TEXTJOIN(",",TRUE,_xlfn.XLOOKUP(_xlfn.TEXTSPLIT(C1134,",")*1,_xlfn._TRO_TRAILING(Artists!A:A),_xlfn._TRO_TRAILING(Artists!B:B)))</f>
        <v>Boonserm Premthada,Spaceshift Studio</v>
      </c>
      <c r="E1134">
        <v>2019</v>
      </c>
      <c r="F1134" cm="1">
        <f t="array" ref="F1134">_xlfn.REGEXEXTRACT(E1134,"\d{4}")*1</f>
        <v>2019</v>
      </c>
      <c r="G1134" t="s">
        <v>4856</v>
      </c>
      <c r="I1134" t="s">
        <v>18</v>
      </c>
      <c r="J1134" t="s">
        <v>19</v>
      </c>
      <c r="K1134" s="1">
        <v>45425</v>
      </c>
      <c r="L1134" t="s">
        <v>5512</v>
      </c>
      <c r="M1134" t="s">
        <v>5513</v>
      </c>
      <c r="N1134" t="s">
        <v>6381</v>
      </c>
    </row>
    <row r="1135" spans="1:14" x14ac:dyDescent="0.25">
      <c r="A1135">
        <v>468891</v>
      </c>
      <c r="B1135" t="s">
        <v>5515</v>
      </c>
      <c r="C1135" t="s">
        <v>5510</v>
      </c>
      <c r="D1135" t="str" cm="1">
        <f t="array" ref="D1135">_xlfn.TEXTJOIN(",",TRUE,_xlfn.XLOOKUP(_xlfn.TEXTSPLIT(C1135,",")*1,_xlfn._TRO_TRAILING(Artists!A:A),_xlfn._TRO_TRAILING(Artists!B:B)))</f>
        <v>Boonserm Premthada,Spaceshift Studio</v>
      </c>
      <c r="E1135">
        <v>2020</v>
      </c>
      <c r="F1135" cm="1">
        <f t="array" ref="F1135">_xlfn.REGEXEXTRACT(E1135,"\d{4}")*1</f>
        <v>2020</v>
      </c>
      <c r="G1135" t="s">
        <v>4856</v>
      </c>
      <c r="I1135" t="s">
        <v>18</v>
      </c>
      <c r="J1135" t="s">
        <v>19</v>
      </c>
      <c r="K1135" s="1">
        <v>45425</v>
      </c>
      <c r="L1135" t="s">
        <v>5516</v>
      </c>
      <c r="M1135" t="s">
        <v>5517</v>
      </c>
      <c r="N1135" t="s">
        <v>6381</v>
      </c>
    </row>
    <row r="1136" spans="1:14" x14ac:dyDescent="0.25">
      <c r="A1136">
        <v>468895</v>
      </c>
      <c r="B1136" t="s">
        <v>5511</v>
      </c>
      <c r="C1136">
        <v>137387</v>
      </c>
      <c r="D1136" t="str" cm="1">
        <f t="array" ref="D1136">_xlfn.TEXTJOIN(",",TRUE,_xlfn.XLOOKUP(_xlfn.TEXTSPLIT(C1136,",")*1,_xlfn._TRO_TRAILING(Artists!A:A),_xlfn._TRO_TRAILING(Artists!B:B)))</f>
        <v>Boonserm Premthada</v>
      </c>
      <c r="E1136" t="s">
        <v>5519</v>
      </c>
      <c r="F1136" cm="1">
        <f t="array" ref="F1136">_xlfn.REGEXEXTRACT(E1136,"\d{4}")*1</f>
        <v>2015</v>
      </c>
      <c r="G1136" t="s">
        <v>61</v>
      </c>
      <c r="H1136" t="s">
        <v>4160</v>
      </c>
      <c r="I1136" t="s">
        <v>18</v>
      </c>
      <c r="J1136" t="s">
        <v>19</v>
      </c>
      <c r="K1136" s="1">
        <v>45425</v>
      </c>
      <c r="L1136" t="s">
        <v>5520</v>
      </c>
      <c r="M1136" t="s">
        <v>5521</v>
      </c>
      <c r="N1136" t="s">
        <v>6381</v>
      </c>
    </row>
    <row r="1137" spans="1:14" x14ac:dyDescent="0.25">
      <c r="A1137">
        <v>468898</v>
      </c>
      <c r="B1137" t="s">
        <v>5514</v>
      </c>
      <c r="C1137">
        <v>137387</v>
      </c>
      <c r="D1137" t="str" cm="1">
        <f t="array" ref="D1137">_xlfn.TEXTJOIN(",",TRUE,_xlfn.XLOOKUP(_xlfn.TEXTSPLIT(C1137,",")*1,_xlfn._TRO_TRAILING(Artists!A:A),_xlfn._TRO_TRAILING(Artists!B:B)))</f>
        <v>Boonserm Premthada</v>
      </c>
      <c r="E1137" t="s">
        <v>5519</v>
      </c>
      <c r="F1137" cm="1">
        <f t="array" ref="F1137">_xlfn.REGEXEXTRACT(E1137,"\d{4}")*1</f>
        <v>2015</v>
      </c>
      <c r="G1137" t="s">
        <v>848</v>
      </c>
      <c r="H1137" t="s">
        <v>4254</v>
      </c>
      <c r="I1137" t="s">
        <v>18</v>
      </c>
      <c r="J1137" t="s">
        <v>19</v>
      </c>
      <c r="K1137" s="1">
        <v>45425</v>
      </c>
      <c r="L1137" t="s">
        <v>5522</v>
      </c>
      <c r="M1137" t="s">
        <v>5523</v>
      </c>
      <c r="N1137" t="s">
        <v>6381</v>
      </c>
    </row>
    <row r="1138" spans="1:14" x14ac:dyDescent="0.25">
      <c r="A1138">
        <v>468903</v>
      </c>
      <c r="B1138" t="s">
        <v>5515</v>
      </c>
      <c r="C1138">
        <v>137387</v>
      </c>
      <c r="D1138" t="str" cm="1">
        <f t="array" ref="D1138">_xlfn.TEXTJOIN(",",TRUE,_xlfn.XLOOKUP(_xlfn.TEXTSPLIT(C1138,",")*1,_xlfn._TRO_TRAILING(Artists!A:A),_xlfn._TRO_TRAILING(Artists!B:B)))</f>
        <v>Boonserm Premthada</v>
      </c>
      <c r="E1138" t="s">
        <v>5519</v>
      </c>
      <c r="F1138" cm="1">
        <f t="array" ref="F1138">_xlfn.REGEXEXTRACT(E1138,"\d{4}")*1</f>
        <v>2015</v>
      </c>
      <c r="G1138" t="s">
        <v>848</v>
      </c>
      <c r="H1138" t="s">
        <v>4254</v>
      </c>
      <c r="I1138" t="s">
        <v>18</v>
      </c>
      <c r="J1138" t="s">
        <v>19</v>
      </c>
      <c r="K1138" s="1">
        <v>45425</v>
      </c>
      <c r="L1138" t="s">
        <v>5524</v>
      </c>
      <c r="M1138" t="s">
        <v>5525</v>
      </c>
      <c r="N1138" t="s">
        <v>6381</v>
      </c>
    </row>
    <row r="1139" spans="1:14" x14ac:dyDescent="0.25">
      <c r="A1139">
        <v>469893</v>
      </c>
      <c r="B1139" t="s">
        <v>5526</v>
      </c>
      <c r="C1139">
        <v>137338</v>
      </c>
      <c r="D1139" t="str" cm="1">
        <f t="array" ref="D1139">_xlfn.TEXTJOIN(",",TRUE,_xlfn.XLOOKUP(_xlfn.TEXTSPLIT(C1139,",")*1,_xlfn._TRO_TRAILING(Artists!A:A),_xlfn._TRO_TRAILING(Artists!B:B)))</f>
        <v>Fred Mitchell</v>
      </c>
      <c r="E1139">
        <v>1961</v>
      </c>
      <c r="F1139" cm="1">
        <f t="array" ref="F1139">_xlfn.REGEXEXTRACT(E1139,"\d{4}")*1</f>
        <v>1961</v>
      </c>
      <c r="G1139" t="s">
        <v>3432</v>
      </c>
      <c r="H1139" t="s">
        <v>5528</v>
      </c>
      <c r="I1139" t="s">
        <v>675</v>
      </c>
      <c r="J1139" t="s">
        <v>674</v>
      </c>
      <c r="K1139" s="1">
        <v>45449</v>
      </c>
      <c r="L1139" t="s">
        <v>5529</v>
      </c>
      <c r="M1139" t="s">
        <v>5530</v>
      </c>
      <c r="N1139" t="s">
        <v>6363</v>
      </c>
    </row>
    <row r="1140" spans="1:14" x14ac:dyDescent="0.25">
      <c r="A1140">
        <v>469894</v>
      </c>
      <c r="B1140" t="s">
        <v>5531</v>
      </c>
      <c r="C1140">
        <v>137338</v>
      </c>
      <c r="D1140" t="str" cm="1">
        <f t="array" ref="D1140">_xlfn.TEXTJOIN(",",TRUE,_xlfn.XLOOKUP(_xlfn.TEXTSPLIT(C1140,",")*1,_xlfn._TRO_TRAILING(Artists!A:A),_xlfn._TRO_TRAILING(Artists!B:B)))</f>
        <v>Fred Mitchell</v>
      </c>
      <c r="E1140" t="s">
        <v>2488</v>
      </c>
      <c r="F1140" cm="1">
        <f t="array" ref="F1140">_xlfn.REGEXEXTRACT(E1140,"\d{4}")*1</f>
        <v>1956</v>
      </c>
      <c r="G1140" t="s">
        <v>23</v>
      </c>
      <c r="H1140" t="s">
        <v>659</v>
      </c>
      <c r="I1140" t="s">
        <v>675</v>
      </c>
      <c r="J1140" t="s">
        <v>674</v>
      </c>
      <c r="K1140" s="1">
        <v>45449</v>
      </c>
      <c r="L1140" t="s">
        <v>5532</v>
      </c>
      <c r="M1140" t="s">
        <v>5533</v>
      </c>
      <c r="N1140" t="s">
        <v>6363</v>
      </c>
    </row>
    <row r="1141" spans="1:14" x14ac:dyDescent="0.25">
      <c r="A1141">
        <v>472957</v>
      </c>
      <c r="B1141" t="s">
        <v>5534</v>
      </c>
      <c r="C1141">
        <v>137574</v>
      </c>
      <c r="D1141" t="str" cm="1">
        <f t="array" ref="D1141">_xlfn.TEXTJOIN(",",TRUE,_xlfn.XLOOKUP(_xlfn.TEXTSPLIT(C1141,",")*1,_xlfn._TRO_TRAILING(Artists!A:A),_xlfn._TRO_TRAILING(Artists!B:B)))</f>
        <v>Beverly Buchanan</v>
      </c>
      <c r="E1141">
        <v>1993</v>
      </c>
      <c r="F1141" cm="1">
        <f t="array" ref="F1141">_xlfn.REGEXEXTRACT(E1141,"\d{4}")*1</f>
        <v>1993</v>
      </c>
      <c r="G1141" t="s">
        <v>5536</v>
      </c>
      <c r="H1141" t="s">
        <v>5537</v>
      </c>
      <c r="I1141" t="s">
        <v>675</v>
      </c>
      <c r="J1141" t="s">
        <v>674</v>
      </c>
      <c r="K1141" s="1">
        <v>45449</v>
      </c>
      <c r="L1141" t="s">
        <v>5538</v>
      </c>
      <c r="M1141" t="s">
        <v>5539</v>
      </c>
      <c r="N1141" t="s">
        <v>6409</v>
      </c>
    </row>
    <row r="1142" spans="1:14" x14ac:dyDescent="0.25">
      <c r="A1142">
        <v>473023</v>
      </c>
      <c r="B1142" t="s">
        <v>5540</v>
      </c>
      <c r="C1142">
        <v>137599</v>
      </c>
      <c r="D1142" t="str" cm="1">
        <f t="array" ref="D1142">_xlfn.TEXTJOIN(",",TRUE,_xlfn.XLOOKUP(_xlfn.TEXTSPLIT(C1142,",")*1,_xlfn._TRO_TRAILING(Artists!A:A),_xlfn._TRO_TRAILING(Artists!B:B)))</f>
        <v>Ann Leda Shapiro</v>
      </c>
      <c r="E1142">
        <v>1976</v>
      </c>
      <c r="F1142" cm="1">
        <f t="array" ref="F1142">_xlfn.REGEXEXTRACT(E1142,"\d{4}")*1</f>
        <v>1976</v>
      </c>
      <c r="G1142" t="s">
        <v>49</v>
      </c>
      <c r="H1142" t="s">
        <v>5169</v>
      </c>
      <c r="I1142" t="s">
        <v>675</v>
      </c>
      <c r="J1142" t="s">
        <v>674</v>
      </c>
      <c r="K1142" s="1">
        <v>45449</v>
      </c>
      <c r="L1142" t="s">
        <v>5542</v>
      </c>
      <c r="M1142" t="s">
        <v>5543</v>
      </c>
      <c r="N1142" t="s">
        <v>6376</v>
      </c>
    </row>
    <row r="1143" spans="1:14" x14ac:dyDescent="0.25">
      <c r="A1143">
        <v>482362</v>
      </c>
      <c r="B1143" t="s">
        <v>5544</v>
      </c>
      <c r="C1143">
        <v>75324</v>
      </c>
      <c r="D1143" t="str" cm="1">
        <f t="array" ref="D1143">_xlfn.TEXTJOIN(",",TRUE,_xlfn.XLOOKUP(_xlfn.TEXTSPLIT(C1143,",")*1,_xlfn._TRO_TRAILING(Artists!A:A),_xlfn._TRO_TRAILING(Artists!B:B)))</f>
        <v>Tom Lloyd</v>
      </c>
      <c r="E1143">
        <v>1968</v>
      </c>
      <c r="F1143" cm="1">
        <f t="array" ref="F1143">_xlfn.REGEXEXTRACT(E1143,"\d{4}")*1</f>
        <v>1968</v>
      </c>
      <c r="G1143" t="s">
        <v>5546</v>
      </c>
      <c r="H1143" t="s">
        <v>5547</v>
      </c>
      <c r="I1143" t="s">
        <v>2248</v>
      </c>
      <c r="J1143" t="s">
        <v>879</v>
      </c>
      <c r="K1143" s="1">
        <v>45565</v>
      </c>
      <c r="L1143" t="s">
        <v>5548</v>
      </c>
      <c r="M1143" t="s">
        <v>5549</v>
      </c>
      <c r="N1143" t="s">
        <v>6364</v>
      </c>
    </row>
  </sheetData>
  <autoFilter ref="N1:N1143" xr:uid="{35641A9C-7841-46EF-BCE4-6CA95E3701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Artists</vt: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Moe Adityanugroho</cp:lastModifiedBy>
  <dcterms:created xsi:type="dcterms:W3CDTF">2024-12-10T19:02:01Z</dcterms:created>
  <dcterms:modified xsi:type="dcterms:W3CDTF">2026-08-06T16:23:43Z</dcterms:modified>
</cp:coreProperties>
</file>