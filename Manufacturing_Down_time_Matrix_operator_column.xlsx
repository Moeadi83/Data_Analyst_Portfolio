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ham\OneDrive\Desktop\Data Analysis  porfolio\Excel Project-Manufacturing Downtime\"/>
    </mc:Choice>
  </mc:AlternateContent>
  <xr:revisionPtr revIDLastSave="0" documentId="13_ncr:2001_{BB0C9D8E-7A18-4540-9FFC-D4FFC9A3E31A}" xr6:coauthVersionLast="47" xr6:coauthVersionMax="47" xr10:uidLastSave="{00000000-0000-0000-0000-000000000000}"/>
  <bookViews>
    <workbookView xWindow="28680" yWindow="-255" windowWidth="29040" windowHeight="15720" activeTab="1" xr2:uid="{8FF62ED8-A67E-423F-8325-F23DB684777C}"/>
  </bookViews>
  <sheets>
    <sheet name="Line productivity" sheetId="1" r:id="rId1"/>
    <sheet name="Dashboard" sheetId="9" r:id="rId2"/>
    <sheet name="Products" sheetId="8" r:id="rId3"/>
    <sheet name="Downtime factors" sheetId="3" r:id="rId4"/>
    <sheet name="Line downtime" sheetId="2" r:id="rId5"/>
  </sheets>
  <externalReferences>
    <externalReference r:id="rId6"/>
  </externalReferences>
  <definedNames>
    <definedName name="_xlnm._FilterDatabase" localSheetId="3" hidden="1">'Downtime factors'!$A$1:$C$13</definedName>
    <definedName name="_xlnm._FilterDatabase" localSheetId="0" hidden="1">'Line productivity'!$A$1:$F$39</definedName>
  </definedNames>
  <calcPr calcId="191029"/>
  <pivotCaches>
    <pivotCache cacheId="1" r:id="rId7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9" l="1"/>
  <c r="C32" i="9"/>
  <c r="C30" i="9"/>
  <c r="C29" i="9"/>
  <c r="D30" i="9"/>
  <c r="E30" i="9"/>
  <c r="F30" i="9"/>
  <c r="G30" i="9"/>
  <c r="D31" i="9"/>
  <c r="E31" i="9"/>
  <c r="F31" i="9"/>
  <c r="G31" i="9"/>
  <c r="D32" i="9"/>
  <c r="E32" i="9"/>
  <c r="F32" i="9"/>
  <c r="G32" i="9"/>
  <c r="D29" i="9"/>
  <c r="E29" i="9"/>
  <c r="F29" i="9"/>
  <c r="G29" i="9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3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2" i="1"/>
</calcChain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<sst xmlns="http://schemas.openxmlformats.org/spreadsheetml/2006/main" count="153" uniqueCount="50">
  <si>
    <t>Date</t>
  </si>
  <si>
    <t>Product</t>
  </si>
  <si>
    <t>Batch</t>
  </si>
  <si>
    <t>Operator</t>
  </si>
  <si>
    <t>Start Time</t>
  </si>
  <si>
    <t>End Time</t>
  </si>
  <si>
    <t>Factor</t>
  </si>
  <si>
    <t>Operator Error</t>
  </si>
  <si>
    <t>Batch change</t>
  </si>
  <si>
    <t>Machine adjustment</t>
  </si>
  <si>
    <t>Product spill</t>
  </si>
  <si>
    <t>Label switch</t>
  </si>
  <si>
    <t>Machine failure</t>
  </si>
  <si>
    <t>Batch coding error</t>
  </si>
  <si>
    <t>Inventory shortage</t>
  </si>
  <si>
    <t>Conveyor belt jam</t>
  </si>
  <si>
    <t>Other</t>
  </si>
  <si>
    <t>Emergency stop</t>
  </si>
  <si>
    <t>Calibration error</t>
  </si>
  <si>
    <t>Labeling error</t>
  </si>
  <si>
    <t>No</t>
  </si>
  <si>
    <t>Yes</t>
  </si>
  <si>
    <t>Description</t>
  </si>
  <si>
    <t>Downtime factor</t>
  </si>
  <si>
    <t>OR-600</t>
  </si>
  <si>
    <t>LE-600</t>
  </si>
  <si>
    <t>CO-600</t>
  </si>
  <si>
    <t>DC-600</t>
  </si>
  <si>
    <t>RB-600</t>
  </si>
  <si>
    <t>CO-2L</t>
  </si>
  <si>
    <t>Flavor</t>
  </si>
  <si>
    <t>Size</t>
  </si>
  <si>
    <t>Orange</t>
  </si>
  <si>
    <t>Lemon lime</t>
  </si>
  <si>
    <t>Cola</t>
  </si>
  <si>
    <t>Diet Cola</t>
  </si>
  <si>
    <t>Root Beer</t>
  </si>
  <si>
    <t>2 L</t>
  </si>
  <si>
    <t>600 ml</t>
  </si>
  <si>
    <t>Min batch time</t>
  </si>
  <si>
    <t>Charlie</t>
  </si>
  <si>
    <t>Dee</t>
  </si>
  <si>
    <t>Dennis</t>
  </si>
  <si>
    <t>Mac</t>
  </si>
  <si>
    <t>Batch Time</t>
  </si>
  <si>
    <t>Sum of Efficiency</t>
  </si>
  <si>
    <t>Row Labels</t>
  </si>
  <si>
    <t>Grand Total</t>
  </si>
  <si>
    <t>Machine adjusment</t>
  </si>
  <si>
    <t>Total Down time-1116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</si>
</sst>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h:mm:ss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0" xfId="0" applyFont="1" applyFill="1"/>
    <xf numFmtId="165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"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23/09/relationships/Python" Target="pyth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[Manufacturing_Down_time_Matrix_operator_column.xlsx]Line productivity!PivotTable3</c:name>
    <c:fmtId val="4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4.3935045922727102E-2"/>
              <c:y val="2.9962546816478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7306581638339515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3666255493196839E-2"/>
          <c:y val="0.10513857677902622"/>
          <c:w val="0.90105198940324593"/>
          <c:h val="0.8559101123595506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'Line productivity'!$M$1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345-4DC3-BCC0-4B627F33D95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345-4DC3-BCC0-4B627F33D95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345-4DC3-BCC0-4B627F33D95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345-4DC3-BCC0-4B627F33D959}"/>
              </c:ext>
            </c:extLst>
          </c:dPt>
          <c:dLbls>
            <c:dLbl>
              <c:idx val="0"/>
              <c:layout>
                <c:manualLayout>
                  <c:x val="-5.7306581638339515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345-4DC3-BCC0-4B627F33D959}"/>
                </c:ext>
              </c:extLst>
            </c:dLbl>
            <c:dLbl>
              <c:idx val="1"/>
              <c:layout>
                <c:manualLayout>
                  <c:x val="-4.3935045922727102E-2"/>
                  <c:y val="2.9962546816478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345-4DC3-BCC0-4B627F33D959}"/>
                </c:ext>
              </c:extLst>
            </c:dLbl>
            <c:dLbl>
              <c:idx val="2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345-4DC3-BCC0-4B627F33D959}"/>
                </c:ext>
              </c:extLst>
            </c:dLbl>
            <c:dLbl>
              <c:idx val="3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345-4DC3-BCC0-4B627F33D9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'Line productivity'!$L$2:$L$6</c:f>
              <c:strCache>
                <c:ptCount val="4"/>
                <c:pt idx="0">
                  <c:v>Charlie</c:v>
                </c:pt>
                <c:pt idx="1">
                  <c:v>Dee</c:v>
                </c:pt>
                <c:pt idx="2">
                  <c:v>Dennis</c:v>
                </c:pt>
                <c:pt idx="3">
                  <c:v>Mac</c:v>
                </c:pt>
              </c:strCache>
            </c:strRef>
          </c:cat>
          <c:val>
            <c:numRef>
              <c:f>'Line productivity'!$M$2:$M$6</c:f>
              <c:numCache>
                <c:formatCode>0%</c:formatCode>
                <c:ptCount val="4"/>
                <c:pt idx="0">
                  <c:v>0.66839378238341973</c:v>
                </c:pt>
                <c:pt idx="1">
                  <c:v>0.64077669902912626</c:v>
                </c:pt>
                <c:pt idx="2">
                  <c:v>0.63170731707317074</c:v>
                </c:pt>
                <c:pt idx="3">
                  <c:v>0.60941176470588243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45-4DC3-BCC0-4B627F33D9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59904544"/>
        <c:axId val="1206486096"/>
      </c:barChart>
      <c:catAx>
        <c:axId val="105990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486096"/>
        <c:crosses val="autoZero"/>
        <c:auto val="1"/>
        <c:lblAlgn val="ctr"/>
        <c:lblOffset val="100"/>
        <c:noMultiLvlLbl val="0"/>
      </c:catAx>
      <c:valAx>
        <c:axId val="1206486096"/>
        <c:scaling>
          <c:orientation val="minMax"/>
          <c:max val="0.70000000000000007"/>
          <c:min val="0"/>
        </c:scaling>
        <c:delete val="1"/>
        <c:axPos val="b"/>
        <c:numFmt formatCode="0%" sourceLinked="1"/>
        <c:majorTickMark val="none"/>
        <c:minorTickMark val="none"/>
        <c:tickLblPos val="nextTo"/>
        <c:crossAx val="105990454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154778395935248"/>
          <c:y val="0.15019323671497586"/>
          <c:w val="0.82930196682556223"/>
          <c:h val="0.474255772376279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'[1]Downtime factors'!$D$1</c:f>
              <c:strCache>
                <c:ptCount val="1"/>
                <c:pt idx="0">
                  <c:v>Downtime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E77-4159-AD6E-46BE92A7C7CD}"/>
              </c:ext>
            </c:extLst>
          </c:dPt>
          <c:dPt>
            <c:idx val="6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E77-4159-AD6E-46BE92A7C7CD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E77-4159-AD6E-46BE92A7C7CD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E77-4159-AD6E-46BE92A7C7CD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E77-4159-AD6E-46BE92A7C7CD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E77-4159-AD6E-46BE92A7C7CD}"/>
              </c:ext>
            </c:extLst>
          </c:dPt>
          <c:dLbls>
            <c:dLbl>
              <c:idx val="0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E77-4159-AD6E-46BE92A7C7CD}"/>
                </c:ext>
              </c:extLst>
            </c:dLbl>
            <c:dLbl>
              <c:idx val="1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E77-4159-AD6E-46BE92A7C7CD}"/>
                </c:ext>
              </c:extLst>
            </c:dLbl>
            <c:dLbl>
              <c:idx val="2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E77-4159-AD6E-46BE92A7C7CD}"/>
                </c:ext>
              </c:extLst>
            </c:dLbl>
            <c:dLbl>
              <c:idx val="3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E77-4159-AD6E-46BE92A7C7CD}"/>
                </c:ext>
              </c:extLst>
            </c:dLbl>
            <c:dLbl>
              <c:idx val="4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E77-4159-AD6E-46BE92A7C7CD}"/>
                </c:ext>
              </c:extLst>
            </c:dLbl>
            <c:dLbl>
              <c:idx val="5"/>
              <c:spPr>
                <a:solidFill>
                  <a:schemeClr val="bg1">
                    <a:lumMod val="85000"/>
                    <a:alpha val="59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9E77-4159-AD6E-46BE92A7C7CD}"/>
                </c:ext>
              </c:extLst>
            </c:dLbl>
            <c:spPr>
              <a:solidFill>
                <a:schemeClr val="bg2">
                  <a:alpha val="59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'[1]Downtime factors'!$B$2:$B$13</c:f>
              <c:strCache>
                <c:ptCount val="12"/>
                <c:pt idx="0">
                  <c:v>Machine adjustment</c:v>
                </c:pt>
                <c:pt idx="1">
                  <c:v>Machine failure</c:v>
                </c:pt>
                <c:pt idx="2">
                  <c:v>Inventory shortage</c:v>
                </c:pt>
                <c:pt idx="3">
                  <c:v>Batch change</c:v>
                </c:pt>
                <c:pt idx="4">
                  <c:v>Batch coding error</c:v>
                </c:pt>
                <c:pt idx="5">
                  <c:v>Other</c:v>
                </c:pt>
                <c:pt idx="6">
                  <c:v>Product spill</c:v>
                </c:pt>
                <c:pt idx="7">
                  <c:v>Calibration error</c:v>
                </c:pt>
                <c:pt idx="8">
                  <c:v>Labeling error</c:v>
                </c:pt>
                <c:pt idx="9">
                  <c:v>Label switch</c:v>
                </c:pt>
                <c:pt idx="10">
                  <c:v>Conveyor belt jam</c:v>
                </c:pt>
                <c:pt idx="11">
                  <c:v>Emergency stop</c:v>
                </c:pt>
              </c:strCache>
            </c:strRef>
          </c:cat>
          <c:val>
            <c:numRef>
              <c:f>'[1]Downtime factors'!$D$2:$D$13</c:f>
              <c:numCache>
                <c:formatCode>General</c:formatCode>
                <c:ptCount val="12"/>
                <c:pt idx="0">
                  <c:v>332</c:v>
                </c:pt>
                <c:pt idx="1">
                  <c:v>254</c:v>
                </c:pt>
                <c:pt idx="2">
                  <c:v>225</c:v>
                </c:pt>
                <c:pt idx="3">
                  <c:v>160</c:v>
                </c:pt>
                <c:pt idx="4">
                  <c:v>145</c:v>
                </c:pt>
                <c:pt idx="5">
                  <c:v>74</c:v>
                </c:pt>
                <c:pt idx="6">
                  <c:v>57</c:v>
                </c:pt>
                <c:pt idx="7">
                  <c:v>49</c:v>
                </c:pt>
                <c:pt idx="8">
                  <c:v>42</c:v>
                </c:pt>
                <c:pt idx="9">
                  <c:v>33</c:v>
                </c:pt>
                <c:pt idx="10">
                  <c:v>17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7-4159-AD6E-46BE92A7C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08687951"/>
        <c:axId val="1362904847"/>
      </c:barChart>
      <c:lineChart>
        <c:grouping val="standard"/>
        <c:varyColors val="0"/>
        <c:ser>
          <c:idx val="1"/>
          <c:order val="1"/>
          <c:tx>
            <c:strRef>
              <c:f>'[1]Downtime factors'!$E$1</c:f>
              <c:strCache>
                <c:ptCount val="1"/>
                <c:pt idx="0">
                  <c:v>Pareto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9E77-4159-AD6E-46BE92A7C7CD}"/>
              </c:ext>
            </c:extLst>
          </c:dPt>
          <c:dLbls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E77-4159-AD6E-46BE92A7C7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'[1]Downtime factors'!$B$2:$B$13</c:f>
              <c:strCache>
                <c:ptCount val="12"/>
                <c:pt idx="0">
                  <c:v>Machine adjustment</c:v>
                </c:pt>
                <c:pt idx="1">
                  <c:v>Machine failure</c:v>
                </c:pt>
                <c:pt idx="2">
                  <c:v>Inventory shortage</c:v>
                </c:pt>
                <c:pt idx="3">
                  <c:v>Batch change</c:v>
                </c:pt>
                <c:pt idx="4">
                  <c:v>Batch coding error</c:v>
                </c:pt>
                <c:pt idx="5">
                  <c:v>Other</c:v>
                </c:pt>
                <c:pt idx="6">
                  <c:v>Product spill</c:v>
                </c:pt>
                <c:pt idx="7">
                  <c:v>Calibration error</c:v>
                </c:pt>
                <c:pt idx="8">
                  <c:v>Labeling error</c:v>
                </c:pt>
                <c:pt idx="9">
                  <c:v>Label switch</c:v>
                </c:pt>
                <c:pt idx="10">
                  <c:v>Conveyor belt jam</c:v>
                </c:pt>
                <c:pt idx="11">
                  <c:v>Emergency stop</c:v>
                </c:pt>
              </c:strCache>
            </c:strRef>
          </c:cat>
          <c:val>
            <c:numRef>
              <c:f>'[1]Downtime factors'!$E$2:$E$13</c:f>
              <c:numCache>
                <c:formatCode>General</c:formatCode>
                <c:ptCount val="12"/>
                <c:pt idx="0">
                  <c:v>0.23919308357348704</c:v>
                </c:pt>
                <c:pt idx="1">
                  <c:v>0.42219020172910665</c:v>
                </c:pt>
                <c:pt idx="2">
                  <c:v>0.58429394812680113</c:v>
                </c:pt>
                <c:pt idx="3">
                  <c:v>0.69956772334293948</c:v>
                </c:pt>
                <c:pt idx="4">
                  <c:v>0.80403458213256485</c:v>
                </c:pt>
                <c:pt idx="5">
                  <c:v>0.85734870317002887</c:v>
                </c:pt>
                <c:pt idx="6">
                  <c:v>0.89841498559077815</c:v>
                </c:pt>
                <c:pt idx="7">
                  <c:v>0.93371757925072041</c:v>
                </c:pt>
                <c:pt idx="8">
                  <c:v>0.96397694524495681</c:v>
                </c:pt>
                <c:pt idx="9">
                  <c:v>0.98775216138328525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77-4159-AD6E-46BE92A7C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0290912"/>
        <c:axId val="1664180592"/>
      </c:lineChart>
      <c:catAx>
        <c:axId val="1508687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904847"/>
        <c:crosses val="autoZero"/>
        <c:auto val="1"/>
        <c:lblAlgn val="ctr"/>
        <c:lblOffset val="100"/>
        <c:noMultiLvlLbl val="0"/>
      </c:catAx>
      <c:valAx>
        <c:axId val="13629048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Down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687951"/>
        <c:crosses val="autoZero"/>
        <c:crossBetween val="between"/>
      </c:valAx>
      <c:valAx>
        <c:axId val="166418059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solidFill>
              <a:schemeClr val="accent1">
                <a:alpha val="96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290912"/>
        <c:crosses val="max"/>
        <c:crossBetween val="between"/>
      </c:valAx>
      <c:catAx>
        <c:axId val="16702909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641805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409574</xdr:colOff>
      <xdr:row>7</xdr:row>
      <xdr:rowOff>57149</xdr:rowOff>
    </xdr:from>
    <xdr:to>
      <xdr:col>6</xdr:col>
      <xdr:colOff>1171575</xdr:colOff>
      <xdr:row>25</xdr:row>
      <xdr:rowOff>95248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8ED2E0C-7D49-481A-826B-3CE47CA2F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66676</xdr:colOff>
      <xdr:row>4</xdr:row>
      <xdr:rowOff>19051</xdr:rowOff>
    </xdr:from>
    <xdr:to>
      <xdr:col>7</xdr:col>
      <xdr:colOff>419101</xdr:colOff>
      <xdr:row>9</xdr:row>
      <xdr:rowOff>57151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6B5142B-0E84-79E9-38E1-37B3E59E40E4}"/>
            </a:ext>
          </a:extLst>
        </xdr:cNvPr>
        <xdr:cNvSpPr txBox="1"/>
      </xdr:nvSpPr>
      <xdr:spPr>
        <a:xfrm>
          <a:off x="676276" y="781051"/>
          <a:ext cx="6838950" cy="9906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400">
              <a:solidFill>
                <a:schemeClr val="accent1">
                  <a:lumMod val="75000"/>
                </a:schemeClr>
              </a:solidFill>
            </a:rPr>
            <a:t>Overall Line  efficiency sits at</a:t>
          </a:r>
          <a:r>
            <a:rPr lang="en-US" sz="1400" baseline="0">
              <a:solidFill>
                <a:schemeClr val="accent1">
                  <a:lumMod val="75000"/>
                </a:schemeClr>
              </a:solidFill>
            </a:rPr>
            <a:t> 64%</a:t>
          </a:r>
        </a:p>
        <a:p>
          <a:r>
            <a:rPr lang="en-US" sz="1400" baseline="0">
              <a:solidFill>
                <a:schemeClr val="accent1">
                  <a:lumMod val="75000"/>
                </a:schemeClr>
              </a:solidFill>
            </a:rPr>
            <a:t>We should  place special focus on  Mac</a:t>
          </a:r>
          <a:endParaRPr lang="en-US" sz="1400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7</xdr:col>
      <xdr:colOff>390526</xdr:colOff>
      <xdr:row>7</xdr:row>
      <xdr:rowOff>95250</xdr:rowOff>
    </xdr:from>
    <xdr:to>
      <xdr:col>16</xdr:col>
      <xdr:colOff>533400</xdr:colOff>
      <xdr:row>21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9E88CD-AAC1-4E1B-A28A-1B5D5CF5ED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8</xdr:col>
      <xdr:colOff>352425</xdr:colOff>
      <xdr:row>4</xdr:row>
      <xdr:rowOff>180975</xdr:rowOff>
    </xdr:from>
    <xdr:to>
      <xdr:col>18</xdr:col>
      <xdr:colOff>352425</xdr:colOff>
      <xdr:row>7</xdr:row>
      <xdr:rowOff>152400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A6058FC-8166-C662-2AA9-9166DA86DAE0}"/>
            </a:ext>
          </a:extLst>
        </xdr:cNvPr>
        <xdr:cNvSpPr txBox="1"/>
      </xdr:nvSpPr>
      <xdr:spPr>
        <a:xfrm>
          <a:off x="8058150" y="942975"/>
          <a:ext cx="6096000" cy="5429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400">
              <a:solidFill>
                <a:schemeClr val="tx2">
                  <a:lumMod val="75000"/>
                  <a:lumOff val="25000"/>
                </a:schemeClr>
              </a:solidFill>
            </a:rPr>
            <a:t>The</a:t>
          </a:r>
          <a:r>
            <a:rPr lang="en-US" sz="1400" baseline="0">
              <a:solidFill>
                <a:schemeClr val="tx2">
                  <a:lumMod val="75000"/>
                  <a:lumOff val="25000"/>
                </a:schemeClr>
              </a:solidFill>
            </a:rPr>
            <a:t> top 5 factors account for 80% of the downtime</a:t>
          </a:r>
        </a:p>
        <a:p>
          <a:r>
            <a:rPr lang="en-US" sz="1400" baseline="0">
              <a:solidFill>
                <a:schemeClr val="tx1"/>
              </a:solidFill>
            </a:rPr>
            <a:t>We should ignore the rest and priotize these</a:t>
          </a:r>
          <a:endParaRPr lang="en-US" sz="1400">
            <a:solidFill>
              <a:schemeClr val="tx1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uham\OneDrive\Desktop\Data%20Analysis%20%20porfolio\Excel%20Project-Manufacturing%20Downtime\Manufacturing_Line_Productivity_downtime_column_sort_factors.xlsx" TargetMode="External"/><Relationship Id="rId1" Type="http://schemas.openxmlformats.org/officeDocument/2006/relationships/externalLinkPath" Target="Manufacturing_Line_Productivity_downtime_column_sort_facto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ne productivity"/>
      <sheetName val="Products"/>
      <sheetName val="Downtime factors"/>
      <sheetName val="Line downtime"/>
      <sheetName val="Sheet1"/>
    </sheetNames>
    <sheetDataSet>
      <sheetData sheetId="0"/>
      <sheetData sheetId="1"/>
      <sheetData sheetId="2">
        <row r="1">
          <cell r="D1" t="str">
            <v>Downtime</v>
          </cell>
          <cell r="E1" t="str">
            <v>Pareto</v>
          </cell>
        </row>
        <row r="2">
          <cell r="B2" t="str">
            <v>Machine adjustment</v>
          </cell>
          <cell r="D2">
            <v>332</v>
          </cell>
          <cell r="E2">
            <v>0.23919308357348704</v>
          </cell>
        </row>
        <row r="3">
          <cell r="B3" t="str">
            <v>Machine failure</v>
          </cell>
          <cell r="D3">
            <v>254</v>
          </cell>
          <cell r="E3">
            <v>0.42219020172910665</v>
          </cell>
        </row>
        <row r="4">
          <cell r="B4" t="str">
            <v>Inventory shortage</v>
          </cell>
          <cell r="D4">
            <v>225</v>
          </cell>
          <cell r="E4">
            <v>0.58429394812680113</v>
          </cell>
        </row>
        <row r="5">
          <cell r="B5" t="str">
            <v>Batch change</v>
          </cell>
          <cell r="D5">
            <v>160</v>
          </cell>
          <cell r="E5">
            <v>0.69956772334293948</v>
          </cell>
        </row>
        <row r="6">
          <cell r="B6" t="str">
            <v>Batch coding error</v>
          </cell>
          <cell r="D6">
            <v>145</v>
          </cell>
          <cell r="E6">
            <v>0.80403458213256485</v>
          </cell>
        </row>
        <row r="7">
          <cell r="B7" t="str">
            <v>Other</v>
          </cell>
          <cell r="D7">
            <v>74</v>
          </cell>
          <cell r="E7">
            <v>0.85734870317002887</v>
          </cell>
        </row>
        <row r="8">
          <cell r="B8" t="str">
            <v>Product spill</v>
          </cell>
          <cell r="D8">
            <v>57</v>
          </cell>
          <cell r="E8">
            <v>0.89841498559077815</v>
          </cell>
        </row>
        <row r="9">
          <cell r="B9" t="str">
            <v>Calibration error</v>
          </cell>
          <cell r="D9">
            <v>49</v>
          </cell>
          <cell r="E9">
            <v>0.93371757925072041</v>
          </cell>
        </row>
        <row r="10">
          <cell r="B10" t="str">
            <v>Labeling error</v>
          </cell>
          <cell r="D10">
            <v>42</v>
          </cell>
          <cell r="E10">
            <v>0.96397694524495681</v>
          </cell>
        </row>
        <row r="11">
          <cell r="B11" t="str">
            <v>Label switch</v>
          </cell>
          <cell r="D11">
            <v>33</v>
          </cell>
          <cell r="E11">
            <v>0.98775216138328525</v>
          </cell>
        </row>
        <row r="12">
          <cell r="B12" t="str">
            <v>Conveyor belt jam</v>
          </cell>
          <cell r="D12">
            <v>17</v>
          </cell>
          <cell r="E12">
            <v>1</v>
          </cell>
        </row>
        <row r="13">
          <cell r="B13" t="str">
            <v>Emergency stop</v>
          </cell>
          <cell r="D13">
            <v>0</v>
          </cell>
          <cell r="E13">
            <v>1</v>
          </cell>
        </row>
      </sheetData>
      <sheetData sheetId="3"/>
      <sheetData sheetId="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hammad Adityanugroho" refreshedDate="46201.770378587964" createdVersion="8" refreshedVersion="8" minRefreshableVersion="3" recordCount="39" xr:uid="{5BB3FFE3-9D6B-4BF9-954C-B69C5AF53E20}">
  <cacheSource type="worksheet">
    <worksheetSource ref="A1:H1048576" sheet="Line productivity"/>
  </cacheSource>
  <cacheFields count="9">
    <cacheField name="Date" numFmtId="0">
      <sharedItems containsNonDate="0" containsDate="1" containsString="0" containsBlank="1" minDate="2024-08-29T00:00:00" maxDate="2024-09-04T00:00:00"/>
    </cacheField>
    <cacheField name="Product" numFmtId="0">
      <sharedItems containsBlank="1"/>
    </cacheField>
    <cacheField name="Batch" numFmtId="0">
      <sharedItems containsString="0" containsBlank="1" containsNumber="1" containsInteger="1" minValue="422111" maxValue="422148"/>
    </cacheField>
    <cacheField name="Operator" numFmtId="0">
      <sharedItems containsBlank="1" count="5">
        <s v="Mac"/>
        <s v="Charlie"/>
        <s v="Dee"/>
        <s v="Dennis"/>
        <m/>
      </sharedItems>
    </cacheField>
    <cacheField name="Start Time" numFmtId="0">
      <sharedItems containsNonDate="0" containsDate="1" containsString="0" containsBlank="1" minDate="1899-12-30T01:00:00" maxDate="1899-12-30T22:55:00"/>
    </cacheField>
    <cacheField name="End Time" numFmtId="0">
      <sharedItems containsNonDate="0" containsDate="1" containsString="0" containsBlank="1" minDate="1899-12-30T02:45:00" maxDate="1899-12-31T01:05:00"/>
    </cacheField>
    <cacheField name="Batch Time" numFmtId="0">
      <sharedItems containsString="0" containsBlank="1" containsNumber="1" minValue="59.999999999999943" maxValue="205.00000000000006"/>
    </cacheField>
    <cacheField name="Min batch time" numFmtId="0">
      <sharedItems containsString="0" containsBlank="1" containsNumber="1" containsInteger="1" minValue="60" maxValue="98"/>
    </cacheField>
    <cacheField name="Efficiency" numFmtId="0" formula="'Min batch time'/'Batch Time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d v="2024-08-29T00:00:00"/>
    <s v="OR-600"/>
    <n v="422111"/>
    <x v="0"/>
    <d v="1899-12-30T11:50:00"/>
    <d v="1899-12-30T14:05:00"/>
    <n v="135"/>
    <n v="60"/>
  </r>
  <r>
    <d v="2024-08-29T00:00:00"/>
    <s v="LE-600"/>
    <n v="422112"/>
    <x v="0"/>
    <d v="1899-12-30T14:05:00"/>
    <d v="1899-12-30T15:45:00"/>
    <n v="99.999999999999972"/>
    <n v="60"/>
  </r>
  <r>
    <d v="2024-08-29T00:00:00"/>
    <s v="LE-600"/>
    <n v="422113"/>
    <x v="0"/>
    <d v="1899-12-30T15:45:00"/>
    <d v="1899-12-30T17:35:00"/>
    <n v="109.99999999999993"/>
    <n v="60"/>
  </r>
  <r>
    <d v="2024-08-29T00:00:00"/>
    <s v="LE-600"/>
    <n v="422114"/>
    <x v="0"/>
    <d v="1899-12-30T17:35:00"/>
    <d v="1899-12-30T19:15:00"/>
    <n v="99.999999999999972"/>
    <n v="60"/>
  </r>
  <r>
    <d v="2024-08-29T00:00:00"/>
    <s v="LE-600"/>
    <n v="422115"/>
    <x v="1"/>
    <d v="1899-12-30T19:15:00"/>
    <d v="1899-12-30T20:39:00"/>
    <n v="84.000000000000028"/>
    <n v="60"/>
  </r>
  <r>
    <d v="2024-08-29T00:00:00"/>
    <s v="LE-600"/>
    <n v="422116"/>
    <x v="1"/>
    <d v="1899-12-30T20:39:00"/>
    <d v="1899-12-30T21:39:00"/>
    <n v="59.999999999999943"/>
    <n v="60"/>
  </r>
  <r>
    <d v="2024-08-29T00:00:00"/>
    <s v="LE-600"/>
    <n v="422117"/>
    <x v="1"/>
    <d v="1899-12-30T21:39:00"/>
    <d v="1899-12-30T22:54:00"/>
    <n v="75.000000000000057"/>
    <n v="60"/>
  </r>
  <r>
    <d v="2024-08-30T00:00:00"/>
    <s v="CO-600"/>
    <n v="422118"/>
    <x v="2"/>
    <d v="1899-12-30T04:05:00"/>
    <d v="1899-12-30T06:05:00"/>
    <n v="119.99999999999997"/>
    <n v="60"/>
  </r>
  <r>
    <d v="2024-08-30T00:00:00"/>
    <s v="CO-600"/>
    <n v="422119"/>
    <x v="2"/>
    <d v="1899-12-30T06:05:00"/>
    <d v="1899-12-30T07:30:00"/>
    <n v="85.000000000000014"/>
    <n v="60"/>
  </r>
  <r>
    <d v="2024-08-30T00:00:00"/>
    <s v="CO-600"/>
    <n v="422120"/>
    <x v="2"/>
    <d v="1899-12-30T07:30:00"/>
    <d v="1899-12-30T09:22:00"/>
    <n v="112"/>
    <n v="60"/>
  </r>
  <r>
    <d v="2024-08-30T00:00:00"/>
    <s v="CO-600"/>
    <n v="422121"/>
    <x v="3"/>
    <d v="1899-12-30T09:22:00"/>
    <d v="1899-12-30T10:37:00"/>
    <n v="74.999999999999972"/>
    <n v="60"/>
  </r>
  <r>
    <d v="2024-08-30T00:00:00"/>
    <s v="CO-600"/>
    <n v="422122"/>
    <x v="3"/>
    <d v="1899-12-30T10:37:00"/>
    <d v="1899-12-30T12:02:00"/>
    <n v="85.000000000000014"/>
    <n v="60"/>
  </r>
  <r>
    <d v="2024-08-30T00:00:00"/>
    <s v="CO-600"/>
    <n v="422123"/>
    <x v="3"/>
    <d v="1899-12-30T12:02:00"/>
    <d v="1899-12-30T14:15:00"/>
    <n v="133"/>
    <n v="60"/>
  </r>
  <r>
    <d v="2024-08-30T00:00:00"/>
    <s v="CO-600"/>
    <n v="422124"/>
    <x v="3"/>
    <d v="1899-12-30T14:15:00"/>
    <d v="1899-12-30T15:55:00"/>
    <n v="99.999999999999972"/>
    <n v="60"/>
  </r>
  <r>
    <d v="2024-08-30T00:00:00"/>
    <s v="CO-600"/>
    <n v="422125"/>
    <x v="1"/>
    <d v="1899-12-30T15:55:00"/>
    <d v="1899-12-30T17:15:00"/>
    <n v="80.000000000000028"/>
    <n v="60"/>
  </r>
  <r>
    <d v="2024-08-30T00:00:00"/>
    <s v="CO-600"/>
    <n v="422126"/>
    <x v="1"/>
    <d v="1899-12-30T17:15:00"/>
    <d v="1899-12-30T18:59:00"/>
    <n v="103.99999999999994"/>
    <n v="60"/>
  </r>
  <r>
    <d v="2024-08-30T00:00:00"/>
    <s v="CO-600"/>
    <n v="422127"/>
    <x v="1"/>
    <d v="1899-12-30T18:59:00"/>
    <d v="1899-12-30T20:22:00"/>
    <n v="83.000000000000028"/>
    <n v="60"/>
  </r>
  <r>
    <d v="2024-08-30T00:00:00"/>
    <s v="CO-600"/>
    <n v="422128"/>
    <x v="1"/>
    <d v="1899-12-30T20:22:00"/>
    <d v="1899-12-30T22:14:00"/>
    <n v="112.00000000000009"/>
    <n v="60"/>
  </r>
  <r>
    <d v="2024-08-30T00:00:00"/>
    <s v="CO-600"/>
    <n v="422129"/>
    <x v="1"/>
    <d v="1899-12-30T22:14:00"/>
    <d v="1899-12-30T23:29:00"/>
    <n v="74.999999999999886"/>
    <n v="60"/>
  </r>
  <r>
    <d v="2024-08-31T00:00:00"/>
    <s v="CO-600"/>
    <n v="422130"/>
    <x v="2"/>
    <d v="1899-12-30T07:45:00"/>
    <d v="1899-12-30T09:05:00"/>
    <n v="79.999999999999957"/>
    <n v="60"/>
  </r>
  <r>
    <d v="2024-08-31T00:00:00"/>
    <s v="CO-600"/>
    <n v="422131"/>
    <x v="2"/>
    <d v="1899-12-30T09:05:00"/>
    <d v="1899-12-30T10:35:00"/>
    <n v="90"/>
    <n v="60"/>
  </r>
  <r>
    <d v="2024-08-31T00:00:00"/>
    <s v="CO-600"/>
    <n v="422132"/>
    <x v="2"/>
    <d v="1899-12-30T10:35:00"/>
    <d v="1899-12-30T11:35:00"/>
    <n v="60.000000000000028"/>
    <n v="60"/>
  </r>
  <r>
    <d v="2024-08-31T00:00:00"/>
    <s v="DC-600"/>
    <n v="422133"/>
    <x v="2"/>
    <d v="1899-12-30T11:35:00"/>
    <d v="1899-12-30T12:55:00"/>
    <n v="79.999999999999957"/>
    <n v="60"/>
  </r>
  <r>
    <d v="2024-08-31T00:00:00"/>
    <s v="DC-600"/>
    <n v="422134"/>
    <x v="0"/>
    <d v="1899-12-30T12:55:00"/>
    <d v="1899-12-30T14:45:00"/>
    <n v="110.00000000000009"/>
    <n v="60"/>
  </r>
  <r>
    <d v="2024-08-31T00:00:00"/>
    <s v="DC-600"/>
    <n v="422135"/>
    <x v="0"/>
    <d v="1899-12-30T14:45:00"/>
    <d v="1899-12-30T16:30:00"/>
    <n v="104.99999999999994"/>
    <n v="60"/>
  </r>
  <r>
    <d v="2024-08-31T00:00:00"/>
    <s v="DC-600"/>
    <n v="422136"/>
    <x v="0"/>
    <d v="1899-12-30T16:30:00"/>
    <d v="1899-12-30T17:30:00"/>
    <n v="59.999999999999943"/>
    <n v="60"/>
  </r>
  <r>
    <d v="2024-09-02T00:00:00"/>
    <s v="RB-600"/>
    <n v="422137"/>
    <x v="2"/>
    <d v="1899-12-30T01:00:00"/>
    <d v="1899-12-30T02:45:00"/>
    <n v="104.99999999999999"/>
    <n v="60"/>
  </r>
  <r>
    <d v="2024-09-02T00:00:00"/>
    <s v="RB-600"/>
    <n v="422138"/>
    <x v="2"/>
    <d v="1899-12-30T02:45:00"/>
    <d v="1899-12-30T04:05:00"/>
    <n v="80.000000000000014"/>
    <n v="60"/>
  </r>
  <r>
    <d v="2024-09-02T00:00:00"/>
    <s v="RB-600"/>
    <n v="422139"/>
    <x v="2"/>
    <d v="1899-12-30T04:05:00"/>
    <d v="1899-12-30T05:40:00"/>
    <n v="94.999999999999986"/>
    <n v="60"/>
  </r>
  <r>
    <d v="2024-09-02T00:00:00"/>
    <s v="RB-600"/>
    <n v="422140"/>
    <x v="2"/>
    <d v="1899-12-30T05:40:00"/>
    <d v="1899-12-30T07:43:00"/>
    <n v="123.00000000000004"/>
    <n v="60"/>
  </r>
  <r>
    <d v="2024-09-02T00:00:00"/>
    <s v="RB-600"/>
    <n v="422141"/>
    <x v="3"/>
    <d v="1899-12-30T07:43:00"/>
    <d v="1899-12-30T08:50:00"/>
    <n v="67"/>
    <n v="60"/>
  </r>
  <r>
    <d v="2024-09-02T00:00:00"/>
    <s v="RB-600"/>
    <n v="422142"/>
    <x v="3"/>
    <d v="1899-12-30T08:50:00"/>
    <d v="1899-12-30T10:20:00"/>
    <n v="90"/>
    <n v="60"/>
  </r>
  <r>
    <d v="2024-09-02T00:00:00"/>
    <s v="RB-600"/>
    <n v="422143"/>
    <x v="3"/>
    <d v="1899-12-30T10:20:00"/>
    <d v="1899-12-30T12:18:00"/>
    <n v="117.9999999999999"/>
    <n v="60"/>
  </r>
  <r>
    <d v="2024-09-02T00:00:00"/>
    <s v="CO-2L"/>
    <n v="422144"/>
    <x v="3"/>
    <d v="1899-12-30T12:18:00"/>
    <d v="1899-12-30T14:50:00"/>
    <n v="152.00000000000011"/>
    <n v="98"/>
  </r>
  <r>
    <d v="2024-09-02T00:00:00"/>
    <s v="CO-2L"/>
    <n v="422145"/>
    <x v="1"/>
    <d v="1899-12-30T14:50:00"/>
    <d v="1899-12-30T16:50:00"/>
    <n v="120.00000000000006"/>
    <n v="98"/>
  </r>
  <r>
    <d v="2024-09-02T00:00:00"/>
    <s v="CO-2L"/>
    <n v="422146"/>
    <x v="1"/>
    <d v="1899-12-30T16:50:00"/>
    <d v="1899-12-30T19:30:00"/>
    <n v="159.99999999999991"/>
    <n v="98"/>
  </r>
  <r>
    <d v="2024-09-02T00:00:00"/>
    <s v="CO-2L"/>
    <n v="422147"/>
    <x v="1"/>
    <d v="1899-12-30T19:30:00"/>
    <d v="1899-12-30T22:55:00"/>
    <n v="205.00000000000006"/>
    <n v="98"/>
  </r>
  <r>
    <d v="2024-09-03T00:00:00"/>
    <s v="CO-2L"/>
    <n v="422148"/>
    <x v="0"/>
    <d v="1899-12-30T22:55:00"/>
    <d v="1899-12-31T01:05:00"/>
    <n v="129.99999999999986"/>
    <n v="98"/>
  </r>
  <r>
    <m/>
    <m/>
    <m/>
    <x v="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D15D27-473E-484C-AC28-974640D08875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8">
  <location ref="L1:M6" firstHeaderRow="1" firstDataRow="1" firstDataCol="1"/>
  <pivotFields count="9">
    <pivotField showAll="0"/>
    <pivotField showAll="0"/>
    <pivotField showAll="0"/>
    <pivotField axis="axisRow" showAll="0">
      <items count="6">
        <item x="1"/>
        <item x="2"/>
        <item x="3"/>
        <item x="0"/>
        <item h="1" x="4"/>
        <item t="default"/>
      </items>
    </pivotField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Efficiency" fld="8" baseField="3" baseItem="0" numFmtId="9"/>
  </dataFields>
  <formats count="1">
    <format dxfId="0">
      <pivotArea outline="0" collapsedLevelsAreSubtotals="1" fieldPosition="0"/>
    </format>
  </formats>
  <chartFormats count="8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7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7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7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7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962F3-8C54-4C2B-8E48-722D67F8C002}">
  <dimension ref="A1:M39"/>
  <sheetViews>
    <sheetView workbookViewId="0">
      <selection activeCell="L2" sqref="L2"/>
    </sheetView>
  </sheetViews>
  <sheetFormatPr defaultRowHeight="15" x14ac:dyDescent="0.25"/>
  <cols>
    <col min="1" max="1" width="10.42578125" bestFit="1" customWidth="1"/>
    <col min="2" max="2" width="9.5703125" bestFit="1" customWidth="1"/>
    <col min="3" max="3" width="8.85546875" customWidth="1"/>
    <col min="4" max="4" width="9.42578125" bestFit="1" customWidth="1"/>
    <col min="5" max="5" width="9.5703125" bestFit="1" customWidth="1"/>
    <col min="6" max="6" width="8.85546875" customWidth="1"/>
    <col min="7" max="7" width="12.5703125" customWidth="1"/>
    <col min="8" max="8" width="14.42578125" bestFit="1" customWidth="1"/>
    <col min="9" max="11" width="8.85546875" customWidth="1"/>
    <col min="12" max="12" width="13.42578125" bestFit="1" customWidth="1"/>
    <col min="13" max="13" width="16.85546875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44</v>
      </c>
      <c r="H1" s="2" t="s">
        <v>39</v>
      </c>
      <c r="L1" s="5" t="s">
        <v>46</v>
      </c>
      <c r="M1" t="s">
        <v>45</v>
      </c>
    </row>
    <row r="2" spans="1:13" x14ac:dyDescent="0.25">
      <c r="A2" s="1">
        <v>45533</v>
      </c>
      <c r="B2" t="s">
        <v>24</v>
      </c>
      <c r="C2">
        <v>422111</v>
      </c>
      <c r="D2" t="s">
        <v>43</v>
      </c>
      <c r="E2" s="3">
        <v>0.49305555555555558</v>
      </c>
      <c r="F2" s="3">
        <v>0.58680555555555558</v>
      </c>
      <c r="G2">
        <f>(F2-E2)*24*60</f>
        <v>135</v>
      </c>
      <c r="H2">
        <f>_xlfn.XLOOKUP(B2,Products!A:A,Products!D:D)</f>
        <v>60</v>
      </c>
      <c r="J2" s="4"/>
      <c r="L2" s="6" t="s">
        <v>40</v>
      </c>
      <c r="M2" s="4">
        <v>0.66839378238341973</v>
      </c>
    </row>
    <row r="3" spans="1:13" x14ac:dyDescent="0.25">
      <c r="A3" s="1">
        <v>45533</v>
      </c>
      <c r="B3" t="s">
        <v>25</v>
      </c>
      <c r="C3">
        <v>422112</v>
      </c>
      <c r="D3" t="s">
        <v>43</v>
      </c>
      <c r="E3" s="3">
        <v>0.58680555555555558</v>
      </c>
      <c r="F3" s="3">
        <v>0.65625</v>
      </c>
      <c r="G3">
        <f t="shared" ref="G3:G39" si="0">(F3-E3)*24*60</f>
        <v>99.999999999999972</v>
      </c>
      <c r="H3">
        <f>_xlfn.XLOOKUP(B3,Products!A:A,Products!D:D)</f>
        <v>60</v>
      </c>
      <c r="L3" s="6" t="s">
        <v>41</v>
      </c>
      <c r="M3" s="4">
        <v>0.64077669902912626</v>
      </c>
    </row>
    <row r="4" spans="1:13" x14ac:dyDescent="0.25">
      <c r="A4" s="1">
        <v>45533</v>
      </c>
      <c r="B4" t="s">
        <v>25</v>
      </c>
      <c r="C4">
        <v>422113</v>
      </c>
      <c r="D4" t="s">
        <v>43</v>
      </c>
      <c r="E4" s="3">
        <v>0.65625</v>
      </c>
      <c r="F4" s="3">
        <v>0.73263888888888884</v>
      </c>
      <c r="G4">
        <f t="shared" si="0"/>
        <v>109.99999999999993</v>
      </c>
      <c r="H4">
        <f>_xlfn.XLOOKUP(B4,Products!A:A,Products!D:D)</f>
        <v>60</v>
      </c>
      <c r="L4" s="6" t="s">
        <v>42</v>
      </c>
      <c r="M4" s="4">
        <v>0.63170731707317074</v>
      </c>
    </row>
    <row r="5" spans="1:13" x14ac:dyDescent="0.25">
      <c r="A5" s="1">
        <v>45533</v>
      </c>
      <c r="B5" t="s">
        <v>25</v>
      </c>
      <c r="C5">
        <v>422114</v>
      </c>
      <c r="D5" t="s">
        <v>43</v>
      </c>
      <c r="E5" s="3">
        <v>0.73263888888888884</v>
      </c>
      <c r="F5" s="3">
        <v>0.80208333333333326</v>
      </c>
      <c r="G5">
        <f t="shared" si="0"/>
        <v>99.999999999999972</v>
      </c>
      <c r="H5">
        <f>_xlfn.XLOOKUP(B5,Products!A:A,Products!D:D)</f>
        <v>60</v>
      </c>
      <c r="L5" s="6" t="s">
        <v>43</v>
      </c>
      <c r="M5" s="4">
        <v>0.60941176470588243</v>
      </c>
    </row>
    <row r="6" spans="1:13" x14ac:dyDescent="0.25">
      <c r="A6" s="1">
        <v>45533</v>
      </c>
      <c r="B6" t="s">
        <v>25</v>
      </c>
      <c r="C6">
        <v>422115</v>
      </c>
      <c r="D6" t="s">
        <v>40</v>
      </c>
      <c r="E6" s="3">
        <v>0.80208333333333326</v>
      </c>
      <c r="F6" s="3">
        <v>0.86041666666666661</v>
      </c>
      <c r="G6">
        <f t="shared" si="0"/>
        <v>84.000000000000028</v>
      </c>
      <c r="H6">
        <f>_xlfn.XLOOKUP(B6,Products!A:A,Products!D:D)</f>
        <v>60</v>
      </c>
      <c r="L6" s="6" t="s">
        <v>47</v>
      </c>
      <c r="M6" s="4">
        <v>0.64022809745982379</v>
      </c>
    </row>
    <row r="7" spans="1:13" x14ac:dyDescent="0.25">
      <c r="A7" s="1">
        <v>45533</v>
      </c>
      <c r="B7" t="s">
        <v>25</v>
      </c>
      <c r="C7">
        <v>422116</v>
      </c>
      <c r="D7" t="s">
        <v>40</v>
      </c>
      <c r="E7" s="3">
        <v>0.86041666666666661</v>
      </c>
      <c r="F7" s="3">
        <v>0.90208333333333324</v>
      </c>
      <c r="G7">
        <f t="shared" si="0"/>
        <v>59.999999999999943</v>
      </c>
      <c r="H7">
        <f>_xlfn.XLOOKUP(B7,Products!A:A,Products!D:D)</f>
        <v>60</v>
      </c>
    </row>
    <row r="8" spans="1:13" x14ac:dyDescent="0.25">
      <c r="A8" s="1">
        <v>45533</v>
      </c>
      <c r="B8" t="s">
        <v>25</v>
      </c>
      <c r="C8">
        <v>422117</v>
      </c>
      <c r="D8" t="s">
        <v>40</v>
      </c>
      <c r="E8" s="3">
        <v>0.90208333333333324</v>
      </c>
      <c r="F8" s="3">
        <v>0.95416666666666661</v>
      </c>
      <c r="G8">
        <f t="shared" si="0"/>
        <v>75.000000000000057</v>
      </c>
      <c r="H8">
        <f>_xlfn.XLOOKUP(B8,Products!A:A,Products!D:D)</f>
        <v>60</v>
      </c>
    </row>
    <row r="9" spans="1:13" x14ac:dyDescent="0.25">
      <c r="A9" s="1">
        <v>45534</v>
      </c>
      <c r="B9" t="s">
        <v>26</v>
      </c>
      <c r="C9">
        <v>422118</v>
      </c>
      <c r="D9" t="s">
        <v>41</v>
      </c>
      <c r="E9" s="3">
        <v>0.1701388888888889</v>
      </c>
      <c r="F9" s="3">
        <v>0.25347222222222221</v>
      </c>
      <c r="G9">
        <f t="shared" si="0"/>
        <v>119.99999999999997</v>
      </c>
      <c r="H9">
        <f>_xlfn.XLOOKUP(B9,Products!A:A,Products!D:D)</f>
        <v>60</v>
      </c>
    </row>
    <row r="10" spans="1:13" x14ac:dyDescent="0.25">
      <c r="A10" s="1">
        <v>45534</v>
      </c>
      <c r="B10" t="s">
        <v>26</v>
      </c>
      <c r="C10">
        <v>422119</v>
      </c>
      <c r="D10" t="s">
        <v>41</v>
      </c>
      <c r="E10" s="3">
        <v>0.25347222222222221</v>
      </c>
      <c r="F10" s="3">
        <v>0.3125</v>
      </c>
      <c r="G10">
        <f t="shared" si="0"/>
        <v>85.000000000000014</v>
      </c>
      <c r="H10">
        <f>_xlfn.XLOOKUP(B10,Products!A:A,Products!D:D)</f>
        <v>60</v>
      </c>
    </row>
    <row r="11" spans="1:13" x14ac:dyDescent="0.25">
      <c r="A11" s="1">
        <v>45534</v>
      </c>
      <c r="B11" t="s">
        <v>26</v>
      </c>
      <c r="C11">
        <v>422120</v>
      </c>
      <c r="D11" t="s">
        <v>41</v>
      </c>
      <c r="E11" s="3">
        <v>0.3125</v>
      </c>
      <c r="F11" s="3">
        <v>0.39027777777777778</v>
      </c>
      <c r="G11">
        <f t="shared" si="0"/>
        <v>112</v>
      </c>
      <c r="H11">
        <f>_xlfn.XLOOKUP(B11,Products!A:A,Products!D:D)</f>
        <v>60</v>
      </c>
    </row>
    <row r="12" spans="1:13" x14ac:dyDescent="0.25">
      <c r="A12" s="1">
        <v>45534</v>
      </c>
      <c r="B12" t="s">
        <v>26</v>
      </c>
      <c r="C12">
        <v>422121</v>
      </c>
      <c r="D12" t="s">
        <v>42</v>
      </c>
      <c r="E12" s="3">
        <v>0.39027777777777778</v>
      </c>
      <c r="F12" s="3">
        <v>0.44236111111111109</v>
      </c>
      <c r="G12">
        <f t="shared" si="0"/>
        <v>74.999999999999972</v>
      </c>
      <c r="H12">
        <f>_xlfn.XLOOKUP(B12,Products!A:A,Products!D:D)</f>
        <v>60</v>
      </c>
    </row>
    <row r="13" spans="1:13" x14ac:dyDescent="0.25">
      <c r="A13" s="1">
        <v>45534</v>
      </c>
      <c r="B13" t="s">
        <v>26</v>
      </c>
      <c r="C13">
        <v>422122</v>
      </c>
      <c r="D13" t="s">
        <v>42</v>
      </c>
      <c r="E13" s="3">
        <v>0.44236111111111109</v>
      </c>
      <c r="F13" s="3">
        <v>0.50138888888888888</v>
      </c>
      <c r="G13">
        <f t="shared" si="0"/>
        <v>85.000000000000014</v>
      </c>
      <c r="H13">
        <f>_xlfn.XLOOKUP(B13,Products!A:A,Products!D:D)</f>
        <v>60</v>
      </c>
    </row>
    <row r="14" spans="1:13" x14ac:dyDescent="0.25">
      <c r="A14" s="1">
        <v>45534</v>
      </c>
      <c r="B14" t="s">
        <v>26</v>
      </c>
      <c r="C14">
        <v>422123</v>
      </c>
      <c r="D14" t="s">
        <v>42</v>
      </c>
      <c r="E14" s="3">
        <v>0.50138888888888888</v>
      </c>
      <c r="F14" s="3">
        <v>0.59375</v>
      </c>
      <c r="G14">
        <f t="shared" si="0"/>
        <v>133</v>
      </c>
      <c r="H14">
        <f>_xlfn.XLOOKUP(B14,Products!A:A,Products!D:D)</f>
        <v>60</v>
      </c>
    </row>
    <row r="15" spans="1:13" x14ac:dyDescent="0.25">
      <c r="A15" s="1">
        <v>45534</v>
      </c>
      <c r="B15" t="s">
        <v>26</v>
      </c>
      <c r="C15">
        <v>422124</v>
      </c>
      <c r="D15" t="s">
        <v>42</v>
      </c>
      <c r="E15" s="3">
        <v>0.59375</v>
      </c>
      <c r="F15" s="3">
        <v>0.66319444444444442</v>
      </c>
      <c r="G15">
        <f t="shared" si="0"/>
        <v>99.999999999999972</v>
      </c>
      <c r="H15">
        <f>_xlfn.XLOOKUP(B15,Products!A:A,Products!D:D)</f>
        <v>60</v>
      </c>
    </row>
    <row r="16" spans="1:13" x14ac:dyDescent="0.25">
      <c r="A16" s="1">
        <v>45534</v>
      </c>
      <c r="B16" t="s">
        <v>26</v>
      </c>
      <c r="C16">
        <v>422125</v>
      </c>
      <c r="D16" t="s">
        <v>40</v>
      </c>
      <c r="E16" s="3">
        <v>0.66319444444444442</v>
      </c>
      <c r="F16" s="3">
        <v>0.71875</v>
      </c>
      <c r="G16">
        <f t="shared" si="0"/>
        <v>80.000000000000028</v>
      </c>
      <c r="H16">
        <f>_xlfn.XLOOKUP(B16,Products!A:A,Products!D:D)</f>
        <v>60</v>
      </c>
    </row>
    <row r="17" spans="1:8" x14ac:dyDescent="0.25">
      <c r="A17" s="1">
        <v>45534</v>
      </c>
      <c r="B17" t="s">
        <v>26</v>
      </c>
      <c r="C17">
        <v>422126</v>
      </c>
      <c r="D17" t="s">
        <v>40</v>
      </c>
      <c r="E17" s="3">
        <v>0.71875</v>
      </c>
      <c r="F17" s="3">
        <v>0.79097222222222219</v>
      </c>
      <c r="G17">
        <f t="shared" si="0"/>
        <v>103.99999999999994</v>
      </c>
      <c r="H17">
        <f>_xlfn.XLOOKUP(B17,Products!A:A,Products!D:D)</f>
        <v>60</v>
      </c>
    </row>
    <row r="18" spans="1:8" x14ac:dyDescent="0.25">
      <c r="A18" s="1">
        <v>45534</v>
      </c>
      <c r="B18" t="s">
        <v>26</v>
      </c>
      <c r="C18">
        <v>422127</v>
      </c>
      <c r="D18" t="s">
        <v>40</v>
      </c>
      <c r="E18" s="3">
        <v>0.79097222222222219</v>
      </c>
      <c r="F18" s="3">
        <v>0.84861111111111109</v>
      </c>
      <c r="G18">
        <f t="shared" si="0"/>
        <v>83.000000000000028</v>
      </c>
      <c r="H18">
        <f>_xlfn.XLOOKUP(B18,Products!A:A,Products!D:D)</f>
        <v>60</v>
      </c>
    </row>
    <row r="19" spans="1:8" x14ac:dyDescent="0.25">
      <c r="A19" s="1">
        <v>45534</v>
      </c>
      <c r="B19" t="s">
        <v>26</v>
      </c>
      <c r="C19">
        <v>422128</v>
      </c>
      <c r="D19" t="s">
        <v>40</v>
      </c>
      <c r="E19" s="3">
        <v>0.84861111111111109</v>
      </c>
      <c r="F19" s="3">
        <v>0.92638888888888893</v>
      </c>
      <c r="G19">
        <f t="shared" si="0"/>
        <v>112.00000000000009</v>
      </c>
      <c r="H19">
        <f>_xlfn.XLOOKUP(B19,Products!A:A,Products!D:D)</f>
        <v>60</v>
      </c>
    </row>
    <row r="20" spans="1:8" x14ac:dyDescent="0.25">
      <c r="A20" s="1">
        <v>45534</v>
      </c>
      <c r="B20" t="s">
        <v>26</v>
      </c>
      <c r="C20">
        <v>422129</v>
      </c>
      <c r="D20" t="s">
        <v>40</v>
      </c>
      <c r="E20" s="3">
        <v>0.92638888888888893</v>
      </c>
      <c r="F20" s="3">
        <v>0.97847222222222219</v>
      </c>
      <c r="G20">
        <f t="shared" si="0"/>
        <v>74.999999999999886</v>
      </c>
      <c r="H20">
        <f>_xlfn.XLOOKUP(B20,Products!A:A,Products!D:D)</f>
        <v>60</v>
      </c>
    </row>
    <row r="21" spans="1:8" x14ac:dyDescent="0.25">
      <c r="A21" s="1">
        <v>45535</v>
      </c>
      <c r="B21" t="s">
        <v>26</v>
      </c>
      <c r="C21">
        <v>422130</v>
      </c>
      <c r="D21" t="s">
        <v>41</v>
      </c>
      <c r="E21" s="3">
        <v>0.32291666666666669</v>
      </c>
      <c r="F21" s="3">
        <v>0.37847222222222221</v>
      </c>
      <c r="G21">
        <f t="shared" si="0"/>
        <v>79.999999999999957</v>
      </c>
      <c r="H21">
        <f>_xlfn.XLOOKUP(B21,Products!A:A,Products!D:D)</f>
        <v>60</v>
      </c>
    </row>
    <row r="22" spans="1:8" x14ac:dyDescent="0.25">
      <c r="A22" s="1">
        <v>45535</v>
      </c>
      <c r="B22" t="s">
        <v>26</v>
      </c>
      <c r="C22">
        <v>422131</v>
      </c>
      <c r="D22" t="s">
        <v>41</v>
      </c>
      <c r="E22" s="3">
        <v>0.37847222222222221</v>
      </c>
      <c r="F22" s="3">
        <v>0.44097222222222221</v>
      </c>
      <c r="G22">
        <f t="shared" si="0"/>
        <v>90</v>
      </c>
      <c r="H22">
        <f>_xlfn.XLOOKUP(B22,Products!A:A,Products!D:D)</f>
        <v>60</v>
      </c>
    </row>
    <row r="23" spans="1:8" x14ac:dyDescent="0.25">
      <c r="A23" s="1">
        <v>45535</v>
      </c>
      <c r="B23" t="s">
        <v>26</v>
      </c>
      <c r="C23">
        <v>422132</v>
      </c>
      <c r="D23" t="s">
        <v>41</v>
      </c>
      <c r="E23" s="3">
        <v>0.44097222222222221</v>
      </c>
      <c r="F23" s="3">
        <v>0.4826388888888889</v>
      </c>
      <c r="G23">
        <f t="shared" si="0"/>
        <v>60.000000000000028</v>
      </c>
      <c r="H23">
        <f>_xlfn.XLOOKUP(B23,Products!A:A,Products!D:D)</f>
        <v>60</v>
      </c>
    </row>
    <row r="24" spans="1:8" x14ac:dyDescent="0.25">
      <c r="A24" s="1">
        <v>45535</v>
      </c>
      <c r="B24" t="s">
        <v>27</v>
      </c>
      <c r="C24">
        <v>422133</v>
      </c>
      <c r="D24" t="s">
        <v>41</v>
      </c>
      <c r="E24" s="3">
        <v>0.4826388888888889</v>
      </c>
      <c r="F24" s="3">
        <v>0.53819444444444442</v>
      </c>
      <c r="G24">
        <f t="shared" si="0"/>
        <v>79.999999999999957</v>
      </c>
      <c r="H24">
        <f>_xlfn.XLOOKUP(B24,Products!A:A,Products!D:D)</f>
        <v>60</v>
      </c>
    </row>
    <row r="25" spans="1:8" x14ac:dyDescent="0.25">
      <c r="A25" s="1">
        <v>45535</v>
      </c>
      <c r="B25" t="s">
        <v>27</v>
      </c>
      <c r="C25">
        <v>422134</v>
      </c>
      <c r="D25" t="s">
        <v>43</v>
      </c>
      <c r="E25" s="3">
        <v>0.53819444444444442</v>
      </c>
      <c r="F25" s="3">
        <v>0.61458333333333337</v>
      </c>
      <c r="G25">
        <f t="shared" si="0"/>
        <v>110.00000000000009</v>
      </c>
      <c r="H25">
        <f>_xlfn.XLOOKUP(B25,Products!A:A,Products!D:D)</f>
        <v>60</v>
      </c>
    </row>
    <row r="26" spans="1:8" x14ac:dyDescent="0.25">
      <c r="A26" s="1">
        <v>45535</v>
      </c>
      <c r="B26" t="s">
        <v>27</v>
      </c>
      <c r="C26">
        <v>422135</v>
      </c>
      <c r="D26" t="s">
        <v>43</v>
      </c>
      <c r="E26" s="3">
        <v>0.61458333333333337</v>
      </c>
      <c r="F26" s="3">
        <v>0.6875</v>
      </c>
      <c r="G26">
        <f t="shared" si="0"/>
        <v>104.99999999999994</v>
      </c>
      <c r="H26">
        <f>_xlfn.XLOOKUP(B26,Products!A:A,Products!D:D)</f>
        <v>60</v>
      </c>
    </row>
    <row r="27" spans="1:8" x14ac:dyDescent="0.25">
      <c r="A27" s="1">
        <v>45535</v>
      </c>
      <c r="B27" t="s">
        <v>27</v>
      </c>
      <c r="C27">
        <v>422136</v>
      </c>
      <c r="D27" t="s">
        <v>43</v>
      </c>
      <c r="E27" s="3">
        <v>0.6875</v>
      </c>
      <c r="F27" s="3">
        <v>0.72916666666666663</v>
      </c>
      <c r="G27">
        <f t="shared" si="0"/>
        <v>59.999999999999943</v>
      </c>
      <c r="H27">
        <f>_xlfn.XLOOKUP(B27,Products!A:A,Products!D:D)</f>
        <v>60</v>
      </c>
    </row>
    <row r="28" spans="1:8" x14ac:dyDescent="0.25">
      <c r="A28" s="1">
        <v>45537</v>
      </c>
      <c r="B28" t="s">
        <v>28</v>
      </c>
      <c r="C28">
        <v>422137</v>
      </c>
      <c r="D28" t="s">
        <v>41</v>
      </c>
      <c r="E28" s="3">
        <v>4.1666666666666664E-2</v>
      </c>
      <c r="F28" s="3">
        <v>0.11458333333333333</v>
      </c>
      <c r="G28">
        <f t="shared" si="0"/>
        <v>104.99999999999999</v>
      </c>
      <c r="H28">
        <f>_xlfn.XLOOKUP(B28,Products!A:A,Products!D:D)</f>
        <v>60</v>
      </c>
    </row>
    <row r="29" spans="1:8" x14ac:dyDescent="0.25">
      <c r="A29" s="1">
        <v>45537</v>
      </c>
      <c r="B29" t="s">
        <v>28</v>
      </c>
      <c r="C29">
        <v>422138</v>
      </c>
      <c r="D29" t="s">
        <v>41</v>
      </c>
      <c r="E29" s="3">
        <v>0.11458333333333333</v>
      </c>
      <c r="F29" s="3">
        <v>0.1701388888888889</v>
      </c>
      <c r="G29">
        <f t="shared" si="0"/>
        <v>80.000000000000014</v>
      </c>
      <c r="H29">
        <f>_xlfn.XLOOKUP(B29,Products!A:A,Products!D:D)</f>
        <v>60</v>
      </c>
    </row>
    <row r="30" spans="1:8" x14ac:dyDescent="0.25">
      <c r="A30" s="1">
        <v>45537</v>
      </c>
      <c r="B30" t="s">
        <v>28</v>
      </c>
      <c r="C30">
        <v>422139</v>
      </c>
      <c r="D30" t="s">
        <v>41</v>
      </c>
      <c r="E30" s="3">
        <v>0.1701388888888889</v>
      </c>
      <c r="F30" s="3">
        <v>0.2361111111111111</v>
      </c>
      <c r="G30">
        <f t="shared" si="0"/>
        <v>94.999999999999986</v>
      </c>
      <c r="H30">
        <f>_xlfn.XLOOKUP(B30,Products!A:A,Products!D:D)</f>
        <v>60</v>
      </c>
    </row>
    <row r="31" spans="1:8" x14ac:dyDescent="0.25">
      <c r="A31" s="1">
        <v>45537</v>
      </c>
      <c r="B31" t="s">
        <v>28</v>
      </c>
      <c r="C31">
        <v>422140</v>
      </c>
      <c r="D31" t="s">
        <v>41</v>
      </c>
      <c r="E31" s="3">
        <v>0.2361111111111111</v>
      </c>
      <c r="F31" s="3">
        <v>0.3215277777777778</v>
      </c>
      <c r="G31">
        <f t="shared" si="0"/>
        <v>123.00000000000004</v>
      </c>
      <c r="H31">
        <f>_xlfn.XLOOKUP(B31,Products!A:A,Products!D:D)</f>
        <v>60</v>
      </c>
    </row>
    <row r="32" spans="1:8" x14ac:dyDescent="0.25">
      <c r="A32" s="1">
        <v>45537</v>
      </c>
      <c r="B32" t="s">
        <v>28</v>
      </c>
      <c r="C32">
        <v>422141</v>
      </c>
      <c r="D32" t="s">
        <v>42</v>
      </c>
      <c r="E32" s="3">
        <v>0.3215277777777778</v>
      </c>
      <c r="F32" s="3">
        <v>0.36805555555555558</v>
      </c>
      <c r="G32">
        <f t="shared" si="0"/>
        <v>67</v>
      </c>
      <c r="H32">
        <f>_xlfn.XLOOKUP(B32,Products!A:A,Products!D:D)</f>
        <v>60</v>
      </c>
    </row>
    <row r="33" spans="1:8" x14ac:dyDescent="0.25">
      <c r="A33" s="1">
        <v>45537</v>
      </c>
      <c r="B33" t="s">
        <v>28</v>
      </c>
      <c r="C33">
        <v>422142</v>
      </c>
      <c r="D33" t="s">
        <v>42</v>
      </c>
      <c r="E33" s="3">
        <v>0.36805555555555558</v>
      </c>
      <c r="F33" s="3">
        <v>0.43055555555555558</v>
      </c>
      <c r="G33">
        <f t="shared" si="0"/>
        <v>90</v>
      </c>
      <c r="H33">
        <f>_xlfn.XLOOKUP(B33,Products!A:A,Products!D:D)</f>
        <v>60</v>
      </c>
    </row>
    <row r="34" spans="1:8" x14ac:dyDescent="0.25">
      <c r="A34" s="1">
        <v>45537</v>
      </c>
      <c r="B34" t="s">
        <v>28</v>
      </c>
      <c r="C34">
        <v>422143</v>
      </c>
      <c r="D34" t="s">
        <v>42</v>
      </c>
      <c r="E34" s="3">
        <v>0.43055555555555558</v>
      </c>
      <c r="F34" s="3">
        <v>0.51249999999999996</v>
      </c>
      <c r="G34">
        <f t="shared" si="0"/>
        <v>117.9999999999999</v>
      </c>
      <c r="H34">
        <f>_xlfn.XLOOKUP(B34,Products!A:A,Products!D:D)</f>
        <v>60</v>
      </c>
    </row>
    <row r="35" spans="1:8" x14ac:dyDescent="0.25">
      <c r="A35" s="1">
        <v>45537</v>
      </c>
      <c r="B35" t="s">
        <v>29</v>
      </c>
      <c r="C35">
        <v>422144</v>
      </c>
      <c r="D35" t="s">
        <v>42</v>
      </c>
      <c r="E35" s="3">
        <v>0.51249999999999996</v>
      </c>
      <c r="F35" s="3">
        <v>0.61805555555555558</v>
      </c>
      <c r="G35">
        <f t="shared" si="0"/>
        <v>152.00000000000011</v>
      </c>
      <c r="H35">
        <f>_xlfn.XLOOKUP(B35,Products!A:A,Products!D:D)</f>
        <v>98</v>
      </c>
    </row>
    <row r="36" spans="1:8" x14ac:dyDescent="0.25">
      <c r="A36" s="1">
        <v>45537</v>
      </c>
      <c r="B36" t="s">
        <v>29</v>
      </c>
      <c r="C36">
        <v>422145</v>
      </c>
      <c r="D36" t="s">
        <v>40</v>
      </c>
      <c r="E36" s="3">
        <v>0.61805555555555558</v>
      </c>
      <c r="F36" s="3">
        <v>0.70138888888888895</v>
      </c>
      <c r="G36">
        <f t="shared" si="0"/>
        <v>120.00000000000006</v>
      </c>
      <c r="H36">
        <f>_xlfn.XLOOKUP(B36,Products!A:A,Products!D:D)</f>
        <v>98</v>
      </c>
    </row>
    <row r="37" spans="1:8" x14ac:dyDescent="0.25">
      <c r="A37" s="1">
        <v>45537</v>
      </c>
      <c r="B37" t="s">
        <v>29</v>
      </c>
      <c r="C37">
        <v>422146</v>
      </c>
      <c r="D37" t="s">
        <v>40</v>
      </c>
      <c r="E37" s="3">
        <v>0.70138888888888895</v>
      </c>
      <c r="F37" s="3">
        <v>0.8125</v>
      </c>
      <c r="G37">
        <f t="shared" si="0"/>
        <v>159.99999999999991</v>
      </c>
      <c r="H37">
        <f>_xlfn.XLOOKUP(B37,Products!A:A,Products!D:D)</f>
        <v>98</v>
      </c>
    </row>
    <row r="38" spans="1:8" x14ac:dyDescent="0.25">
      <c r="A38" s="1">
        <v>45537</v>
      </c>
      <c r="B38" t="s">
        <v>29</v>
      </c>
      <c r="C38">
        <v>422147</v>
      </c>
      <c r="D38" t="s">
        <v>40</v>
      </c>
      <c r="E38" s="3">
        <v>0.8125</v>
      </c>
      <c r="F38" s="3">
        <v>0.95486111111111116</v>
      </c>
      <c r="G38">
        <f t="shared" si="0"/>
        <v>205.00000000000006</v>
      </c>
      <c r="H38">
        <f>_xlfn.XLOOKUP(B38,Products!A:A,Products!D:D)</f>
        <v>98</v>
      </c>
    </row>
    <row r="39" spans="1:8" x14ac:dyDescent="0.25">
      <c r="A39" s="1">
        <v>45538</v>
      </c>
      <c r="B39" t="s">
        <v>29</v>
      </c>
      <c r="C39">
        <v>422148</v>
      </c>
      <c r="D39" t="s">
        <v>43</v>
      </c>
      <c r="E39" s="3">
        <v>0.95486111111111116</v>
      </c>
      <c r="F39" s="3">
        <v>1.0451388888888888</v>
      </c>
      <c r="G39">
        <f t="shared" si="0"/>
        <v>129.99999999999986</v>
      </c>
      <c r="H39">
        <f>_xlfn.XLOOKUP(B39,Products!A:A,Products!D:D)</f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AB698-CD4D-4CF0-BD14-A6450067ACD0}">
  <dimension ref="A27:G34"/>
  <sheetViews>
    <sheetView tabSelected="1" topLeftCell="A13" workbookViewId="0">
      <selection activeCell="C35" sqref="C35"/>
    </sheetView>
  </sheetViews>
  <sheetFormatPr defaultRowHeight="15" x14ac:dyDescent="0.25"/>
  <cols>
    <col min="3" max="3" width="19.42578125" customWidth="1"/>
    <col min="4" max="4" width="16.85546875" customWidth="1"/>
    <col min="5" max="5" width="19.5703125" customWidth="1"/>
    <col min="6" max="6" width="14.140625" customWidth="1"/>
    <col min="7" max="7" width="18.140625" customWidth="1"/>
  </cols>
  <sheetData>
    <row r="27" spans="1:7" x14ac:dyDescent="0.25">
      <c r="C27" s="7">
        <v>6</v>
      </c>
      <c r="D27" s="7">
        <v>7</v>
      </c>
      <c r="E27" s="7">
        <v>4</v>
      </c>
      <c r="F27" s="7">
        <v>2</v>
      </c>
      <c r="G27" s="7">
        <v>8</v>
      </c>
    </row>
    <row r="28" spans="1:7" x14ac:dyDescent="0.25">
      <c r="C28" s="8" t="s">
        <v>48</v>
      </c>
      <c r="D28" s="9" t="s">
        <v>12</v>
      </c>
      <c r="E28" s="9" t="s">
        <v>14</v>
      </c>
      <c r="F28" s="9" t="s">
        <v>8</v>
      </c>
      <c r="G28" s="9" t="s">
        <v>13</v>
      </c>
    </row>
    <row r="29" spans="1:7" x14ac:dyDescent="0.25">
      <c r="A29" s="10"/>
      <c r="B29" s="10" t="s">
        <v>40</v>
      </c>
      <c r="C29">
        <f>SUMIFS(INDEX('Line downtime'!$C$3:$N$40,,MATCH(Dashboard!C$27,'Line downtime'!$C$2:$N$2,0)),'Line downtime'!$B$3:$B$40,Dashboard!$B29)</f>
        <v>118</v>
      </c>
      <c r="D29">
        <f>SUMIFS(INDEX('Line downtime'!$C$3:$N$40,,MATCH(Dashboard!D$27,'Line downtime'!$C$2:$N$2,0)),'Line downtime'!$B$3:$B$40,Dashboard!$B29)</f>
        <v>85</v>
      </c>
      <c r="E29">
        <f>SUMIFS(INDEX('Line downtime'!$C$3:$N$40,,MATCH(Dashboard!E$27,'Line downtime'!$C$2:$N$2,0)),'Line downtime'!$B$3:$B$40,Dashboard!$B29)</f>
        <v>17</v>
      </c>
      <c r="F29">
        <f>SUMIFS(INDEX('Line downtime'!$C$3:$N$40,,MATCH(Dashboard!F$27,'Line downtime'!$C$2:$N$2,0)),'Line downtime'!$B$3:$B$40,Dashboard!$B29)</f>
        <v>10</v>
      </c>
      <c r="G29">
        <f>SUMIFS(INDEX('Line downtime'!$C$3:$N$40,,MATCH(Dashboard!G$27,'Line downtime'!$C$2:$N$2,0)),'Line downtime'!$B$3:$B$40,Dashboard!$B29)</f>
        <v>44</v>
      </c>
    </row>
    <row r="30" spans="1:7" x14ac:dyDescent="0.25">
      <c r="A30" s="10"/>
      <c r="B30" s="10" t="s">
        <v>41</v>
      </c>
      <c r="C30">
        <f>SUMIFS(INDEX('Line downtime'!$C$3:$N$40,,MATCH(Dashboard!C$27,'Line downtime'!$C$2:$N$2,0)),'Line downtime'!$B$3:$B$40,Dashboard!$B30)</f>
        <v>79</v>
      </c>
      <c r="D30">
        <f>SUMIFS(INDEX('Line downtime'!$C$3:$N$40,,MATCH(Dashboard!D$27,'Line downtime'!$C$2:$N$2,0)),'Line downtime'!$B$3:$B$40,Dashboard!$B30)</f>
        <v>36</v>
      </c>
      <c r="E30">
        <f>SUMIFS(INDEX('Line downtime'!$C$3:$N$40,,MATCH(Dashboard!E$27,'Line downtime'!$C$2:$N$2,0)),'Line downtime'!$B$3:$B$40,Dashboard!$B30)</f>
        <v>85</v>
      </c>
      <c r="F30">
        <f>SUMIFS(INDEX('Line downtime'!$C$3:$N$40,,MATCH(Dashboard!F$27,'Line downtime'!$C$2:$N$2,0)),'Line downtime'!$B$3:$B$40,Dashboard!$B30)</f>
        <v>20</v>
      </c>
      <c r="G30">
        <f>SUMIFS(INDEX('Line downtime'!$C$3:$N$40,,MATCH(Dashboard!G$27,'Line downtime'!$C$2:$N$2,0)),'Line downtime'!$B$3:$B$40,Dashboard!$B30)</f>
        <v>30</v>
      </c>
    </row>
    <row r="31" spans="1:7" x14ac:dyDescent="0.25">
      <c r="A31" s="10"/>
      <c r="B31" s="10" t="s">
        <v>42</v>
      </c>
      <c r="C31">
        <f>SUMIFS(INDEX('Line downtime'!$C$3:$N$40,,MATCH(Dashboard!C$27,'Line downtime'!$C$2:$N$2,0)),'Line downtime'!$B$3:$B$40,Dashboard!$B31)</f>
        <v>120</v>
      </c>
      <c r="D31">
        <f>SUMIFS(INDEX('Line downtime'!$C$3:$N$40,,MATCH(Dashboard!D$27,'Line downtime'!$C$2:$N$2,0)),'Line downtime'!$B$3:$B$40,Dashboard!$B31)</f>
        <v>88</v>
      </c>
      <c r="E31">
        <f>SUMIFS(INDEX('Line downtime'!$C$3:$N$40,,MATCH(Dashboard!E$27,'Line downtime'!$C$2:$N$2,0)),'Line downtime'!$B$3:$B$40,Dashboard!$B31)</f>
        <v>43</v>
      </c>
      <c r="F31">
        <f>SUMIFS(INDEX('Line downtime'!$C$3:$N$40,,MATCH(Dashboard!F$27,'Line downtime'!$C$2:$N$2,0)),'Line downtime'!$B$3:$B$40,Dashboard!$B31)</f>
        <v>0</v>
      </c>
      <c r="G31">
        <f>SUMIFS(INDEX('Line downtime'!$C$3:$N$40,,MATCH(Dashboard!G$27,'Line downtime'!$C$2:$N$2,0)),'Line downtime'!$B$3:$B$40,Dashboard!$B31)</f>
        <v>24</v>
      </c>
    </row>
    <row r="32" spans="1:7" x14ac:dyDescent="0.25">
      <c r="A32" s="10"/>
      <c r="B32" s="10" t="s">
        <v>43</v>
      </c>
      <c r="C32">
        <f>SUMIFS(INDEX('Line downtime'!$C$3:$N$40,,MATCH(Dashboard!C$27,'Line downtime'!$C$2:$N$2,0)),'Line downtime'!$B$3:$B$40,Dashboard!$B32)</f>
        <v>15</v>
      </c>
      <c r="D32">
        <f>SUMIFS(INDEX('Line downtime'!$C$3:$N$40,,MATCH(Dashboard!D$27,'Line downtime'!$C$2:$N$2,0)),'Line downtime'!$B$3:$B$40,Dashboard!$B32)</f>
        <v>45</v>
      </c>
      <c r="E32">
        <f>SUMIFS(INDEX('Line downtime'!$C$3:$N$40,,MATCH(Dashboard!E$27,'Line downtime'!$C$2:$N$2,0)),'Line downtime'!$B$3:$B$40,Dashboard!$B32)</f>
        <v>80</v>
      </c>
      <c r="F32">
        <f>SUMIFS(INDEX('Line downtime'!$C$3:$N$40,,MATCH(Dashboard!F$27,'Line downtime'!$C$2:$N$2,0)),'Line downtime'!$B$3:$B$40,Dashboard!$B32)</f>
        <v>130</v>
      </c>
      <c r="G32">
        <f>SUMIFS(INDEX('Line downtime'!$C$3:$N$40,,MATCH(Dashboard!G$27,'Line downtime'!$C$2:$N$2,0)),'Line downtime'!$B$3:$B$40,Dashboard!$B32)</f>
        <v>47</v>
      </c>
    </row>
    <row r="34" spans="3:3" x14ac:dyDescent="0.25">
      <c r="C34" t="s">
        <v>49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7A9A-369F-46C5-93C5-09FBB32FF7C0}">
  <dimension ref="A1:D7"/>
  <sheetViews>
    <sheetView workbookViewId="0"/>
  </sheetViews>
  <sheetFormatPr defaultRowHeight="15" x14ac:dyDescent="0.25"/>
  <cols>
    <col min="2" max="2" width="11.140625" bestFit="1" customWidth="1"/>
    <col min="4" max="4" width="14.42578125" bestFit="1" customWidth="1"/>
  </cols>
  <sheetData>
    <row r="1" spans="1:4" x14ac:dyDescent="0.25">
      <c r="A1" s="2" t="s">
        <v>1</v>
      </c>
      <c r="B1" s="2" t="s">
        <v>30</v>
      </c>
      <c r="C1" s="2" t="s">
        <v>31</v>
      </c>
      <c r="D1" s="2" t="s">
        <v>39</v>
      </c>
    </row>
    <row r="2" spans="1:4" x14ac:dyDescent="0.25">
      <c r="A2" t="s">
        <v>24</v>
      </c>
      <c r="B2" t="s">
        <v>32</v>
      </c>
      <c r="C2" t="s">
        <v>38</v>
      </c>
      <c r="D2">
        <v>60</v>
      </c>
    </row>
    <row r="3" spans="1:4" x14ac:dyDescent="0.25">
      <c r="A3" t="s">
        <v>25</v>
      </c>
      <c r="B3" t="s">
        <v>33</v>
      </c>
      <c r="C3" t="s">
        <v>38</v>
      </c>
      <c r="D3">
        <v>60</v>
      </c>
    </row>
    <row r="4" spans="1:4" x14ac:dyDescent="0.25">
      <c r="A4" t="s">
        <v>26</v>
      </c>
      <c r="B4" t="s">
        <v>34</v>
      </c>
      <c r="C4" t="s">
        <v>38</v>
      </c>
      <c r="D4">
        <v>60</v>
      </c>
    </row>
    <row r="5" spans="1:4" x14ac:dyDescent="0.25">
      <c r="A5" t="s">
        <v>27</v>
      </c>
      <c r="B5" t="s">
        <v>35</v>
      </c>
      <c r="C5" t="s">
        <v>38</v>
      </c>
      <c r="D5">
        <v>60</v>
      </c>
    </row>
    <row r="6" spans="1:4" x14ac:dyDescent="0.25">
      <c r="A6" t="s">
        <v>28</v>
      </c>
      <c r="B6" t="s">
        <v>36</v>
      </c>
      <c r="C6" t="s">
        <v>38</v>
      </c>
      <c r="D6">
        <v>60</v>
      </c>
    </row>
    <row r="7" spans="1:4" x14ac:dyDescent="0.25">
      <c r="A7" t="s">
        <v>29</v>
      </c>
      <c r="B7" t="s">
        <v>34</v>
      </c>
      <c r="C7" t="s">
        <v>37</v>
      </c>
      <c r="D7">
        <v>98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156D-DBB5-4EA9-A733-8897AD1035D5}">
  <dimension ref="A1:C13"/>
  <sheetViews>
    <sheetView workbookViewId="0"/>
  </sheetViews>
  <sheetFormatPr defaultRowHeight="15" x14ac:dyDescent="0.25"/>
  <cols>
    <col min="1" max="1" width="8.85546875" customWidth="1"/>
    <col min="2" max="2" width="19.28515625" bestFit="1" customWidth="1"/>
    <col min="3" max="3" width="14" bestFit="1" customWidth="1"/>
  </cols>
  <sheetData>
    <row r="1" spans="1:3" x14ac:dyDescent="0.25">
      <c r="A1" s="2" t="s">
        <v>6</v>
      </c>
      <c r="B1" s="2" t="s">
        <v>22</v>
      </c>
      <c r="C1" s="2" t="s">
        <v>7</v>
      </c>
    </row>
    <row r="2" spans="1:3" x14ac:dyDescent="0.25">
      <c r="A2">
        <v>1</v>
      </c>
      <c r="B2" t="s">
        <v>17</v>
      </c>
      <c r="C2" t="s">
        <v>20</v>
      </c>
    </row>
    <row r="3" spans="1:3" x14ac:dyDescent="0.25">
      <c r="A3">
        <v>2</v>
      </c>
      <c r="B3" t="s">
        <v>8</v>
      </c>
      <c r="C3" t="s">
        <v>21</v>
      </c>
    </row>
    <row r="4" spans="1:3" x14ac:dyDescent="0.25">
      <c r="A4">
        <v>3</v>
      </c>
      <c r="B4" t="s">
        <v>19</v>
      </c>
      <c r="C4" t="s">
        <v>20</v>
      </c>
    </row>
    <row r="5" spans="1:3" x14ac:dyDescent="0.25">
      <c r="A5">
        <v>4</v>
      </c>
      <c r="B5" t="s">
        <v>14</v>
      </c>
      <c r="C5" t="s">
        <v>20</v>
      </c>
    </row>
    <row r="6" spans="1:3" x14ac:dyDescent="0.25">
      <c r="A6">
        <v>5</v>
      </c>
      <c r="B6" t="s">
        <v>10</v>
      </c>
      <c r="C6" t="s">
        <v>21</v>
      </c>
    </row>
    <row r="7" spans="1:3" x14ac:dyDescent="0.25">
      <c r="A7">
        <v>6</v>
      </c>
      <c r="B7" t="s">
        <v>9</v>
      </c>
      <c r="C7" t="s">
        <v>21</v>
      </c>
    </row>
    <row r="8" spans="1:3" x14ac:dyDescent="0.25">
      <c r="A8">
        <v>7</v>
      </c>
      <c r="B8" t="s">
        <v>12</v>
      </c>
      <c r="C8" t="s">
        <v>20</v>
      </c>
    </row>
    <row r="9" spans="1:3" x14ac:dyDescent="0.25">
      <c r="A9">
        <v>8</v>
      </c>
      <c r="B9" t="s">
        <v>13</v>
      </c>
      <c r="C9" t="s">
        <v>21</v>
      </c>
    </row>
    <row r="10" spans="1:3" x14ac:dyDescent="0.25">
      <c r="A10">
        <v>9</v>
      </c>
      <c r="B10" t="s">
        <v>15</v>
      </c>
      <c r="C10" t="s">
        <v>20</v>
      </c>
    </row>
    <row r="11" spans="1:3" x14ac:dyDescent="0.25">
      <c r="A11">
        <v>10</v>
      </c>
      <c r="B11" t="s">
        <v>18</v>
      </c>
      <c r="C11" t="s">
        <v>21</v>
      </c>
    </row>
    <row r="12" spans="1:3" x14ac:dyDescent="0.25">
      <c r="A12">
        <v>11</v>
      </c>
      <c r="B12" t="s">
        <v>11</v>
      </c>
      <c r="C12" t="s">
        <v>21</v>
      </c>
    </row>
    <row r="13" spans="1:3" x14ac:dyDescent="0.25">
      <c r="A13">
        <v>12</v>
      </c>
      <c r="B13" t="s">
        <v>16</v>
      </c>
      <c r="C13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03E6B-C648-491E-9E5D-F67501FDD632}">
  <dimension ref="A1:N40"/>
  <sheetViews>
    <sheetView topLeftCell="A3" workbookViewId="0">
      <selection activeCell="B3" sqref="B3:B40"/>
    </sheetView>
  </sheetViews>
  <sheetFormatPr defaultRowHeight="15" x14ac:dyDescent="0.25"/>
  <cols>
    <col min="1" max="2" width="8.85546875" customWidth="1"/>
    <col min="3" max="14" width="5.5703125" customWidth="1"/>
  </cols>
  <sheetData>
    <row r="1" spans="1:14" x14ac:dyDescent="0.25">
      <c r="C1" s="11" t="s">
        <v>23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x14ac:dyDescent="0.25">
      <c r="A2" s="2" t="s">
        <v>2</v>
      </c>
      <c r="B2" s="2" t="s">
        <v>3</v>
      </c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2">
        <v>12</v>
      </c>
    </row>
    <row r="3" spans="1:14" x14ac:dyDescent="0.25">
      <c r="A3">
        <v>422111</v>
      </c>
      <c r="B3" t="str">
        <f>_xlfn.XLOOKUP(A3,'Line productivity'!C:C,'Line productivity'!D:D)</f>
        <v>Mac</v>
      </c>
      <c r="D3">
        <v>60</v>
      </c>
      <c r="I3">
        <v>15</v>
      </c>
    </row>
    <row r="4" spans="1:14" x14ac:dyDescent="0.25">
      <c r="A4">
        <v>422112</v>
      </c>
      <c r="B4" t="str">
        <f>_xlfn.XLOOKUP(A4,'Line productivity'!C:C,'Line productivity'!D:D)</f>
        <v>Mac</v>
      </c>
      <c r="D4">
        <v>20</v>
      </c>
      <c r="J4">
        <v>20</v>
      </c>
    </row>
    <row r="5" spans="1:14" x14ac:dyDescent="0.25">
      <c r="A5">
        <v>422113</v>
      </c>
      <c r="B5" t="str">
        <f>_xlfn.XLOOKUP(A5,'Line productivity'!C:C,'Line productivity'!D:D)</f>
        <v>Mac</v>
      </c>
      <c r="D5">
        <v>50</v>
      </c>
    </row>
    <row r="6" spans="1:14" x14ac:dyDescent="0.25">
      <c r="A6">
        <v>422114</v>
      </c>
      <c r="B6" t="str">
        <f>_xlfn.XLOOKUP(A6,'Line productivity'!C:C,'Line productivity'!D:D)</f>
        <v>Mac</v>
      </c>
      <c r="F6">
        <v>25</v>
      </c>
      <c r="H6">
        <v>15</v>
      </c>
    </row>
    <row r="7" spans="1:14" x14ac:dyDescent="0.25">
      <c r="A7">
        <v>422115</v>
      </c>
      <c r="B7" t="str">
        <f>_xlfn.XLOOKUP(A7,'Line productivity'!C:C,'Line productivity'!D:D)</f>
        <v>Charlie</v>
      </c>
      <c r="L7">
        <v>24</v>
      </c>
    </row>
    <row r="8" spans="1:14" x14ac:dyDescent="0.25">
      <c r="A8">
        <v>422116</v>
      </c>
      <c r="B8" t="str">
        <f>_xlfn.XLOOKUP(A8,'Line productivity'!C:C,'Line productivity'!D:D)</f>
        <v>Charlie</v>
      </c>
    </row>
    <row r="9" spans="1:14" x14ac:dyDescent="0.25">
      <c r="A9">
        <v>422117</v>
      </c>
      <c r="B9" t="str">
        <f>_xlfn.XLOOKUP(A9,'Line productivity'!C:C,'Line productivity'!D:D)</f>
        <v>Charlie</v>
      </c>
      <c r="D9">
        <v>10</v>
      </c>
      <c r="H9">
        <v>5</v>
      </c>
    </row>
    <row r="10" spans="1:14" x14ac:dyDescent="0.25">
      <c r="A10">
        <v>422118</v>
      </c>
      <c r="B10" t="str">
        <f>_xlfn.XLOOKUP(A10,'Line productivity'!C:C,'Line productivity'!D:D)</f>
        <v>Dee</v>
      </c>
      <c r="H10">
        <v>14</v>
      </c>
      <c r="I10">
        <v>16</v>
      </c>
      <c r="M10">
        <v>10</v>
      </c>
      <c r="N10">
        <v>20</v>
      </c>
    </row>
    <row r="11" spans="1:14" x14ac:dyDescent="0.25">
      <c r="A11">
        <v>422119</v>
      </c>
      <c r="B11" t="str">
        <f>_xlfn.XLOOKUP(A11,'Line productivity'!C:C,'Line productivity'!D:D)</f>
        <v>Dee</v>
      </c>
      <c r="F11">
        <v>25</v>
      </c>
    </row>
    <row r="12" spans="1:14" x14ac:dyDescent="0.25">
      <c r="A12">
        <v>422120</v>
      </c>
      <c r="B12" t="str">
        <f>_xlfn.XLOOKUP(A12,'Line productivity'!C:C,'Line productivity'!D:D)</f>
        <v>Dee</v>
      </c>
      <c r="F12">
        <v>20</v>
      </c>
      <c r="G12">
        <v>15</v>
      </c>
      <c r="K12">
        <v>17</v>
      </c>
    </row>
    <row r="13" spans="1:14" x14ac:dyDescent="0.25">
      <c r="A13">
        <v>422121</v>
      </c>
      <c r="B13" t="str">
        <f>_xlfn.XLOOKUP(A13,'Line productivity'!C:C,'Line productivity'!D:D)</f>
        <v>Dennis</v>
      </c>
      <c r="I13">
        <v>15</v>
      </c>
    </row>
    <row r="14" spans="1:14" x14ac:dyDescent="0.25">
      <c r="A14">
        <v>422122</v>
      </c>
      <c r="B14" t="str">
        <f>_xlfn.XLOOKUP(A14,'Line productivity'!C:C,'Line productivity'!D:D)</f>
        <v>Dennis</v>
      </c>
      <c r="I14">
        <v>25</v>
      </c>
    </row>
    <row r="15" spans="1:14" x14ac:dyDescent="0.25">
      <c r="A15">
        <v>422123</v>
      </c>
      <c r="B15" t="str">
        <f>_xlfn.XLOOKUP(A15,'Line productivity'!C:C,'Line productivity'!D:D)</f>
        <v>Dennis</v>
      </c>
      <c r="F15">
        <v>43</v>
      </c>
      <c r="I15">
        <v>30</v>
      </c>
    </row>
    <row r="16" spans="1:14" x14ac:dyDescent="0.25">
      <c r="A16">
        <v>422124</v>
      </c>
      <c r="B16" t="str">
        <f>_xlfn.XLOOKUP(A16,'Line productivity'!C:C,'Line productivity'!D:D)</f>
        <v>Dennis</v>
      </c>
      <c r="G16">
        <v>20</v>
      </c>
      <c r="H16">
        <v>20</v>
      </c>
    </row>
    <row r="17" spans="1:14" x14ac:dyDescent="0.25">
      <c r="A17">
        <v>422125</v>
      </c>
      <c r="B17" t="str">
        <f>_xlfn.XLOOKUP(A17,'Line productivity'!C:C,'Line productivity'!D:D)</f>
        <v>Charlie</v>
      </c>
      <c r="M17">
        <v>10</v>
      </c>
      <c r="N17">
        <v>10</v>
      </c>
    </row>
    <row r="18" spans="1:14" x14ac:dyDescent="0.25">
      <c r="A18">
        <v>422126</v>
      </c>
      <c r="B18" t="str">
        <f>_xlfn.XLOOKUP(A18,'Line productivity'!C:C,'Line productivity'!D:D)</f>
        <v>Charlie</v>
      </c>
      <c r="J18">
        <v>44</v>
      </c>
    </row>
    <row r="19" spans="1:14" x14ac:dyDescent="0.25">
      <c r="A19">
        <v>422127</v>
      </c>
      <c r="B19" t="str">
        <f>_xlfn.XLOOKUP(A19,'Line productivity'!C:C,'Line productivity'!D:D)</f>
        <v>Charlie</v>
      </c>
      <c r="H19">
        <v>23</v>
      </c>
    </row>
    <row r="20" spans="1:14" x14ac:dyDescent="0.25">
      <c r="A20">
        <v>422128</v>
      </c>
      <c r="B20" t="str">
        <f>_xlfn.XLOOKUP(A20,'Line productivity'!C:C,'Line productivity'!D:D)</f>
        <v>Charlie</v>
      </c>
      <c r="G20">
        <v>22</v>
      </c>
      <c r="I20">
        <v>30</v>
      </c>
    </row>
    <row r="21" spans="1:14" x14ac:dyDescent="0.25">
      <c r="A21">
        <v>422129</v>
      </c>
      <c r="B21" t="str">
        <f>_xlfn.XLOOKUP(A21,'Line productivity'!C:C,'Line productivity'!D:D)</f>
        <v>Charlie</v>
      </c>
      <c r="N21">
        <v>15</v>
      </c>
    </row>
    <row r="22" spans="1:14" x14ac:dyDescent="0.25">
      <c r="A22">
        <v>422130</v>
      </c>
      <c r="B22" t="str">
        <f>_xlfn.XLOOKUP(A22,'Line productivity'!C:C,'Line productivity'!D:D)</f>
        <v>Dee</v>
      </c>
      <c r="D22">
        <v>20</v>
      </c>
    </row>
    <row r="23" spans="1:14" x14ac:dyDescent="0.25">
      <c r="A23">
        <v>422131</v>
      </c>
      <c r="B23" t="str">
        <f>_xlfn.XLOOKUP(A23,'Line productivity'!C:C,'Line productivity'!D:D)</f>
        <v>Dee</v>
      </c>
      <c r="F23">
        <v>20</v>
      </c>
      <c r="L23">
        <v>10</v>
      </c>
    </row>
    <row r="24" spans="1:14" x14ac:dyDescent="0.25">
      <c r="A24">
        <v>422132</v>
      </c>
      <c r="B24" t="str">
        <f>_xlfn.XLOOKUP(A24,'Line productivity'!C:C,'Line productivity'!D:D)</f>
        <v>Dee</v>
      </c>
    </row>
    <row r="25" spans="1:14" x14ac:dyDescent="0.25">
      <c r="A25">
        <v>422133</v>
      </c>
      <c r="B25" t="str">
        <f>_xlfn.XLOOKUP(A25,'Line productivity'!C:C,'Line productivity'!D:D)</f>
        <v>Dee</v>
      </c>
      <c r="I25">
        <v>20</v>
      </c>
    </row>
    <row r="26" spans="1:14" x14ac:dyDescent="0.25">
      <c r="A26">
        <v>422134</v>
      </c>
      <c r="B26" t="str">
        <f>_xlfn.XLOOKUP(A26,'Line productivity'!C:C,'Line productivity'!D:D)</f>
        <v>Mac</v>
      </c>
      <c r="I26">
        <v>30</v>
      </c>
      <c r="J26">
        <v>20</v>
      </c>
    </row>
    <row r="27" spans="1:14" x14ac:dyDescent="0.25">
      <c r="A27">
        <v>422135</v>
      </c>
      <c r="B27" t="str">
        <f>_xlfn.XLOOKUP(A27,'Line productivity'!C:C,'Line productivity'!D:D)</f>
        <v>Mac</v>
      </c>
      <c r="F27">
        <v>30</v>
      </c>
      <c r="N27">
        <v>15</v>
      </c>
    </row>
    <row r="28" spans="1:14" x14ac:dyDescent="0.25">
      <c r="A28">
        <v>422136</v>
      </c>
      <c r="B28" t="str">
        <f>_xlfn.XLOOKUP(A28,'Line productivity'!C:C,'Line productivity'!D:D)</f>
        <v>Mac</v>
      </c>
    </row>
    <row r="29" spans="1:14" x14ac:dyDescent="0.25">
      <c r="A29">
        <v>422137</v>
      </c>
      <c r="B29" t="str">
        <f>_xlfn.XLOOKUP(A29,'Line productivity'!C:C,'Line productivity'!D:D)</f>
        <v>Dee</v>
      </c>
      <c r="J29">
        <v>30</v>
      </c>
      <c r="L29">
        <v>15</v>
      </c>
    </row>
    <row r="30" spans="1:14" x14ac:dyDescent="0.25">
      <c r="A30">
        <v>422138</v>
      </c>
      <c r="B30" t="str">
        <f>_xlfn.XLOOKUP(A30,'Line productivity'!C:C,'Line productivity'!D:D)</f>
        <v>Dee</v>
      </c>
      <c r="E30">
        <v>20</v>
      </c>
    </row>
    <row r="31" spans="1:14" x14ac:dyDescent="0.25">
      <c r="A31">
        <v>422139</v>
      </c>
      <c r="B31" t="str">
        <f>_xlfn.XLOOKUP(A31,'Line productivity'!C:C,'Line productivity'!D:D)</f>
        <v>Dee</v>
      </c>
      <c r="F31">
        <v>20</v>
      </c>
      <c r="H31">
        <v>15</v>
      </c>
    </row>
    <row r="32" spans="1:14" x14ac:dyDescent="0.25">
      <c r="A32">
        <v>422140</v>
      </c>
      <c r="B32" t="str">
        <f>_xlfn.XLOOKUP(A32,'Line productivity'!C:C,'Line productivity'!D:D)</f>
        <v>Dee</v>
      </c>
      <c r="H32">
        <v>50</v>
      </c>
      <c r="M32">
        <v>13</v>
      </c>
    </row>
    <row r="33" spans="1:14" x14ac:dyDescent="0.25">
      <c r="A33">
        <v>422141</v>
      </c>
      <c r="B33" t="str">
        <f>_xlfn.XLOOKUP(A33,'Line productivity'!C:C,'Line productivity'!D:D)</f>
        <v>Dennis</v>
      </c>
      <c r="N33">
        <v>7</v>
      </c>
    </row>
    <row r="34" spans="1:14" x14ac:dyDescent="0.25">
      <c r="A34">
        <v>422142</v>
      </c>
      <c r="B34" t="str">
        <f>_xlfn.XLOOKUP(A34,'Line productivity'!C:C,'Line productivity'!D:D)</f>
        <v>Dennis</v>
      </c>
      <c r="H34">
        <v>30</v>
      </c>
    </row>
    <row r="35" spans="1:14" x14ac:dyDescent="0.25">
      <c r="A35">
        <v>422143</v>
      </c>
      <c r="B35" t="str">
        <f>_xlfn.XLOOKUP(A35,'Line productivity'!C:C,'Line productivity'!D:D)</f>
        <v>Dennis</v>
      </c>
      <c r="H35">
        <v>40</v>
      </c>
      <c r="I35">
        <v>18</v>
      </c>
    </row>
    <row r="36" spans="1:14" x14ac:dyDescent="0.25">
      <c r="A36">
        <v>422144</v>
      </c>
      <c r="B36" t="str">
        <f>_xlfn.XLOOKUP(A36,'Line productivity'!C:C,'Line productivity'!D:D)</f>
        <v>Dennis</v>
      </c>
      <c r="H36">
        <v>30</v>
      </c>
      <c r="J36">
        <v>24</v>
      </c>
    </row>
    <row r="37" spans="1:14" x14ac:dyDescent="0.25">
      <c r="A37">
        <v>422145</v>
      </c>
      <c r="B37" t="str">
        <f>_xlfn.XLOOKUP(A37,'Line productivity'!C:C,'Line productivity'!D:D)</f>
        <v>Charlie</v>
      </c>
      <c r="E37">
        <v>22</v>
      </c>
    </row>
    <row r="38" spans="1:14" x14ac:dyDescent="0.25">
      <c r="A38">
        <v>422146</v>
      </c>
      <c r="B38" t="str">
        <f>_xlfn.XLOOKUP(A38,'Line productivity'!C:C,'Line productivity'!D:D)</f>
        <v>Charlie</v>
      </c>
      <c r="H38">
        <v>30</v>
      </c>
      <c r="I38">
        <v>25</v>
      </c>
      <c r="N38">
        <v>7</v>
      </c>
    </row>
    <row r="39" spans="1:14" x14ac:dyDescent="0.25">
      <c r="A39">
        <v>422147</v>
      </c>
      <c r="B39" t="str">
        <f>_xlfn.XLOOKUP(A39,'Line productivity'!C:C,'Line productivity'!D:D)</f>
        <v>Charlie</v>
      </c>
      <c r="F39">
        <v>17</v>
      </c>
      <c r="H39">
        <v>60</v>
      </c>
      <c r="I39">
        <v>30</v>
      </c>
    </row>
    <row r="40" spans="1:14" x14ac:dyDescent="0.25">
      <c r="A40">
        <v>422148</v>
      </c>
      <c r="B40" t="str">
        <f>_xlfn.XLOOKUP(A40,'Line productivity'!C:C,'Line productivity'!D:D)</f>
        <v>Mac</v>
      </c>
      <c r="F40">
        <v>25</v>
      </c>
      <c r="J40">
        <v>7</v>
      </c>
    </row>
  </sheetData>
  <mergeCells count="1">
    <mergeCell ref="C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Line productivity</vt:lpstr>
      <vt:lpstr>Dashboard</vt:lpstr>
      <vt:lpstr>Products</vt:lpstr>
      <vt:lpstr>Downtime factors</vt:lpstr>
      <vt:lpstr>Line downtime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Moe Adityanugroho</cp:lastModifiedBy>
  <dcterms:created xsi:type="dcterms:W3CDTF">2024-08-19T19:52:48Z</dcterms:created>
  <dcterms:modified xsi:type="dcterms:W3CDTF">2026-08-04T15:25:13Z</dcterms:modified>
</cp:coreProperties>
</file>